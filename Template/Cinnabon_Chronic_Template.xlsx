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Line'!$A$1:$AP$301</definedName>
    <definedName name="_xlnm._FilterDatabase" localSheetId="3" hidden="1">'Per Invoice'!$A$1:$AB$101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CINNABON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A-N, P-Y, AD-AK (same order as the system export).</t>
        </is>
      </c>
    </row>
    <row r="6">
      <c r="A6" s="3" t="inlineStr">
        <is>
          <t>3. Green columns (O, Z, AA, AB, AC) and the grey helper columns (AL-AP)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October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(9%) if Local is TRUE, otherwise Imported rate (5%).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300 lines and 100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CINNABON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Cinnabon HQ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0.09</v>
      </c>
      <c r="D6" t="inlineStr">
        <is>
          <t>Source: Oct sheet (Rebates = 9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Oct sheet (Rebates = 5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Line'!$E$2:$E$301)</f>
        <v/>
      </c>
    </row>
    <row r="11">
      <c r="B11" t="inlineStr">
        <is>
          <t>Invoices (unique Order #)</t>
        </is>
      </c>
      <c r="C11">
        <f>MAX('Per Line'!$AM$2:$AM$301)</f>
        <v/>
      </c>
    </row>
    <row r="12">
      <c r="B12" t="inlineStr">
        <is>
          <t>Invoices shown in Per Invoice</t>
        </is>
      </c>
      <c r="C12">
        <f>SUMPRODUCT(--('Per Invoice'!$B$2:$B$101&lt;&gt;""))</f>
        <v/>
      </c>
    </row>
    <row r="13">
      <c r="B13" t="inlineStr">
        <is>
          <t>Grand Total - Per Line (Product Total)</t>
        </is>
      </c>
      <c r="C13" s="7">
        <f>SUM('Per Line'!$W$2:$W$301)</f>
        <v/>
      </c>
    </row>
    <row r="14">
      <c r="B14" t="inlineStr">
        <is>
          <t>Grand Total - Per Invoice</t>
        </is>
      </c>
      <c r="C14" s="7">
        <f>SUM('Per Invoice'!$Z$2:$Z$101)</f>
        <v/>
      </c>
    </row>
    <row r="15">
      <c r="B15" t="inlineStr">
        <is>
          <t>Discount - Per Line</t>
        </is>
      </c>
      <c r="C15" s="7">
        <f>SUM('Per Line'!$AA$2:$AA$301)</f>
        <v/>
      </c>
    </row>
    <row r="16">
      <c r="B16" t="inlineStr">
        <is>
          <t>Discount - Per Invoice</t>
        </is>
      </c>
      <c r="C16" s="7">
        <f>SUM('Per Invoice'!$X$2:$X$101)</f>
        <v/>
      </c>
    </row>
    <row r="17">
      <c r="B17" t="inlineStr">
        <is>
          <t>Co val - Per Line</t>
        </is>
      </c>
      <c r="C17" s="7">
        <f>SUM('Per Line'!$O$2:$O$301)</f>
        <v/>
      </c>
    </row>
    <row r="18">
      <c r="B18" t="inlineStr">
        <is>
          <t>Co val - Per Invoice</t>
        </is>
      </c>
      <c r="C18" s="7">
        <f>SUM('Per Invoice'!$O$2:$O$101)</f>
        <v/>
      </c>
    </row>
    <row r="19">
      <c r="B19" t="inlineStr">
        <is>
          <t>Net - Per Line</t>
        </is>
      </c>
      <c r="C19" s="7">
        <f>SUM('Per Line'!$AC$2:$AC$301)</f>
        <v/>
      </c>
    </row>
    <row r="20">
      <c r="B20" t="inlineStr">
        <is>
          <t>Net - Per Invoice</t>
        </is>
      </c>
      <c r="C20" s="7">
        <f>SUM('Per Invoice'!$AA$2:$AA$101)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Line'!$E:$E)-1&gt;300,"TOO MANY LINES - extend template",IF(C11&gt;100,"TOO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4" customWidth="1" min="6" max="6"/>
    <col width="17" customWidth="1" min="7" max="7"/>
    <col width="18" customWidth="1" min="8" max="8"/>
    <col width="12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1" customWidth="1" min="15" max="15"/>
    <col width="12" customWidth="1" min="16" max="16"/>
    <col width="12" customWidth="1" min="17" max="17"/>
    <col width="44" customWidth="1" min="18" max="18"/>
    <col width="12" customWidth="1" min="19" max="19"/>
    <col width="20" customWidth="1" min="20" max="20"/>
    <col width="12" customWidth="1" min="21" max="21"/>
    <col width="12" customWidth="1" min="22" max="22"/>
    <col width="12" customWidth="1" min="23" max="23"/>
    <col width="36" customWidth="1" min="24" max="24"/>
    <col width="12" customWidth="1" min="25" max="25"/>
    <col width="11" customWidth="1" min="26" max="26"/>
    <col width="11" customWidth="1" min="27" max="27"/>
    <col width="11" customWidth="1" min="28" max="28"/>
    <col width="11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7" customWidth="1" min="36" max="36"/>
    <col width="12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32" customHeight="1">
      <c r="A1" s="8" t="inlineStr">
        <is>
          <t>Cycle</t>
        </is>
      </c>
      <c r="B1" s="8" t="inlineStr">
        <is>
          <t>Ticket #</t>
        </is>
      </c>
      <c r="C1" s="8" t="inlineStr">
        <is>
          <t>Stage</t>
        </is>
      </c>
      <c r="D1" s="8" t="inlineStr">
        <is>
          <t>Approval Ref</t>
        </is>
      </c>
      <c r="E1" s="8" t="inlineStr">
        <is>
          <t>Order #</t>
        </is>
      </c>
      <c r="F1" s="8" t="inlineStr">
        <is>
          <t>Channel</t>
        </is>
      </c>
      <c r="G1" s="8" t="inlineStr">
        <is>
          <t>Create At</t>
        </is>
      </c>
      <c r="H1" s="8" t="inlineStr">
        <is>
          <t>Insurance Company</t>
        </is>
      </c>
      <c r="I1" s="8" t="inlineStr">
        <is>
          <t>Country Portal ID</t>
        </is>
      </c>
      <c r="J1" s="8" t="inlineStr">
        <is>
          <t>Corporate</t>
        </is>
      </c>
      <c r="K1" s="8" t="inlineStr">
        <is>
          <t>Card</t>
        </is>
      </c>
      <c r="L1" s="8" t="inlineStr">
        <is>
          <t>Name</t>
        </is>
      </c>
      <c r="M1" s="8" t="inlineStr">
        <is>
          <t>Status</t>
        </is>
      </c>
      <c r="N1" s="8" t="inlineStr">
        <is>
          <t>Order Co Payment</t>
        </is>
      </c>
      <c r="O1" s="9" t="inlineStr">
        <is>
          <t>Co val</t>
        </is>
      </c>
      <c r="P1" s="8" t="inlineStr">
        <is>
          <t>By Patient</t>
        </is>
      </c>
      <c r="Q1" s="8" t="inlineStr">
        <is>
          <t>heisenberg id</t>
        </is>
      </c>
      <c r="R1" s="8" t="inlineStr">
        <is>
          <t>Product Name</t>
        </is>
      </c>
      <c r="S1" s="8" t="inlineStr">
        <is>
          <t>Local</t>
        </is>
      </c>
      <c r="T1" s="8" t="inlineStr">
        <is>
          <t>Unit</t>
        </is>
      </c>
      <c r="U1" s="8" t="inlineStr">
        <is>
          <t>Quantity</t>
        </is>
      </c>
      <c r="V1" s="8" t="inlineStr">
        <is>
          <t>Unit Price</t>
        </is>
      </c>
      <c r="W1" s="8" t="inlineStr">
        <is>
          <t>Product Total</t>
        </is>
      </c>
      <c r="X1" s="8" t="inlineStr">
        <is>
          <t>ERX ID</t>
        </is>
      </c>
      <c r="Y1" s="8" t="inlineStr">
        <is>
          <t>Special Rebates?</t>
        </is>
      </c>
      <c r="Z1" s="9" t="inlineStr">
        <is>
          <t>Rebates</t>
        </is>
      </c>
      <c r="AA1" s="9" t="inlineStr">
        <is>
          <t>Discount</t>
        </is>
      </c>
      <c r="AB1" s="9" t="inlineStr">
        <is>
          <t>Subtotal</t>
        </is>
      </c>
      <c r="AC1" s="9" t="inlineStr">
        <is>
          <t>Net</t>
        </is>
      </c>
      <c r="AD1" s="8" t="inlineStr">
        <is>
          <t>Approval Type</t>
        </is>
      </c>
      <c r="AE1" s="8" t="inlineStr">
        <is>
          <t>Max Limit</t>
        </is>
      </c>
      <c r="AF1" s="8" t="inlineStr">
        <is>
          <t>Exceeding Limit</t>
        </is>
      </c>
      <c r="AG1" s="8" t="inlineStr">
        <is>
          <t>Amount collected from customer</t>
        </is>
      </c>
      <c r="AH1" s="8" t="inlineStr">
        <is>
          <t>By Patient (Delivered)</t>
        </is>
      </c>
      <c r="AI1" s="8" t="inlineStr">
        <is>
          <t>Dispense Number</t>
        </is>
      </c>
      <c r="AJ1" s="8" t="inlineStr">
        <is>
          <t>Dispense Date</t>
        </is>
      </c>
      <c r="AK1" s="8" t="inlineStr">
        <is>
          <t>Has OTP?</t>
        </is>
      </c>
      <c r="AL1" s="10" t="inlineStr">
        <is>
          <t>Order 1st Row (helper)</t>
        </is>
      </c>
      <c r="AM1" s="10" t="inlineStr">
        <is>
          <t>Invoice # (helper)</t>
        </is>
      </c>
      <c r="AN1" s="10" t="inlineStr">
        <is>
          <t>Is Local (helper)</t>
        </is>
      </c>
      <c r="AO1" s="10" t="inlineStr">
        <is>
          <t>Is Special (helper)</t>
        </is>
      </c>
      <c r="AP1" s="10" t="inlineStr">
        <is>
          <t>Sort Key (helper)</t>
        </is>
      </c>
    </row>
    <row r="2">
      <c r="G2" s="11" t="n"/>
      <c r="O2" s="7">
        <f>IF($E2="","",N2*W2/100)</f>
        <v/>
      </c>
      <c r="P2" s="7" t="n"/>
      <c r="V2" s="7" t="n"/>
      <c r="W2" s="7" t="n"/>
      <c r="Z2">
        <f>IF($E2="","",IF($AO2=1,0,IF($AN2=1,Settings!$C$6,Settings!$C$7))*100)</f>
        <v/>
      </c>
      <c r="AA2" s="7">
        <f>IF($E2="","",W2*Z2/100)</f>
        <v/>
      </c>
      <c r="AB2" s="7">
        <f>IF($E2="","",W2-AA2)</f>
        <v/>
      </c>
      <c r="AC2" s="7">
        <f>IF($E2="","",AB2-O2)</f>
        <v/>
      </c>
      <c r="AG2" s="7" t="n"/>
      <c r="AJ2" s="11" t="n"/>
      <c r="AL2">
        <f>IF($E2="","",IF(COUNTIF($E$2:$E2,$E2)=1,1,0))</f>
        <v/>
      </c>
      <c r="AM2">
        <f>IF($AL2=1,SUMPRODUCT(--($AP$2:$AP$301&lt;$AP2))+1,"")</f>
        <v/>
      </c>
      <c r="AN2">
        <f>IF($E2="","",IF(OR($S2=TRUE(),$S2="TRUE"),1,0))</f>
        <v/>
      </c>
      <c r="AO2">
        <f>IF($E2="","",IF($Y2="Yes",1,0))</f>
        <v/>
      </c>
      <c r="AP2">
        <f>IF($AL2=1,IFERROR(IF(VALUE($E2)&lt;100000000,VALUE($E2),1000000000),IFERROR(IF(VALUE(MID($E2,2,20))&lt;100000000,VALUE(MID($E2,2,20)),1000000000),1000000000))+ROW()/100000,"")</f>
        <v/>
      </c>
    </row>
    <row r="3">
      <c r="G3" s="11" t="n"/>
      <c r="O3" s="7">
        <f>IF($E3="","",N3*W3/100)</f>
        <v/>
      </c>
      <c r="P3" s="7" t="n"/>
      <c r="V3" s="7" t="n"/>
      <c r="W3" s="7" t="n"/>
      <c r="Z3">
        <f>IF($E3="","",IF($AO3=1,0,IF($AN3=1,Settings!$C$6,Settings!$C$7))*100)</f>
        <v/>
      </c>
      <c r="AA3" s="7">
        <f>IF($E3="","",W3*Z3/100)</f>
        <v/>
      </c>
      <c r="AB3" s="7">
        <f>IF($E3="","",W3-AA3)</f>
        <v/>
      </c>
      <c r="AC3" s="7">
        <f>IF($E3="","",AB3-O3)</f>
        <v/>
      </c>
      <c r="AG3" s="7" t="n"/>
      <c r="AJ3" s="11" t="n"/>
      <c r="AL3">
        <f>IF($E3="","",IF(COUNTIF($E$2:$E3,$E3)=1,1,0))</f>
        <v/>
      </c>
      <c r="AM3">
        <f>IF($AL3=1,SUMPRODUCT(--($AP$2:$AP$301&lt;$AP3))+1,"")</f>
        <v/>
      </c>
      <c r="AN3">
        <f>IF($E3="","",IF(OR($S3=TRUE(),$S3="TRUE"),1,0))</f>
        <v/>
      </c>
      <c r="AO3">
        <f>IF($E3="","",IF($Y3="Yes",1,0))</f>
        <v/>
      </c>
      <c r="AP3">
        <f>IF($AL3=1,IFERROR(IF(VALUE($E3)&lt;100000000,VALUE($E3),1000000000),IFERROR(IF(VALUE(MID($E3,2,20))&lt;100000000,VALUE(MID($E3,2,20)),1000000000),1000000000))+ROW()/100000,"")</f>
        <v/>
      </c>
    </row>
    <row r="4">
      <c r="G4" s="11" t="n"/>
      <c r="O4" s="7">
        <f>IF($E4="","",N4*W4/100)</f>
        <v/>
      </c>
      <c r="P4" s="7" t="n"/>
      <c r="V4" s="7" t="n"/>
      <c r="W4" s="7" t="n"/>
      <c r="Z4">
        <f>IF($E4="","",IF($AO4=1,0,IF($AN4=1,Settings!$C$6,Settings!$C$7))*100)</f>
        <v/>
      </c>
      <c r="AA4" s="7">
        <f>IF($E4="","",W4*Z4/100)</f>
        <v/>
      </c>
      <c r="AB4" s="7">
        <f>IF($E4="","",W4-AA4)</f>
        <v/>
      </c>
      <c r="AC4" s="7">
        <f>IF($E4="","",AB4-O4)</f>
        <v/>
      </c>
      <c r="AG4" s="7" t="n"/>
      <c r="AJ4" s="11" t="n"/>
      <c r="AL4">
        <f>IF($E4="","",IF(COUNTIF($E$2:$E4,$E4)=1,1,0))</f>
        <v/>
      </c>
      <c r="AM4">
        <f>IF($AL4=1,SUMPRODUCT(--($AP$2:$AP$301&lt;$AP4))+1,"")</f>
        <v/>
      </c>
      <c r="AN4">
        <f>IF($E4="","",IF(OR($S4=TRUE(),$S4="TRUE"),1,0))</f>
        <v/>
      </c>
      <c r="AO4">
        <f>IF($E4="","",IF($Y4="Yes",1,0))</f>
        <v/>
      </c>
      <c r="AP4">
        <f>IF($AL4=1,IFERROR(IF(VALUE($E4)&lt;100000000,VALUE($E4),1000000000),IFERROR(IF(VALUE(MID($E4,2,20))&lt;100000000,VALUE(MID($E4,2,20)),1000000000),1000000000))+ROW()/100000,"")</f>
        <v/>
      </c>
    </row>
    <row r="5">
      <c r="G5" s="11" t="n"/>
      <c r="O5" s="7">
        <f>IF($E5="","",N5*W5/100)</f>
        <v/>
      </c>
      <c r="P5" s="7" t="n"/>
      <c r="V5" s="7" t="n"/>
      <c r="W5" s="7" t="n"/>
      <c r="Z5">
        <f>IF($E5="","",IF($AO5=1,0,IF($AN5=1,Settings!$C$6,Settings!$C$7))*100)</f>
        <v/>
      </c>
      <c r="AA5" s="7">
        <f>IF($E5="","",W5*Z5/100)</f>
        <v/>
      </c>
      <c r="AB5" s="7">
        <f>IF($E5="","",W5-AA5)</f>
        <v/>
      </c>
      <c r="AC5" s="7">
        <f>IF($E5="","",AB5-O5)</f>
        <v/>
      </c>
      <c r="AG5" s="7" t="n"/>
      <c r="AJ5" s="11" t="n"/>
      <c r="AL5">
        <f>IF($E5="","",IF(COUNTIF($E$2:$E5,$E5)=1,1,0))</f>
        <v/>
      </c>
      <c r="AM5">
        <f>IF($AL5=1,SUMPRODUCT(--($AP$2:$AP$301&lt;$AP5))+1,"")</f>
        <v/>
      </c>
      <c r="AN5">
        <f>IF($E5="","",IF(OR($S5=TRUE(),$S5="TRUE"),1,0))</f>
        <v/>
      </c>
      <c r="AO5">
        <f>IF($E5="","",IF($Y5="Yes",1,0))</f>
        <v/>
      </c>
      <c r="AP5">
        <f>IF($AL5=1,IFERROR(IF(VALUE($E5)&lt;100000000,VALUE($E5),1000000000),IFERROR(IF(VALUE(MID($E5,2,20))&lt;100000000,VALUE(MID($E5,2,20)),1000000000),1000000000))+ROW()/100000,"")</f>
        <v/>
      </c>
    </row>
    <row r="6">
      <c r="G6" s="11" t="n"/>
      <c r="O6" s="7">
        <f>IF($E6="","",N6*W6/100)</f>
        <v/>
      </c>
      <c r="P6" s="7" t="n"/>
      <c r="V6" s="7" t="n"/>
      <c r="W6" s="7" t="n"/>
      <c r="Z6">
        <f>IF($E6="","",IF($AO6=1,0,IF($AN6=1,Settings!$C$6,Settings!$C$7))*100)</f>
        <v/>
      </c>
      <c r="AA6" s="7">
        <f>IF($E6="","",W6*Z6/100)</f>
        <v/>
      </c>
      <c r="AB6" s="7">
        <f>IF($E6="","",W6-AA6)</f>
        <v/>
      </c>
      <c r="AC6" s="7">
        <f>IF($E6="","",AB6-O6)</f>
        <v/>
      </c>
      <c r="AG6" s="7" t="n"/>
      <c r="AJ6" s="11" t="n"/>
      <c r="AL6">
        <f>IF($E6="","",IF(COUNTIF($E$2:$E6,$E6)=1,1,0))</f>
        <v/>
      </c>
      <c r="AM6">
        <f>IF($AL6=1,SUMPRODUCT(--($AP$2:$AP$301&lt;$AP6))+1,"")</f>
        <v/>
      </c>
      <c r="AN6">
        <f>IF($E6="","",IF(OR($S6=TRUE(),$S6="TRUE"),1,0))</f>
        <v/>
      </c>
      <c r="AO6">
        <f>IF($E6="","",IF($Y6="Yes",1,0))</f>
        <v/>
      </c>
      <c r="AP6">
        <f>IF($AL6=1,IFERROR(IF(VALUE($E6)&lt;100000000,VALUE($E6),1000000000),IFERROR(IF(VALUE(MID($E6,2,20))&lt;100000000,VALUE(MID($E6,2,20)),1000000000),1000000000))+ROW()/100000,"")</f>
        <v/>
      </c>
    </row>
    <row r="7">
      <c r="G7" s="11" t="n"/>
      <c r="O7" s="7">
        <f>IF($E7="","",N7*W7/100)</f>
        <v/>
      </c>
      <c r="P7" s="7" t="n"/>
      <c r="V7" s="7" t="n"/>
      <c r="W7" s="7" t="n"/>
      <c r="Z7">
        <f>IF($E7="","",IF($AO7=1,0,IF($AN7=1,Settings!$C$6,Settings!$C$7))*100)</f>
        <v/>
      </c>
      <c r="AA7" s="7">
        <f>IF($E7="","",W7*Z7/100)</f>
        <v/>
      </c>
      <c r="AB7" s="7">
        <f>IF($E7="","",W7-AA7)</f>
        <v/>
      </c>
      <c r="AC7" s="7">
        <f>IF($E7="","",AB7-O7)</f>
        <v/>
      </c>
      <c r="AG7" s="7" t="n"/>
      <c r="AJ7" s="11" t="n"/>
      <c r="AL7">
        <f>IF($E7="","",IF(COUNTIF($E$2:$E7,$E7)=1,1,0))</f>
        <v/>
      </c>
      <c r="AM7">
        <f>IF($AL7=1,SUMPRODUCT(--($AP$2:$AP$301&lt;$AP7))+1,"")</f>
        <v/>
      </c>
      <c r="AN7">
        <f>IF($E7="","",IF(OR($S7=TRUE(),$S7="TRUE"),1,0))</f>
        <v/>
      </c>
      <c r="AO7">
        <f>IF($E7="","",IF($Y7="Yes",1,0))</f>
        <v/>
      </c>
      <c r="AP7">
        <f>IF($AL7=1,IFERROR(IF(VALUE($E7)&lt;100000000,VALUE($E7),1000000000),IFERROR(IF(VALUE(MID($E7,2,20))&lt;100000000,VALUE(MID($E7,2,20)),1000000000),1000000000))+ROW()/100000,"")</f>
        <v/>
      </c>
    </row>
    <row r="8">
      <c r="G8" s="11" t="n"/>
      <c r="O8" s="7">
        <f>IF($E8="","",N8*W8/100)</f>
        <v/>
      </c>
      <c r="P8" s="7" t="n"/>
      <c r="V8" s="7" t="n"/>
      <c r="W8" s="7" t="n"/>
      <c r="Z8">
        <f>IF($E8="","",IF($AO8=1,0,IF($AN8=1,Settings!$C$6,Settings!$C$7))*100)</f>
        <v/>
      </c>
      <c r="AA8" s="7">
        <f>IF($E8="","",W8*Z8/100)</f>
        <v/>
      </c>
      <c r="AB8" s="7">
        <f>IF($E8="","",W8-AA8)</f>
        <v/>
      </c>
      <c r="AC8" s="7">
        <f>IF($E8="","",AB8-O8)</f>
        <v/>
      </c>
      <c r="AG8" s="7" t="n"/>
      <c r="AJ8" s="11" t="n"/>
      <c r="AL8">
        <f>IF($E8="","",IF(COUNTIF($E$2:$E8,$E8)=1,1,0))</f>
        <v/>
      </c>
      <c r="AM8">
        <f>IF($AL8=1,SUMPRODUCT(--($AP$2:$AP$301&lt;$AP8))+1,"")</f>
        <v/>
      </c>
      <c r="AN8">
        <f>IF($E8="","",IF(OR($S8=TRUE(),$S8="TRUE"),1,0))</f>
        <v/>
      </c>
      <c r="AO8">
        <f>IF($E8="","",IF($Y8="Yes",1,0))</f>
        <v/>
      </c>
      <c r="AP8">
        <f>IF($AL8=1,IFERROR(IF(VALUE($E8)&lt;100000000,VALUE($E8),1000000000),IFERROR(IF(VALUE(MID($E8,2,20))&lt;100000000,VALUE(MID($E8,2,20)),1000000000),1000000000))+ROW()/100000,"")</f>
        <v/>
      </c>
    </row>
    <row r="9">
      <c r="G9" s="11" t="n"/>
      <c r="O9" s="7">
        <f>IF($E9="","",N9*W9/100)</f>
        <v/>
      </c>
      <c r="P9" s="7" t="n"/>
      <c r="V9" s="7" t="n"/>
      <c r="W9" s="7" t="n"/>
      <c r="Z9">
        <f>IF($E9="","",IF($AO9=1,0,IF($AN9=1,Settings!$C$6,Settings!$C$7))*100)</f>
        <v/>
      </c>
      <c r="AA9" s="7">
        <f>IF($E9="","",W9*Z9/100)</f>
        <v/>
      </c>
      <c r="AB9" s="7">
        <f>IF($E9="","",W9-AA9)</f>
        <v/>
      </c>
      <c r="AC9" s="7">
        <f>IF($E9="","",AB9-O9)</f>
        <v/>
      </c>
      <c r="AG9" s="7" t="n"/>
      <c r="AJ9" s="11" t="n"/>
      <c r="AL9">
        <f>IF($E9="","",IF(COUNTIF($E$2:$E9,$E9)=1,1,0))</f>
        <v/>
      </c>
      <c r="AM9">
        <f>IF($AL9=1,SUMPRODUCT(--($AP$2:$AP$301&lt;$AP9))+1,"")</f>
        <v/>
      </c>
      <c r="AN9">
        <f>IF($E9="","",IF(OR($S9=TRUE(),$S9="TRUE"),1,0))</f>
        <v/>
      </c>
      <c r="AO9">
        <f>IF($E9="","",IF($Y9="Yes",1,0))</f>
        <v/>
      </c>
      <c r="AP9">
        <f>IF($AL9=1,IFERROR(IF(VALUE($E9)&lt;100000000,VALUE($E9),1000000000),IFERROR(IF(VALUE(MID($E9,2,20))&lt;100000000,VALUE(MID($E9,2,20)),1000000000),1000000000))+ROW()/100000,"")</f>
        <v/>
      </c>
    </row>
    <row r="10">
      <c r="G10" s="11" t="n"/>
      <c r="O10" s="7">
        <f>IF($E10="","",N10*W10/100)</f>
        <v/>
      </c>
      <c r="P10" s="7" t="n"/>
      <c r="V10" s="7" t="n"/>
      <c r="W10" s="7" t="n"/>
      <c r="Z10">
        <f>IF($E10="","",IF($AO10=1,0,IF($AN10=1,Settings!$C$6,Settings!$C$7))*100)</f>
        <v/>
      </c>
      <c r="AA10" s="7">
        <f>IF($E10="","",W10*Z10/100)</f>
        <v/>
      </c>
      <c r="AB10" s="7">
        <f>IF($E10="","",W10-AA10)</f>
        <v/>
      </c>
      <c r="AC10" s="7">
        <f>IF($E10="","",AB10-O10)</f>
        <v/>
      </c>
      <c r="AG10" s="7" t="n"/>
      <c r="AJ10" s="11" t="n"/>
      <c r="AL10">
        <f>IF($E10="","",IF(COUNTIF($E$2:$E10,$E10)=1,1,0))</f>
        <v/>
      </c>
      <c r="AM10">
        <f>IF($AL10=1,SUMPRODUCT(--($AP$2:$AP$301&lt;$AP10))+1,"")</f>
        <v/>
      </c>
      <c r="AN10">
        <f>IF($E10="","",IF(OR($S10=TRUE(),$S10="TRUE"),1,0))</f>
        <v/>
      </c>
      <c r="AO10">
        <f>IF($E10="","",IF($Y10="Yes",1,0))</f>
        <v/>
      </c>
      <c r="AP10">
        <f>IF($AL10=1,IFERROR(IF(VALUE($E10)&lt;100000000,VALUE($E10),1000000000),IFERROR(IF(VALUE(MID($E10,2,20))&lt;100000000,VALUE(MID($E10,2,20)),1000000000),1000000000))+ROW()/100000,"")</f>
        <v/>
      </c>
    </row>
    <row r="11">
      <c r="G11" s="11" t="n"/>
      <c r="O11" s="7">
        <f>IF($E11="","",N11*W11/100)</f>
        <v/>
      </c>
      <c r="P11" s="7" t="n"/>
      <c r="V11" s="7" t="n"/>
      <c r="W11" s="7" t="n"/>
      <c r="Z11">
        <f>IF($E11="","",IF($AO11=1,0,IF($AN11=1,Settings!$C$6,Settings!$C$7))*100)</f>
        <v/>
      </c>
      <c r="AA11" s="7">
        <f>IF($E11="","",W11*Z11/100)</f>
        <v/>
      </c>
      <c r="AB11" s="7">
        <f>IF($E11="","",W11-AA11)</f>
        <v/>
      </c>
      <c r="AC11" s="7">
        <f>IF($E11="","",AB11-O11)</f>
        <v/>
      </c>
      <c r="AG11" s="7" t="n"/>
      <c r="AJ11" s="11" t="n"/>
      <c r="AL11">
        <f>IF($E11="","",IF(COUNTIF($E$2:$E11,$E11)=1,1,0))</f>
        <v/>
      </c>
      <c r="AM11">
        <f>IF($AL11=1,SUMPRODUCT(--($AP$2:$AP$301&lt;$AP11))+1,"")</f>
        <v/>
      </c>
      <c r="AN11">
        <f>IF($E11="","",IF(OR($S11=TRUE(),$S11="TRUE"),1,0))</f>
        <v/>
      </c>
      <c r="AO11">
        <f>IF($E11="","",IF($Y11="Yes",1,0))</f>
        <v/>
      </c>
      <c r="AP11">
        <f>IF($AL11=1,IFERROR(IF(VALUE($E11)&lt;100000000,VALUE($E11),1000000000),IFERROR(IF(VALUE(MID($E11,2,20))&lt;100000000,VALUE(MID($E11,2,20)),1000000000),1000000000))+ROW()/100000,"")</f>
        <v/>
      </c>
    </row>
    <row r="12">
      <c r="G12" s="11" t="n"/>
      <c r="O12" s="7">
        <f>IF($E12="","",N12*W12/100)</f>
        <v/>
      </c>
      <c r="P12" s="7" t="n"/>
      <c r="V12" s="7" t="n"/>
      <c r="W12" s="7" t="n"/>
      <c r="Z12">
        <f>IF($E12="","",IF($AO12=1,0,IF($AN12=1,Settings!$C$6,Settings!$C$7))*100)</f>
        <v/>
      </c>
      <c r="AA12" s="7">
        <f>IF($E12="","",W12*Z12/100)</f>
        <v/>
      </c>
      <c r="AB12" s="7">
        <f>IF($E12="","",W12-AA12)</f>
        <v/>
      </c>
      <c r="AC12" s="7">
        <f>IF($E12="","",AB12-O12)</f>
        <v/>
      </c>
      <c r="AG12" s="7" t="n"/>
      <c r="AJ12" s="11" t="n"/>
      <c r="AL12">
        <f>IF($E12="","",IF(COUNTIF($E$2:$E12,$E12)=1,1,0))</f>
        <v/>
      </c>
      <c r="AM12">
        <f>IF($AL12=1,SUMPRODUCT(--($AP$2:$AP$301&lt;$AP12))+1,"")</f>
        <v/>
      </c>
      <c r="AN12">
        <f>IF($E12="","",IF(OR($S12=TRUE(),$S12="TRUE"),1,0))</f>
        <v/>
      </c>
      <c r="AO12">
        <f>IF($E12="","",IF($Y12="Yes",1,0))</f>
        <v/>
      </c>
      <c r="AP12">
        <f>IF($AL12=1,IFERROR(IF(VALUE($E12)&lt;100000000,VALUE($E12),1000000000),IFERROR(IF(VALUE(MID($E12,2,20))&lt;100000000,VALUE(MID($E12,2,20)),1000000000),1000000000))+ROW()/100000,"")</f>
        <v/>
      </c>
    </row>
    <row r="13">
      <c r="G13" s="11" t="n"/>
      <c r="O13" s="7">
        <f>IF($E13="","",N13*W13/100)</f>
        <v/>
      </c>
      <c r="P13" s="7" t="n"/>
      <c r="V13" s="7" t="n"/>
      <c r="W13" s="7" t="n"/>
      <c r="Z13">
        <f>IF($E13="","",IF($AO13=1,0,IF($AN13=1,Settings!$C$6,Settings!$C$7))*100)</f>
        <v/>
      </c>
      <c r="AA13" s="7">
        <f>IF($E13="","",W13*Z13/100)</f>
        <v/>
      </c>
      <c r="AB13" s="7">
        <f>IF($E13="","",W13-AA13)</f>
        <v/>
      </c>
      <c r="AC13" s="7">
        <f>IF($E13="","",AB13-O13)</f>
        <v/>
      </c>
      <c r="AG13" s="7" t="n"/>
      <c r="AJ13" s="11" t="n"/>
      <c r="AL13">
        <f>IF($E13="","",IF(COUNTIF($E$2:$E13,$E13)=1,1,0))</f>
        <v/>
      </c>
      <c r="AM13">
        <f>IF($AL13=1,SUMPRODUCT(--($AP$2:$AP$301&lt;$AP13))+1,"")</f>
        <v/>
      </c>
      <c r="AN13">
        <f>IF($E13="","",IF(OR($S13=TRUE(),$S13="TRUE"),1,0))</f>
        <v/>
      </c>
      <c r="AO13">
        <f>IF($E13="","",IF($Y13="Yes",1,0))</f>
        <v/>
      </c>
      <c r="AP13">
        <f>IF($AL13=1,IFERROR(IF(VALUE($E13)&lt;100000000,VALUE($E13),1000000000),IFERROR(IF(VALUE(MID($E13,2,20))&lt;100000000,VALUE(MID($E13,2,20)),1000000000),1000000000))+ROW()/100000,"")</f>
        <v/>
      </c>
    </row>
    <row r="14">
      <c r="G14" s="11" t="n"/>
      <c r="O14" s="7">
        <f>IF($E14="","",N14*W14/100)</f>
        <v/>
      </c>
      <c r="P14" s="7" t="n"/>
      <c r="V14" s="7" t="n"/>
      <c r="W14" s="7" t="n"/>
      <c r="Z14">
        <f>IF($E14="","",IF($AO14=1,0,IF($AN14=1,Settings!$C$6,Settings!$C$7))*100)</f>
        <v/>
      </c>
      <c r="AA14" s="7">
        <f>IF($E14="","",W14*Z14/100)</f>
        <v/>
      </c>
      <c r="AB14" s="7">
        <f>IF($E14="","",W14-AA14)</f>
        <v/>
      </c>
      <c r="AC14" s="7">
        <f>IF($E14="","",AB14-O14)</f>
        <v/>
      </c>
      <c r="AG14" s="7" t="n"/>
      <c r="AJ14" s="11" t="n"/>
      <c r="AL14">
        <f>IF($E14="","",IF(COUNTIF($E$2:$E14,$E14)=1,1,0))</f>
        <v/>
      </c>
      <c r="AM14">
        <f>IF($AL14=1,SUMPRODUCT(--($AP$2:$AP$301&lt;$AP14))+1,"")</f>
        <v/>
      </c>
      <c r="AN14">
        <f>IF($E14="","",IF(OR($S14=TRUE(),$S14="TRUE"),1,0))</f>
        <v/>
      </c>
      <c r="AO14">
        <f>IF($E14="","",IF($Y14="Yes",1,0))</f>
        <v/>
      </c>
      <c r="AP14">
        <f>IF($AL14=1,IFERROR(IF(VALUE($E14)&lt;100000000,VALUE($E14),1000000000),IFERROR(IF(VALUE(MID($E14,2,20))&lt;100000000,VALUE(MID($E14,2,20)),1000000000),1000000000))+ROW()/100000,"")</f>
        <v/>
      </c>
    </row>
    <row r="15">
      <c r="G15" s="11" t="n"/>
      <c r="O15" s="7">
        <f>IF($E15="","",N15*W15/100)</f>
        <v/>
      </c>
      <c r="P15" s="7" t="n"/>
      <c r="V15" s="7" t="n"/>
      <c r="W15" s="7" t="n"/>
      <c r="Z15">
        <f>IF($E15="","",IF($AO15=1,0,IF($AN15=1,Settings!$C$6,Settings!$C$7))*100)</f>
        <v/>
      </c>
      <c r="AA15" s="7">
        <f>IF($E15="","",W15*Z15/100)</f>
        <v/>
      </c>
      <c r="AB15" s="7">
        <f>IF($E15="","",W15-AA15)</f>
        <v/>
      </c>
      <c r="AC15" s="7">
        <f>IF($E15="","",AB15-O15)</f>
        <v/>
      </c>
      <c r="AG15" s="7" t="n"/>
      <c r="AJ15" s="11" t="n"/>
      <c r="AL15">
        <f>IF($E15="","",IF(COUNTIF($E$2:$E15,$E15)=1,1,0))</f>
        <v/>
      </c>
      <c r="AM15">
        <f>IF($AL15=1,SUMPRODUCT(--($AP$2:$AP$301&lt;$AP15))+1,"")</f>
        <v/>
      </c>
      <c r="AN15">
        <f>IF($E15="","",IF(OR($S15=TRUE(),$S15="TRUE"),1,0))</f>
        <v/>
      </c>
      <c r="AO15">
        <f>IF($E15="","",IF($Y15="Yes",1,0))</f>
        <v/>
      </c>
      <c r="AP15">
        <f>IF($AL15=1,IFERROR(IF(VALUE($E15)&lt;100000000,VALUE($E15),1000000000),IFERROR(IF(VALUE(MID($E15,2,20))&lt;100000000,VALUE(MID($E15,2,20)),1000000000),1000000000))+ROW()/100000,"")</f>
        <v/>
      </c>
    </row>
    <row r="16">
      <c r="G16" s="11" t="n"/>
      <c r="O16" s="7">
        <f>IF($E16="","",N16*W16/100)</f>
        <v/>
      </c>
      <c r="P16" s="7" t="n"/>
      <c r="V16" s="7" t="n"/>
      <c r="W16" s="7" t="n"/>
      <c r="Z16">
        <f>IF($E16="","",IF($AO16=1,0,IF($AN16=1,Settings!$C$6,Settings!$C$7))*100)</f>
        <v/>
      </c>
      <c r="AA16" s="7">
        <f>IF($E16="","",W16*Z16/100)</f>
        <v/>
      </c>
      <c r="AB16" s="7">
        <f>IF($E16="","",W16-AA16)</f>
        <v/>
      </c>
      <c r="AC16" s="7">
        <f>IF($E16="","",AB16-O16)</f>
        <v/>
      </c>
      <c r="AG16" s="7" t="n"/>
      <c r="AJ16" s="11" t="n"/>
      <c r="AL16">
        <f>IF($E16="","",IF(COUNTIF($E$2:$E16,$E16)=1,1,0))</f>
        <v/>
      </c>
      <c r="AM16">
        <f>IF($AL16=1,SUMPRODUCT(--($AP$2:$AP$301&lt;$AP16))+1,"")</f>
        <v/>
      </c>
      <c r="AN16">
        <f>IF($E16="","",IF(OR($S16=TRUE(),$S16="TRUE"),1,0))</f>
        <v/>
      </c>
      <c r="AO16">
        <f>IF($E16="","",IF($Y16="Yes",1,0))</f>
        <v/>
      </c>
      <c r="AP16">
        <f>IF($AL16=1,IFERROR(IF(VALUE($E16)&lt;100000000,VALUE($E16),1000000000),IFERROR(IF(VALUE(MID($E16,2,20))&lt;100000000,VALUE(MID($E16,2,20)),1000000000),1000000000))+ROW()/100000,"")</f>
        <v/>
      </c>
    </row>
    <row r="17">
      <c r="G17" s="11" t="n"/>
      <c r="O17" s="7">
        <f>IF($E17="","",N17*W17/100)</f>
        <v/>
      </c>
      <c r="P17" s="7" t="n"/>
      <c r="V17" s="7" t="n"/>
      <c r="W17" s="7" t="n"/>
      <c r="Z17">
        <f>IF($E17="","",IF($AO17=1,0,IF($AN17=1,Settings!$C$6,Settings!$C$7))*100)</f>
        <v/>
      </c>
      <c r="AA17" s="7">
        <f>IF($E17="","",W17*Z17/100)</f>
        <v/>
      </c>
      <c r="AB17" s="7">
        <f>IF($E17="","",W17-AA17)</f>
        <v/>
      </c>
      <c r="AC17" s="7">
        <f>IF($E17="","",AB17-O17)</f>
        <v/>
      </c>
      <c r="AG17" s="7" t="n"/>
      <c r="AJ17" s="11" t="n"/>
      <c r="AL17">
        <f>IF($E17="","",IF(COUNTIF($E$2:$E17,$E17)=1,1,0))</f>
        <v/>
      </c>
      <c r="AM17">
        <f>IF($AL17=1,SUMPRODUCT(--($AP$2:$AP$301&lt;$AP17))+1,"")</f>
        <v/>
      </c>
      <c r="AN17">
        <f>IF($E17="","",IF(OR($S17=TRUE(),$S17="TRUE"),1,0))</f>
        <v/>
      </c>
      <c r="AO17">
        <f>IF($E17="","",IF($Y17="Yes",1,0))</f>
        <v/>
      </c>
      <c r="AP17">
        <f>IF($AL17=1,IFERROR(IF(VALUE($E17)&lt;100000000,VALUE($E17),1000000000),IFERROR(IF(VALUE(MID($E17,2,20))&lt;100000000,VALUE(MID($E17,2,20)),1000000000),1000000000))+ROW()/100000,"")</f>
        <v/>
      </c>
    </row>
    <row r="18">
      <c r="G18" s="11" t="n"/>
      <c r="O18" s="7">
        <f>IF($E18="","",N18*W18/100)</f>
        <v/>
      </c>
      <c r="P18" s="7" t="n"/>
      <c r="V18" s="7" t="n"/>
      <c r="W18" s="7" t="n"/>
      <c r="Z18">
        <f>IF($E18="","",IF($AO18=1,0,IF($AN18=1,Settings!$C$6,Settings!$C$7))*100)</f>
        <v/>
      </c>
      <c r="AA18" s="7">
        <f>IF($E18="","",W18*Z18/100)</f>
        <v/>
      </c>
      <c r="AB18" s="7">
        <f>IF($E18="","",W18-AA18)</f>
        <v/>
      </c>
      <c r="AC18" s="7">
        <f>IF($E18="","",AB18-O18)</f>
        <v/>
      </c>
      <c r="AG18" s="7" t="n"/>
      <c r="AJ18" s="11" t="n"/>
      <c r="AL18">
        <f>IF($E18="","",IF(COUNTIF($E$2:$E18,$E18)=1,1,0))</f>
        <v/>
      </c>
      <c r="AM18">
        <f>IF($AL18=1,SUMPRODUCT(--($AP$2:$AP$301&lt;$AP18))+1,"")</f>
        <v/>
      </c>
      <c r="AN18">
        <f>IF($E18="","",IF(OR($S18=TRUE(),$S18="TRUE"),1,0))</f>
        <v/>
      </c>
      <c r="AO18">
        <f>IF($E18="","",IF($Y18="Yes",1,0))</f>
        <v/>
      </c>
      <c r="AP18">
        <f>IF($AL18=1,IFERROR(IF(VALUE($E18)&lt;100000000,VALUE($E18),1000000000),IFERROR(IF(VALUE(MID($E18,2,20))&lt;100000000,VALUE(MID($E18,2,20)),1000000000),1000000000))+ROW()/100000,"")</f>
        <v/>
      </c>
    </row>
    <row r="19">
      <c r="G19" s="11" t="n"/>
      <c r="O19" s="7">
        <f>IF($E19="","",N19*W19/100)</f>
        <v/>
      </c>
      <c r="P19" s="7" t="n"/>
      <c r="V19" s="7" t="n"/>
      <c r="W19" s="7" t="n"/>
      <c r="Z19">
        <f>IF($E19="","",IF($AO19=1,0,IF($AN19=1,Settings!$C$6,Settings!$C$7))*100)</f>
        <v/>
      </c>
      <c r="AA19" s="7">
        <f>IF($E19="","",W19*Z19/100)</f>
        <v/>
      </c>
      <c r="AB19" s="7">
        <f>IF($E19="","",W19-AA19)</f>
        <v/>
      </c>
      <c r="AC19" s="7">
        <f>IF($E19="","",AB19-O19)</f>
        <v/>
      </c>
      <c r="AG19" s="7" t="n"/>
      <c r="AJ19" s="11" t="n"/>
      <c r="AL19">
        <f>IF($E19="","",IF(COUNTIF($E$2:$E19,$E19)=1,1,0))</f>
        <v/>
      </c>
      <c r="AM19">
        <f>IF($AL19=1,SUMPRODUCT(--($AP$2:$AP$301&lt;$AP19))+1,"")</f>
        <v/>
      </c>
      <c r="AN19">
        <f>IF($E19="","",IF(OR($S19=TRUE(),$S19="TRUE"),1,0))</f>
        <v/>
      </c>
      <c r="AO19">
        <f>IF($E19="","",IF($Y19="Yes",1,0))</f>
        <v/>
      </c>
      <c r="AP19">
        <f>IF($AL19=1,IFERROR(IF(VALUE($E19)&lt;100000000,VALUE($E19),1000000000),IFERROR(IF(VALUE(MID($E19,2,20))&lt;100000000,VALUE(MID($E19,2,20)),1000000000),1000000000))+ROW()/100000,"")</f>
        <v/>
      </c>
    </row>
    <row r="20">
      <c r="G20" s="11" t="n"/>
      <c r="O20" s="7">
        <f>IF($E20="","",N20*W20/100)</f>
        <v/>
      </c>
      <c r="P20" s="7" t="n"/>
      <c r="V20" s="7" t="n"/>
      <c r="W20" s="7" t="n"/>
      <c r="Z20">
        <f>IF($E20="","",IF($AO20=1,0,IF($AN20=1,Settings!$C$6,Settings!$C$7))*100)</f>
        <v/>
      </c>
      <c r="AA20" s="7">
        <f>IF($E20="","",W20*Z20/100)</f>
        <v/>
      </c>
      <c r="AB20" s="7">
        <f>IF($E20="","",W20-AA20)</f>
        <v/>
      </c>
      <c r="AC20" s="7">
        <f>IF($E20="","",AB20-O20)</f>
        <v/>
      </c>
      <c r="AG20" s="7" t="n"/>
      <c r="AJ20" s="11" t="n"/>
      <c r="AL20">
        <f>IF($E20="","",IF(COUNTIF($E$2:$E20,$E20)=1,1,0))</f>
        <v/>
      </c>
      <c r="AM20">
        <f>IF($AL20=1,SUMPRODUCT(--($AP$2:$AP$301&lt;$AP20))+1,"")</f>
        <v/>
      </c>
      <c r="AN20">
        <f>IF($E20="","",IF(OR($S20=TRUE(),$S20="TRUE"),1,0))</f>
        <v/>
      </c>
      <c r="AO20">
        <f>IF($E20="","",IF($Y20="Yes",1,0))</f>
        <v/>
      </c>
      <c r="AP20">
        <f>IF($AL20=1,IFERROR(IF(VALUE($E20)&lt;100000000,VALUE($E20),1000000000),IFERROR(IF(VALUE(MID($E20,2,20))&lt;100000000,VALUE(MID($E20,2,20)),1000000000),1000000000))+ROW()/100000,"")</f>
        <v/>
      </c>
    </row>
    <row r="21">
      <c r="G21" s="11" t="n"/>
      <c r="O21" s="7">
        <f>IF($E21="","",N21*W21/100)</f>
        <v/>
      </c>
      <c r="P21" s="7" t="n"/>
      <c r="V21" s="7" t="n"/>
      <c r="W21" s="7" t="n"/>
      <c r="Z21">
        <f>IF($E21="","",IF($AO21=1,0,IF($AN21=1,Settings!$C$6,Settings!$C$7))*100)</f>
        <v/>
      </c>
      <c r="AA21" s="7">
        <f>IF($E21="","",W21*Z21/100)</f>
        <v/>
      </c>
      <c r="AB21" s="7">
        <f>IF($E21="","",W21-AA21)</f>
        <v/>
      </c>
      <c r="AC21" s="7">
        <f>IF($E21="","",AB21-O21)</f>
        <v/>
      </c>
      <c r="AG21" s="7" t="n"/>
      <c r="AJ21" s="11" t="n"/>
      <c r="AL21">
        <f>IF($E21="","",IF(COUNTIF($E$2:$E21,$E21)=1,1,0))</f>
        <v/>
      </c>
      <c r="AM21">
        <f>IF($AL21=1,SUMPRODUCT(--($AP$2:$AP$301&lt;$AP21))+1,"")</f>
        <v/>
      </c>
      <c r="AN21">
        <f>IF($E21="","",IF(OR($S21=TRUE(),$S21="TRUE"),1,0))</f>
        <v/>
      </c>
      <c r="AO21">
        <f>IF($E21="","",IF($Y21="Yes",1,0))</f>
        <v/>
      </c>
      <c r="AP21">
        <f>IF($AL21=1,IFERROR(IF(VALUE($E21)&lt;100000000,VALUE($E21),1000000000),IFERROR(IF(VALUE(MID($E21,2,20))&lt;100000000,VALUE(MID($E21,2,20)),1000000000),1000000000))+ROW()/100000,"")</f>
        <v/>
      </c>
    </row>
    <row r="22">
      <c r="G22" s="11" t="n"/>
      <c r="O22" s="7">
        <f>IF($E22="","",N22*W22/100)</f>
        <v/>
      </c>
      <c r="P22" s="7" t="n"/>
      <c r="V22" s="7" t="n"/>
      <c r="W22" s="7" t="n"/>
      <c r="Z22">
        <f>IF($E22="","",IF($AO22=1,0,IF($AN22=1,Settings!$C$6,Settings!$C$7))*100)</f>
        <v/>
      </c>
      <c r="AA22" s="7">
        <f>IF($E22="","",W22*Z22/100)</f>
        <v/>
      </c>
      <c r="AB22" s="7">
        <f>IF($E22="","",W22-AA22)</f>
        <v/>
      </c>
      <c r="AC22" s="7">
        <f>IF($E22="","",AB22-O22)</f>
        <v/>
      </c>
      <c r="AG22" s="7" t="n"/>
      <c r="AJ22" s="11" t="n"/>
      <c r="AL22">
        <f>IF($E22="","",IF(COUNTIF($E$2:$E22,$E22)=1,1,0))</f>
        <v/>
      </c>
      <c r="AM22">
        <f>IF($AL22=1,SUMPRODUCT(--($AP$2:$AP$301&lt;$AP22))+1,"")</f>
        <v/>
      </c>
      <c r="AN22">
        <f>IF($E22="","",IF(OR($S22=TRUE(),$S22="TRUE"),1,0))</f>
        <v/>
      </c>
      <c r="AO22">
        <f>IF($E22="","",IF($Y22="Yes",1,0))</f>
        <v/>
      </c>
      <c r="AP22">
        <f>IF($AL22=1,IFERROR(IF(VALUE($E22)&lt;100000000,VALUE($E22),1000000000),IFERROR(IF(VALUE(MID($E22,2,20))&lt;100000000,VALUE(MID($E22,2,20)),1000000000),1000000000))+ROW()/100000,"")</f>
        <v/>
      </c>
    </row>
    <row r="23">
      <c r="G23" s="11" t="n"/>
      <c r="O23" s="7">
        <f>IF($E23="","",N23*W23/100)</f>
        <v/>
      </c>
      <c r="P23" s="7" t="n"/>
      <c r="V23" s="7" t="n"/>
      <c r="W23" s="7" t="n"/>
      <c r="Z23">
        <f>IF($E23="","",IF($AO23=1,0,IF($AN23=1,Settings!$C$6,Settings!$C$7))*100)</f>
        <v/>
      </c>
      <c r="AA23" s="7">
        <f>IF($E23="","",W23*Z23/100)</f>
        <v/>
      </c>
      <c r="AB23" s="7">
        <f>IF($E23="","",W23-AA23)</f>
        <v/>
      </c>
      <c r="AC23" s="7">
        <f>IF($E23="","",AB23-O23)</f>
        <v/>
      </c>
      <c r="AG23" s="7" t="n"/>
      <c r="AJ23" s="11" t="n"/>
      <c r="AL23">
        <f>IF($E23="","",IF(COUNTIF($E$2:$E23,$E23)=1,1,0))</f>
        <v/>
      </c>
      <c r="AM23">
        <f>IF($AL23=1,SUMPRODUCT(--($AP$2:$AP$301&lt;$AP23))+1,"")</f>
        <v/>
      </c>
      <c r="AN23">
        <f>IF($E23="","",IF(OR($S23=TRUE(),$S23="TRUE"),1,0))</f>
        <v/>
      </c>
      <c r="AO23">
        <f>IF($E23="","",IF($Y23="Yes",1,0))</f>
        <v/>
      </c>
      <c r="AP23">
        <f>IF($AL23=1,IFERROR(IF(VALUE($E23)&lt;100000000,VALUE($E23),1000000000),IFERROR(IF(VALUE(MID($E23,2,20))&lt;100000000,VALUE(MID($E23,2,20)),1000000000),1000000000))+ROW()/100000,"")</f>
        <v/>
      </c>
    </row>
    <row r="24">
      <c r="G24" s="11" t="n"/>
      <c r="O24" s="7">
        <f>IF($E24="","",N24*W24/100)</f>
        <v/>
      </c>
      <c r="P24" s="7" t="n"/>
      <c r="V24" s="7" t="n"/>
      <c r="W24" s="7" t="n"/>
      <c r="Z24">
        <f>IF($E24="","",IF($AO24=1,0,IF($AN24=1,Settings!$C$6,Settings!$C$7))*100)</f>
        <v/>
      </c>
      <c r="AA24" s="7">
        <f>IF($E24="","",W24*Z24/100)</f>
        <v/>
      </c>
      <c r="AB24" s="7">
        <f>IF($E24="","",W24-AA24)</f>
        <v/>
      </c>
      <c r="AC24" s="7">
        <f>IF($E24="","",AB24-O24)</f>
        <v/>
      </c>
      <c r="AG24" s="7" t="n"/>
      <c r="AJ24" s="11" t="n"/>
      <c r="AL24">
        <f>IF($E24="","",IF(COUNTIF($E$2:$E24,$E24)=1,1,0))</f>
        <v/>
      </c>
      <c r="AM24">
        <f>IF($AL24=1,SUMPRODUCT(--($AP$2:$AP$301&lt;$AP24))+1,"")</f>
        <v/>
      </c>
      <c r="AN24">
        <f>IF($E24="","",IF(OR($S24=TRUE(),$S24="TRUE"),1,0))</f>
        <v/>
      </c>
      <c r="AO24">
        <f>IF($E24="","",IF($Y24="Yes",1,0))</f>
        <v/>
      </c>
      <c r="AP24">
        <f>IF($AL24=1,IFERROR(IF(VALUE($E24)&lt;100000000,VALUE($E24),1000000000),IFERROR(IF(VALUE(MID($E24,2,20))&lt;100000000,VALUE(MID($E24,2,20)),1000000000),1000000000))+ROW()/100000,"")</f>
        <v/>
      </c>
    </row>
    <row r="25">
      <c r="G25" s="11" t="n"/>
      <c r="O25" s="7">
        <f>IF($E25="","",N25*W25/100)</f>
        <v/>
      </c>
      <c r="P25" s="7" t="n"/>
      <c r="V25" s="7" t="n"/>
      <c r="W25" s="7" t="n"/>
      <c r="Z25">
        <f>IF($E25="","",IF($AO25=1,0,IF($AN25=1,Settings!$C$6,Settings!$C$7))*100)</f>
        <v/>
      </c>
      <c r="AA25" s="7">
        <f>IF($E25="","",W25*Z25/100)</f>
        <v/>
      </c>
      <c r="AB25" s="7">
        <f>IF($E25="","",W25-AA25)</f>
        <v/>
      </c>
      <c r="AC25" s="7">
        <f>IF($E25="","",AB25-O25)</f>
        <v/>
      </c>
      <c r="AG25" s="7" t="n"/>
      <c r="AJ25" s="11" t="n"/>
      <c r="AL25">
        <f>IF($E25="","",IF(COUNTIF($E$2:$E25,$E25)=1,1,0))</f>
        <v/>
      </c>
      <c r="AM25">
        <f>IF($AL25=1,SUMPRODUCT(--($AP$2:$AP$301&lt;$AP25))+1,"")</f>
        <v/>
      </c>
      <c r="AN25">
        <f>IF($E25="","",IF(OR($S25=TRUE(),$S25="TRUE"),1,0))</f>
        <v/>
      </c>
      <c r="AO25">
        <f>IF($E25="","",IF($Y25="Yes",1,0))</f>
        <v/>
      </c>
      <c r="AP25">
        <f>IF($AL25=1,IFERROR(IF(VALUE($E25)&lt;100000000,VALUE($E25),1000000000),IFERROR(IF(VALUE(MID($E25,2,20))&lt;100000000,VALUE(MID($E25,2,20)),1000000000),1000000000))+ROW()/100000,"")</f>
        <v/>
      </c>
    </row>
    <row r="26">
      <c r="G26" s="11" t="n"/>
      <c r="O26" s="7">
        <f>IF($E26="","",N26*W26/100)</f>
        <v/>
      </c>
      <c r="P26" s="7" t="n"/>
      <c r="V26" s="7" t="n"/>
      <c r="W26" s="7" t="n"/>
      <c r="Z26">
        <f>IF($E26="","",IF($AO26=1,0,IF($AN26=1,Settings!$C$6,Settings!$C$7))*100)</f>
        <v/>
      </c>
      <c r="AA26" s="7">
        <f>IF($E26="","",W26*Z26/100)</f>
        <v/>
      </c>
      <c r="AB26" s="7">
        <f>IF($E26="","",W26-AA26)</f>
        <v/>
      </c>
      <c r="AC26" s="7">
        <f>IF($E26="","",AB26-O26)</f>
        <v/>
      </c>
      <c r="AG26" s="7" t="n"/>
      <c r="AJ26" s="11" t="n"/>
      <c r="AL26">
        <f>IF($E26="","",IF(COUNTIF($E$2:$E26,$E26)=1,1,0))</f>
        <v/>
      </c>
      <c r="AM26">
        <f>IF($AL26=1,SUMPRODUCT(--($AP$2:$AP$301&lt;$AP26))+1,"")</f>
        <v/>
      </c>
      <c r="AN26">
        <f>IF($E26="","",IF(OR($S26=TRUE(),$S26="TRUE"),1,0))</f>
        <v/>
      </c>
      <c r="AO26">
        <f>IF($E26="","",IF($Y26="Yes",1,0))</f>
        <v/>
      </c>
      <c r="AP26">
        <f>IF($AL26=1,IFERROR(IF(VALUE($E26)&lt;100000000,VALUE($E26),1000000000),IFERROR(IF(VALUE(MID($E26,2,20))&lt;100000000,VALUE(MID($E26,2,20)),1000000000),1000000000))+ROW()/100000,"")</f>
        <v/>
      </c>
    </row>
    <row r="27">
      <c r="G27" s="11" t="n"/>
      <c r="O27" s="7">
        <f>IF($E27="","",N27*W27/100)</f>
        <v/>
      </c>
      <c r="P27" s="7" t="n"/>
      <c r="V27" s="7" t="n"/>
      <c r="W27" s="7" t="n"/>
      <c r="Z27">
        <f>IF($E27="","",IF($AO27=1,0,IF($AN27=1,Settings!$C$6,Settings!$C$7))*100)</f>
        <v/>
      </c>
      <c r="AA27" s="7">
        <f>IF($E27="","",W27*Z27/100)</f>
        <v/>
      </c>
      <c r="AB27" s="7">
        <f>IF($E27="","",W27-AA27)</f>
        <v/>
      </c>
      <c r="AC27" s="7">
        <f>IF($E27="","",AB27-O27)</f>
        <v/>
      </c>
      <c r="AG27" s="7" t="n"/>
      <c r="AJ27" s="11" t="n"/>
      <c r="AL27">
        <f>IF($E27="","",IF(COUNTIF($E$2:$E27,$E27)=1,1,0))</f>
        <v/>
      </c>
      <c r="AM27">
        <f>IF($AL27=1,SUMPRODUCT(--($AP$2:$AP$301&lt;$AP27))+1,"")</f>
        <v/>
      </c>
      <c r="AN27">
        <f>IF($E27="","",IF(OR($S27=TRUE(),$S27="TRUE"),1,0))</f>
        <v/>
      </c>
      <c r="AO27">
        <f>IF($E27="","",IF($Y27="Yes",1,0))</f>
        <v/>
      </c>
      <c r="AP27">
        <f>IF($AL27=1,IFERROR(IF(VALUE($E27)&lt;100000000,VALUE($E27),1000000000),IFERROR(IF(VALUE(MID($E27,2,20))&lt;100000000,VALUE(MID($E27,2,20)),1000000000),1000000000))+ROW()/100000,"")</f>
        <v/>
      </c>
    </row>
    <row r="28">
      <c r="G28" s="11" t="n"/>
      <c r="O28" s="7">
        <f>IF($E28="","",N28*W28/100)</f>
        <v/>
      </c>
      <c r="P28" s="7" t="n"/>
      <c r="V28" s="7" t="n"/>
      <c r="W28" s="7" t="n"/>
      <c r="Z28">
        <f>IF($E28="","",IF($AO28=1,0,IF($AN28=1,Settings!$C$6,Settings!$C$7))*100)</f>
        <v/>
      </c>
      <c r="AA28" s="7">
        <f>IF($E28="","",W28*Z28/100)</f>
        <v/>
      </c>
      <c r="AB28" s="7">
        <f>IF($E28="","",W28-AA28)</f>
        <v/>
      </c>
      <c r="AC28" s="7">
        <f>IF($E28="","",AB28-O28)</f>
        <v/>
      </c>
      <c r="AG28" s="7" t="n"/>
      <c r="AJ28" s="11" t="n"/>
      <c r="AL28">
        <f>IF($E28="","",IF(COUNTIF($E$2:$E28,$E28)=1,1,0))</f>
        <v/>
      </c>
      <c r="AM28">
        <f>IF($AL28=1,SUMPRODUCT(--($AP$2:$AP$301&lt;$AP28))+1,"")</f>
        <v/>
      </c>
      <c r="AN28">
        <f>IF($E28="","",IF(OR($S28=TRUE(),$S28="TRUE"),1,0))</f>
        <v/>
      </c>
      <c r="AO28">
        <f>IF($E28="","",IF($Y28="Yes",1,0))</f>
        <v/>
      </c>
      <c r="AP28">
        <f>IF($AL28=1,IFERROR(IF(VALUE($E28)&lt;100000000,VALUE($E28),1000000000),IFERROR(IF(VALUE(MID($E28,2,20))&lt;100000000,VALUE(MID($E28,2,20)),1000000000),1000000000))+ROW()/100000,"")</f>
        <v/>
      </c>
    </row>
    <row r="29">
      <c r="G29" s="11" t="n"/>
      <c r="O29" s="7">
        <f>IF($E29="","",N29*W29/100)</f>
        <v/>
      </c>
      <c r="P29" s="7" t="n"/>
      <c r="V29" s="7" t="n"/>
      <c r="W29" s="7" t="n"/>
      <c r="Z29">
        <f>IF($E29="","",IF($AO29=1,0,IF($AN29=1,Settings!$C$6,Settings!$C$7))*100)</f>
        <v/>
      </c>
      <c r="AA29" s="7">
        <f>IF($E29="","",W29*Z29/100)</f>
        <v/>
      </c>
      <c r="AB29" s="7">
        <f>IF($E29="","",W29-AA29)</f>
        <v/>
      </c>
      <c r="AC29" s="7">
        <f>IF($E29="","",AB29-O29)</f>
        <v/>
      </c>
      <c r="AG29" s="7" t="n"/>
      <c r="AJ29" s="11" t="n"/>
      <c r="AL29">
        <f>IF($E29="","",IF(COUNTIF($E$2:$E29,$E29)=1,1,0))</f>
        <v/>
      </c>
      <c r="AM29">
        <f>IF($AL29=1,SUMPRODUCT(--($AP$2:$AP$301&lt;$AP29))+1,"")</f>
        <v/>
      </c>
      <c r="AN29">
        <f>IF($E29="","",IF(OR($S29=TRUE(),$S29="TRUE"),1,0))</f>
        <v/>
      </c>
      <c r="AO29">
        <f>IF($E29="","",IF($Y29="Yes",1,0))</f>
        <v/>
      </c>
      <c r="AP29">
        <f>IF($AL29=1,IFERROR(IF(VALUE($E29)&lt;100000000,VALUE($E29),1000000000),IFERROR(IF(VALUE(MID($E29,2,20))&lt;100000000,VALUE(MID($E29,2,20)),1000000000),1000000000))+ROW()/100000,"")</f>
        <v/>
      </c>
    </row>
    <row r="30">
      <c r="G30" s="11" t="n"/>
      <c r="O30" s="7">
        <f>IF($E30="","",N30*W30/100)</f>
        <v/>
      </c>
      <c r="P30" s="7" t="n"/>
      <c r="V30" s="7" t="n"/>
      <c r="W30" s="7" t="n"/>
      <c r="Z30">
        <f>IF($E30="","",IF($AO30=1,0,IF($AN30=1,Settings!$C$6,Settings!$C$7))*100)</f>
        <v/>
      </c>
      <c r="AA30" s="7">
        <f>IF($E30="","",W30*Z30/100)</f>
        <v/>
      </c>
      <c r="AB30" s="7">
        <f>IF($E30="","",W30-AA30)</f>
        <v/>
      </c>
      <c r="AC30" s="7">
        <f>IF($E30="","",AB30-O30)</f>
        <v/>
      </c>
      <c r="AG30" s="7" t="n"/>
      <c r="AJ30" s="11" t="n"/>
      <c r="AL30">
        <f>IF($E30="","",IF(COUNTIF($E$2:$E30,$E30)=1,1,0))</f>
        <v/>
      </c>
      <c r="AM30">
        <f>IF($AL30=1,SUMPRODUCT(--($AP$2:$AP$301&lt;$AP30))+1,"")</f>
        <v/>
      </c>
      <c r="AN30">
        <f>IF($E30="","",IF(OR($S30=TRUE(),$S30="TRUE"),1,0))</f>
        <v/>
      </c>
      <c r="AO30">
        <f>IF($E30="","",IF($Y30="Yes",1,0))</f>
        <v/>
      </c>
      <c r="AP30">
        <f>IF($AL30=1,IFERROR(IF(VALUE($E30)&lt;100000000,VALUE($E30),1000000000),IFERROR(IF(VALUE(MID($E30,2,20))&lt;100000000,VALUE(MID($E30,2,20)),1000000000),1000000000))+ROW()/100000,"")</f>
        <v/>
      </c>
    </row>
    <row r="31">
      <c r="G31" s="11" t="n"/>
      <c r="O31" s="7">
        <f>IF($E31="","",N31*W31/100)</f>
        <v/>
      </c>
      <c r="P31" s="7" t="n"/>
      <c r="V31" s="7" t="n"/>
      <c r="W31" s="7" t="n"/>
      <c r="Z31">
        <f>IF($E31="","",IF($AO31=1,0,IF($AN31=1,Settings!$C$6,Settings!$C$7))*100)</f>
        <v/>
      </c>
      <c r="AA31" s="7">
        <f>IF($E31="","",W31*Z31/100)</f>
        <v/>
      </c>
      <c r="AB31" s="7">
        <f>IF($E31="","",W31-AA31)</f>
        <v/>
      </c>
      <c r="AC31" s="7">
        <f>IF($E31="","",AB31-O31)</f>
        <v/>
      </c>
      <c r="AG31" s="7" t="n"/>
      <c r="AJ31" s="11" t="n"/>
      <c r="AL31">
        <f>IF($E31="","",IF(COUNTIF($E$2:$E31,$E31)=1,1,0))</f>
        <v/>
      </c>
      <c r="AM31">
        <f>IF($AL31=1,SUMPRODUCT(--($AP$2:$AP$301&lt;$AP31))+1,"")</f>
        <v/>
      </c>
      <c r="AN31">
        <f>IF($E31="","",IF(OR($S31=TRUE(),$S31="TRUE"),1,0))</f>
        <v/>
      </c>
      <c r="AO31">
        <f>IF($E31="","",IF($Y31="Yes",1,0))</f>
        <v/>
      </c>
      <c r="AP31">
        <f>IF($AL31=1,IFERROR(IF(VALUE($E31)&lt;100000000,VALUE($E31),1000000000),IFERROR(IF(VALUE(MID($E31,2,20))&lt;100000000,VALUE(MID($E31,2,20)),1000000000),1000000000))+ROW()/100000,"")</f>
        <v/>
      </c>
    </row>
    <row r="32">
      <c r="G32" s="11" t="n"/>
      <c r="O32" s="7">
        <f>IF($E32="","",N32*W32/100)</f>
        <v/>
      </c>
      <c r="P32" s="7" t="n"/>
      <c r="V32" s="7" t="n"/>
      <c r="W32" s="7" t="n"/>
      <c r="Z32">
        <f>IF($E32="","",IF($AO32=1,0,IF($AN32=1,Settings!$C$6,Settings!$C$7))*100)</f>
        <v/>
      </c>
      <c r="AA32" s="7">
        <f>IF($E32="","",W32*Z32/100)</f>
        <v/>
      </c>
      <c r="AB32" s="7">
        <f>IF($E32="","",W32-AA32)</f>
        <v/>
      </c>
      <c r="AC32" s="7">
        <f>IF($E32="","",AB32-O32)</f>
        <v/>
      </c>
      <c r="AG32" s="7" t="n"/>
      <c r="AJ32" s="11" t="n"/>
      <c r="AL32">
        <f>IF($E32="","",IF(COUNTIF($E$2:$E32,$E32)=1,1,0))</f>
        <v/>
      </c>
      <c r="AM32">
        <f>IF($AL32=1,SUMPRODUCT(--($AP$2:$AP$301&lt;$AP32))+1,"")</f>
        <v/>
      </c>
      <c r="AN32">
        <f>IF($E32="","",IF(OR($S32=TRUE(),$S32="TRUE"),1,0))</f>
        <v/>
      </c>
      <c r="AO32">
        <f>IF($E32="","",IF($Y32="Yes",1,0))</f>
        <v/>
      </c>
      <c r="AP32">
        <f>IF($AL32=1,IFERROR(IF(VALUE($E32)&lt;100000000,VALUE($E32),1000000000),IFERROR(IF(VALUE(MID($E32,2,20))&lt;100000000,VALUE(MID($E32,2,20)),1000000000),1000000000))+ROW()/100000,"")</f>
        <v/>
      </c>
    </row>
    <row r="33">
      <c r="G33" s="11" t="n"/>
      <c r="O33" s="7">
        <f>IF($E33="","",N33*W33/100)</f>
        <v/>
      </c>
      <c r="P33" s="7" t="n"/>
      <c r="V33" s="7" t="n"/>
      <c r="W33" s="7" t="n"/>
      <c r="Z33">
        <f>IF($E33="","",IF($AO33=1,0,IF($AN33=1,Settings!$C$6,Settings!$C$7))*100)</f>
        <v/>
      </c>
      <c r="AA33" s="7">
        <f>IF($E33="","",W33*Z33/100)</f>
        <v/>
      </c>
      <c r="AB33" s="7">
        <f>IF($E33="","",W33-AA33)</f>
        <v/>
      </c>
      <c r="AC33" s="7">
        <f>IF($E33="","",AB33-O33)</f>
        <v/>
      </c>
      <c r="AG33" s="7" t="n"/>
      <c r="AJ33" s="11" t="n"/>
      <c r="AL33">
        <f>IF($E33="","",IF(COUNTIF($E$2:$E33,$E33)=1,1,0))</f>
        <v/>
      </c>
      <c r="AM33">
        <f>IF($AL33=1,SUMPRODUCT(--($AP$2:$AP$301&lt;$AP33))+1,"")</f>
        <v/>
      </c>
      <c r="AN33">
        <f>IF($E33="","",IF(OR($S33=TRUE(),$S33="TRUE"),1,0))</f>
        <v/>
      </c>
      <c r="AO33">
        <f>IF($E33="","",IF($Y33="Yes",1,0))</f>
        <v/>
      </c>
      <c r="AP33">
        <f>IF($AL33=1,IFERROR(IF(VALUE($E33)&lt;100000000,VALUE($E33),1000000000),IFERROR(IF(VALUE(MID($E33,2,20))&lt;100000000,VALUE(MID($E33,2,20)),1000000000),1000000000))+ROW()/100000,"")</f>
        <v/>
      </c>
    </row>
    <row r="34">
      <c r="G34" s="11" t="n"/>
      <c r="O34" s="7">
        <f>IF($E34="","",N34*W34/100)</f>
        <v/>
      </c>
      <c r="P34" s="7" t="n"/>
      <c r="V34" s="7" t="n"/>
      <c r="W34" s="7" t="n"/>
      <c r="Z34">
        <f>IF($E34="","",IF($AO34=1,0,IF($AN34=1,Settings!$C$6,Settings!$C$7))*100)</f>
        <v/>
      </c>
      <c r="AA34" s="7">
        <f>IF($E34="","",W34*Z34/100)</f>
        <v/>
      </c>
      <c r="AB34" s="7">
        <f>IF($E34="","",W34-AA34)</f>
        <v/>
      </c>
      <c r="AC34" s="7">
        <f>IF($E34="","",AB34-O34)</f>
        <v/>
      </c>
      <c r="AG34" s="7" t="n"/>
      <c r="AJ34" s="11" t="n"/>
      <c r="AL34">
        <f>IF($E34="","",IF(COUNTIF($E$2:$E34,$E34)=1,1,0))</f>
        <v/>
      </c>
      <c r="AM34">
        <f>IF($AL34=1,SUMPRODUCT(--($AP$2:$AP$301&lt;$AP34))+1,"")</f>
        <v/>
      </c>
      <c r="AN34">
        <f>IF($E34="","",IF(OR($S34=TRUE(),$S34="TRUE"),1,0))</f>
        <v/>
      </c>
      <c r="AO34">
        <f>IF($E34="","",IF($Y34="Yes",1,0))</f>
        <v/>
      </c>
      <c r="AP34">
        <f>IF($AL34=1,IFERROR(IF(VALUE($E34)&lt;100000000,VALUE($E34),1000000000),IFERROR(IF(VALUE(MID($E34,2,20))&lt;100000000,VALUE(MID($E34,2,20)),1000000000),1000000000))+ROW()/100000,"")</f>
        <v/>
      </c>
    </row>
    <row r="35">
      <c r="G35" s="11" t="n"/>
      <c r="O35" s="7">
        <f>IF($E35="","",N35*W35/100)</f>
        <v/>
      </c>
      <c r="P35" s="7" t="n"/>
      <c r="V35" s="7" t="n"/>
      <c r="W35" s="7" t="n"/>
      <c r="Z35">
        <f>IF($E35="","",IF($AO35=1,0,IF($AN35=1,Settings!$C$6,Settings!$C$7))*100)</f>
        <v/>
      </c>
      <c r="AA35" s="7">
        <f>IF($E35="","",W35*Z35/100)</f>
        <v/>
      </c>
      <c r="AB35" s="7">
        <f>IF($E35="","",W35-AA35)</f>
        <v/>
      </c>
      <c r="AC35" s="7">
        <f>IF($E35="","",AB35-O35)</f>
        <v/>
      </c>
      <c r="AG35" s="7" t="n"/>
      <c r="AJ35" s="11" t="n"/>
      <c r="AL35">
        <f>IF($E35="","",IF(COUNTIF($E$2:$E35,$E35)=1,1,0))</f>
        <v/>
      </c>
      <c r="AM35">
        <f>IF($AL35=1,SUMPRODUCT(--($AP$2:$AP$301&lt;$AP35))+1,"")</f>
        <v/>
      </c>
      <c r="AN35">
        <f>IF($E35="","",IF(OR($S35=TRUE(),$S35="TRUE"),1,0))</f>
        <v/>
      </c>
      <c r="AO35">
        <f>IF($E35="","",IF($Y35="Yes",1,0))</f>
        <v/>
      </c>
      <c r="AP35">
        <f>IF($AL35=1,IFERROR(IF(VALUE($E35)&lt;100000000,VALUE($E35),1000000000),IFERROR(IF(VALUE(MID($E35,2,20))&lt;100000000,VALUE(MID($E35,2,20)),1000000000),1000000000))+ROW()/100000,"")</f>
        <v/>
      </c>
    </row>
    <row r="36">
      <c r="G36" s="11" t="n"/>
      <c r="O36" s="7">
        <f>IF($E36="","",N36*W36/100)</f>
        <v/>
      </c>
      <c r="P36" s="7" t="n"/>
      <c r="V36" s="7" t="n"/>
      <c r="W36" s="7" t="n"/>
      <c r="Z36">
        <f>IF($E36="","",IF($AO36=1,0,IF($AN36=1,Settings!$C$6,Settings!$C$7))*100)</f>
        <v/>
      </c>
      <c r="AA36" s="7">
        <f>IF($E36="","",W36*Z36/100)</f>
        <v/>
      </c>
      <c r="AB36" s="7">
        <f>IF($E36="","",W36-AA36)</f>
        <v/>
      </c>
      <c r="AC36" s="7">
        <f>IF($E36="","",AB36-O36)</f>
        <v/>
      </c>
      <c r="AG36" s="7" t="n"/>
      <c r="AJ36" s="11" t="n"/>
      <c r="AL36">
        <f>IF($E36="","",IF(COUNTIF($E$2:$E36,$E36)=1,1,0))</f>
        <v/>
      </c>
      <c r="AM36">
        <f>IF($AL36=1,SUMPRODUCT(--($AP$2:$AP$301&lt;$AP36))+1,"")</f>
        <v/>
      </c>
      <c r="AN36">
        <f>IF($E36="","",IF(OR($S36=TRUE(),$S36="TRUE"),1,0))</f>
        <v/>
      </c>
      <c r="AO36">
        <f>IF($E36="","",IF($Y36="Yes",1,0))</f>
        <v/>
      </c>
      <c r="AP36">
        <f>IF($AL36=1,IFERROR(IF(VALUE($E36)&lt;100000000,VALUE($E36),1000000000),IFERROR(IF(VALUE(MID($E36,2,20))&lt;100000000,VALUE(MID($E36,2,20)),1000000000),1000000000))+ROW()/100000,"")</f>
        <v/>
      </c>
    </row>
    <row r="37">
      <c r="G37" s="11" t="n"/>
      <c r="O37" s="7">
        <f>IF($E37="","",N37*W37/100)</f>
        <v/>
      </c>
      <c r="P37" s="7" t="n"/>
      <c r="V37" s="7" t="n"/>
      <c r="W37" s="7" t="n"/>
      <c r="Z37">
        <f>IF($E37="","",IF($AO37=1,0,IF($AN37=1,Settings!$C$6,Settings!$C$7))*100)</f>
        <v/>
      </c>
      <c r="AA37" s="7">
        <f>IF($E37="","",W37*Z37/100)</f>
        <v/>
      </c>
      <c r="AB37" s="7">
        <f>IF($E37="","",W37-AA37)</f>
        <v/>
      </c>
      <c r="AC37" s="7">
        <f>IF($E37="","",AB37-O37)</f>
        <v/>
      </c>
      <c r="AG37" s="7" t="n"/>
      <c r="AJ37" s="11" t="n"/>
      <c r="AL37">
        <f>IF($E37="","",IF(COUNTIF($E$2:$E37,$E37)=1,1,0))</f>
        <v/>
      </c>
      <c r="AM37">
        <f>IF($AL37=1,SUMPRODUCT(--($AP$2:$AP$301&lt;$AP37))+1,"")</f>
        <v/>
      </c>
      <c r="AN37">
        <f>IF($E37="","",IF(OR($S37=TRUE(),$S37="TRUE"),1,0))</f>
        <v/>
      </c>
      <c r="AO37">
        <f>IF($E37="","",IF($Y37="Yes",1,0))</f>
        <v/>
      </c>
      <c r="AP37">
        <f>IF($AL37=1,IFERROR(IF(VALUE($E37)&lt;100000000,VALUE($E37),1000000000),IFERROR(IF(VALUE(MID($E37,2,20))&lt;100000000,VALUE(MID($E37,2,20)),1000000000),1000000000))+ROW()/100000,"")</f>
        <v/>
      </c>
    </row>
    <row r="38">
      <c r="G38" s="11" t="n"/>
      <c r="O38" s="7">
        <f>IF($E38="","",N38*W38/100)</f>
        <v/>
      </c>
      <c r="P38" s="7" t="n"/>
      <c r="V38" s="7" t="n"/>
      <c r="W38" s="7" t="n"/>
      <c r="Z38">
        <f>IF($E38="","",IF($AO38=1,0,IF($AN38=1,Settings!$C$6,Settings!$C$7))*100)</f>
        <v/>
      </c>
      <c r="AA38" s="7">
        <f>IF($E38="","",W38*Z38/100)</f>
        <v/>
      </c>
      <c r="AB38" s="7">
        <f>IF($E38="","",W38-AA38)</f>
        <v/>
      </c>
      <c r="AC38" s="7">
        <f>IF($E38="","",AB38-O38)</f>
        <v/>
      </c>
      <c r="AG38" s="7" t="n"/>
      <c r="AJ38" s="11" t="n"/>
      <c r="AL38">
        <f>IF($E38="","",IF(COUNTIF($E$2:$E38,$E38)=1,1,0))</f>
        <v/>
      </c>
      <c r="AM38">
        <f>IF($AL38=1,SUMPRODUCT(--($AP$2:$AP$301&lt;$AP38))+1,"")</f>
        <v/>
      </c>
      <c r="AN38">
        <f>IF($E38="","",IF(OR($S38=TRUE(),$S38="TRUE"),1,0))</f>
        <v/>
      </c>
      <c r="AO38">
        <f>IF($E38="","",IF($Y38="Yes",1,0))</f>
        <v/>
      </c>
      <c r="AP38">
        <f>IF($AL38=1,IFERROR(IF(VALUE($E38)&lt;100000000,VALUE($E38),1000000000),IFERROR(IF(VALUE(MID($E38,2,20))&lt;100000000,VALUE(MID($E38,2,20)),1000000000),1000000000))+ROW()/100000,"")</f>
        <v/>
      </c>
    </row>
    <row r="39">
      <c r="G39" s="11" t="n"/>
      <c r="O39" s="7">
        <f>IF($E39="","",N39*W39/100)</f>
        <v/>
      </c>
      <c r="P39" s="7" t="n"/>
      <c r="V39" s="7" t="n"/>
      <c r="W39" s="7" t="n"/>
      <c r="Z39">
        <f>IF($E39="","",IF($AO39=1,0,IF($AN39=1,Settings!$C$6,Settings!$C$7))*100)</f>
        <v/>
      </c>
      <c r="AA39" s="7">
        <f>IF($E39="","",W39*Z39/100)</f>
        <v/>
      </c>
      <c r="AB39" s="7">
        <f>IF($E39="","",W39-AA39)</f>
        <v/>
      </c>
      <c r="AC39" s="7">
        <f>IF($E39="","",AB39-O39)</f>
        <v/>
      </c>
      <c r="AG39" s="7" t="n"/>
      <c r="AJ39" s="11" t="n"/>
      <c r="AL39">
        <f>IF($E39="","",IF(COUNTIF($E$2:$E39,$E39)=1,1,0))</f>
        <v/>
      </c>
      <c r="AM39">
        <f>IF($AL39=1,SUMPRODUCT(--($AP$2:$AP$301&lt;$AP39))+1,"")</f>
        <v/>
      </c>
      <c r="AN39">
        <f>IF($E39="","",IF(OR($S39=TRUE(),$S39="TRUE"),1,0))</f>
        <v/>
      </c>
      <c r="AO39">
        <f>IF($E39="","",IF($Y39="Yes",1,0))</f>
        <v/>
      </c>
      <c r="AP39">
        <f>IF($AL39=1,IFERROR(IF(VALUE($E39)&lt;100000000,VALUE($E39),1000000000),IFERROR(IF(VALUE(MID($E39,2,20))&lt;100000000,VALUE(MID($E39,2,20)),1000000000),1000000000))+ROW()/100000,"")</f>
        <v/>
      </c>
    </row>
    <row r="40">
      <c r="G40" s="11" t="n"/>
      <c r="O40" s="7">
        <f>IF($E40="","",N40*W40/100)</f>
        <v/>
      </c>
      <c r="P40" s="7" t="n"/>
      <c r="V40" s="7" t="n"/>
      <c r="W40" s="7" t="n"/>
      <c r="Z40">
        <f>IF($E40="","",IF($AO40=1,0,IF($AN40=1,Settings!$C$6,Settings!$C$7))*100)</f>
        <v/>
      </c>
      <c r="AA40" s="7">
        <f>IF($E40="","",W40*Z40/100)</f>
        <v/>
      </c>
      <c r="AB40" s="7">
        <f>IF($E40="","",W40-AA40)</f>
        <v/>
      </c>
      <c r="AC40" s="7">
        <f>IF($E40="","",AB40-O40)</f>
        <v/>
      </c>
      <c r="AG40" s="7" t="n"/>
      <c r="AJ40" s="11" t="n"/>
      <c r="AL40">
        <f>IF($E40="","",IF(COUNTIF($E$2:$E40,$E40)=1,1,0))</f>
        <v/>
      </c>
      <c r="AM40">
        <f>IF($AL40=1,SUMPRODUCT(--($AP$2:$AP$301&lt;$AP40))+1,"")</f>
        <v/>
      </c>
      <c r="AN40">
        <f>IF($E40="","",IF(OR($S40=TRUE(),$S40="TRUE"),1,0))</f>
        <v/>
      </c>
      <c r="AO40">
        <f>IF($E40="","",IF($Y40="Yes",1,0))</f>
        <v/>
      </c>
      <c r="AP40">
        <f>IF($AL40=1,IFERROR(IF(VALUE($E40)&lt;100000000,VALUE($E40),1000000000),IFERROR(IF(VALUE(MID($E40,2,20))&lt;100000000,VALUE(MID($E40,2,20)),1000000000),1000000000))+ROW()/100000,"")</f>
        <v/>
      </c>
    </row>
    <row r="41">
      <c r="G41" s="11" t="n"/>
      <c r="O41" s="7">
        <f>IF($E41="","",N41*W41/100)</f>
        <v/>
      </c>
      <c r="P41" s="7" t="n"/>
      <c r="V41" s="7" t="n"/>
      <c r="W41" s="7" t="n"/>
      <c r="Z41">
        <f>IF($E41="","",IF($AO41=1,0,IF($AN41=1,Settings!$C$6,Settings!$C$7))*100)</f>
        <v/>
      </c>
      <c r="AA41" s="7">
        <f>IF($E41="","",W41*Z41/100)</f>
        <v/>
      </c>
      <c r="AB41" s="7">
        <f>IF($E41="","",W41-AA41)</f>
        <v/>
      </c>
      <c r="AC41" s="7">
        <f>IF($E41="","",AB41-O41)</f>
        <v/>
      </c>
      <c r="AG41" s="7" t="n"/>
      <c r="AJ41" s="11" t="n"/>
      <c r="AL41">
        <f>IF($E41="","",IF(COUNTIF($E$2:$E41,$E41)=1,1,0))</f>
        <v/>
      </c>
      <c r="AM41">
        <f>IF($AL41=1,SUMPRODUCT(--($AP$2:$AP$301&lt;$AP41))+1,"")</f>
        <v/>
      </c>
      <c r="AN41">
        <f>IF($E41="","",IF(OR($S41=TRUE(),$S41="TRUE"),1,0))</f>
        <v/>
      </c>
      <c r="AO41">
        <f>IF($E41="","",IF($Y41="Yes",1,0))</f>
        <v/>
      </c>
      <c r="AP41">
        <f>IF($AL41=1,IFERROR(IF(VALUE($E41)&lt;100000000,VALUE($E41),1000000000),IFERROR(IF(VALUE(MID($E41,2,20))&lt;100000000,VALUE(MID($E41,2,20)),1000000000),1000000000))+ROW()/100000,"")</f>
        <v/>
      </c>
    </row>
    <row r="42">
      <c r="G42" s="11" t="n"/>
      <c r="O42" s="7">
        <f>IF($E42="","",N42*W42/100)</f>
        <v/>
      </c>
      <c r="P42" s="7" t="n"/>
      <c r="V42" s="7" t="n"/>
      <c r="W42" s="7" t="n"/>
      <c r="Z42">
        <f>IF($E42="","",IF($AO42=1,0,IF($AN42=1,Settings!$C$6,Settings!$C$7))*100)</f>
        <v/>
      </c>
      <c r="AA42" s="7">
        <f>IF($E42="","",W42*Z42/100)</f>
        <v/>
      </c>
      <c r="AB42" s="7">
        <f>IF($E42="","",W42-AA42)</f>
        <v/>
      </c>
      <c r="AC42" s="7">
        <f>IF($E42="","",AB42-O42)</f>
        <v/>
      </c>
      <c r="AG42" s="7" t="n"/>
      <c r="AJ42" s="11" t="n"/>
      <c r="AL42">
        <f>IF($E42="","",IF(COUNTIF($E$2:$E42,$E42)=1,1,0))</f>
        <v/>
      </c>
      <c r="AM42">
        <f>IF($AL42=1,SUMPRODUCT(--($AP$2:$AP$301&lt;$AP42))+1,"")</f>
        <v/>
      </c>
      <c r="AN42">
        <f>IF($E42="","",IF(OR($S42=TRUE(),$S42="TRUE"),1,0))</f>
        <v/>
      </c>
      <c r="AO42">
        <f>IF($E42="","",IF($Y42="Yes",1,0))</f>
        <v/>
      </c>
      <c r="AP42">
        <f>IF($AL42=1,IFERROR(IF(VALUE($E42)&lt;100000000,VALUE($E42),1000000000),IFERROR(IF(VALUE(MID($E42,2,20))&lt;100000000,VALUE(MID($E42,2,20)),1000000000),1000000000))+ROW()/100000,"")</f>
        <v/>
      </c>
    </row>
    <row r="43">
      <c r="G43" s="11" t="n"/>
      <c r="O43" s="7">
        <f>IF($E43="","",N43*W43/100)</f>
        <v/>
      </c>
      <c r="P43" s="7" t="n"/>
      <c r="V43" s="7" t="n"/>
      <c r="W43" s="7" t="n"/>
      <c r="Z43">
        <f>IF($E43="","",IF($AO43=1,0,IF($AN43=1,Settings!$C$6,Settings!$C$7))*100)</f>
        <v/>
      </c>
      <c r="AA43" s="7">
        <f>IF($E43="","",W43*Z43/100)</f>
        <v/>
      </c>
      <c r="AB43" s="7">
        <f>IF($E43="","",W43-AA43)</f>
        <v/>
      </c>
      <c r="AC43" s="7">
        <f>IF($E43="","",AB43-O43)</f>
        <v/>
      </c>
      <c r="AG43" s="7" t="n"/>
      <c r="AJ43" s="11" t="n"/>
      <c r="AL43">
        <f>IF($E43="","",IF(COUNTIF($E$2:$E43,$E43)=1,1,0))</f>
        <v/>
      </c>
      <c r="AM43">
        <f>IF($AL43=1,SUMPRODUCT(--($AP$2:$AP$301&lt;$AP43))+1,"")</f>
        <v/>
      </c>
      <c r="AN43">
        <f>IF($E43="","",IF(OR($S43=TRUE(),$S43="TRUE"),1,0))</f>
        <v/>
      </c>
      <c r="AO43">
        <f>IF($E43="","",IF($Y43="Yes",1,0))</f>
        <v/>
      </c>
      <c r="AP43">
        <f>IF($AL43=1,IFERROR(IF(VALUE($E43)&lt;100000000,VALUE($E43),1000000000),IFERROR(IF(VALUE(MID($E43,2,20))&lt;100000000,VALUE(MID($E43,2,20)),1000000000),1000000000))+ROW()/100000,"")</f>
        <v/>
      </c>
    </row>
    <row r="44">
      <c r="G44" s="11" t="n"/>
      <c r="O44" s="7">
        <f>IF($E44="","",N44*W44/100)</f>
        <v/>
      </c>
      <c r="P44" s="7" t="n"/>
      <c r="V44" s="7" t="n"/>
      <c r="W44" s="7" t="n"/>
      <c r="Z44">
        <f>IF($E44="","",IF($AO44=1,0,IF($AN44=1,Settings!$C$6,Settings!$C$7))*100)</f>
        <v/>
      </c>
      <c r="AA44" s="7">
        <f>IF($E44="","",W44*Z44/100)</f>
        <v/>
      </c>
      <c r="AB44" s="7">
        <f>IF($E44="","",W44-AA44)</f>
        <v/>
      </c>
      <c r="AC44" s="7">
        <f>IF($E44="","",AB44-O44)</f>
        <v/>
      </c>
      <c r="AG44" s="7" t="n"/>
      <c r="AJ44" s="11" t="n"/>
      <c r="AL44">
        <f>IF($E44="","",IF(COUNTIF($E$2:$E44,$E44)=1,1,0))</f>
        <v/>
      </c>
      <c r="AM44">
        <f>IF($AL44=1,SUMPRODUCT(--($AP$2:$AP$301&lt;$AP44))+1,"")</f>
        <v/>
      </c>
      <c r="AN44">
        <f>IF($E44="","",IF(OR($S44=TRUE(),$S44="TRUE"),1,0))</f>
        <v/>
      </c>
      <c r="AO44">
        <f>IF($E44="","",IF($Y44="Yes",1,0))</f>
        <v/>
      </c>
      <c r="AP44">
        <f>IF($AL44=1,IFERROR(IF(VALUE($E44)&lt;100000000,VALUE($E44),1000000000),IFERROR(IF(VALUE(MID($E44,2,20))&lt;100000000,VALUE(MID($E44,2,20)),1000000000),1000000000))+ROW()/100000,"")</f>
        <v/>
      </c>
    </row>
    <row r="45">
      <c r="G45" s="11" t="n"/>
      <c r="O45" s="7">
        <f>IF($E45="","",N45*W45/100)</f>
        <v/>
      </c>
      <c r="P45" s="7" t="n"/>
      <c r="V45" s="7" t="n"/>
      <c r="W45" s="7" t="n"/>
      <c r="Z45">
        <f>IF($E45="","",IF($AO45=1,0,IF($AN45=1,Settings!$C$6,Settings!$C$7))*100)</f>
        <v/>
      </c>
      <c r="AA45" s="7">
        <f>IF($E45="","",W45*Z45/100)</f>
        <v/>
      </c>
      <c r="AB45" s="7">
        <f>IF($E45="","",W45-AA45)</f>
        <v/>
      </c>
      <c r="AC45" s="7">
        <f>IF($E45="","",AB45-O45)</f>
        <v/>
      </c>
      <c r="AG45" s="7" t="n"/>
      <c r="AJ45" s="11" t="n"/>
      <c r="AL45">
        <f>IF($E45="","",IF(COUNTIF($E$2:$E45,$E45)=1,1,0))</f>
        <v/>
      </c>
      <c r="AM45">
        <f>IF($AL45=1,SUMPRODUCT(--($AP$2:$AP$301&lt;$AP45))+1,"")</f>
        <v/>
      </c>
      <c r="AN45">
        <f>IF($E45="","",IF(OR($S45=TRUE(),$S45="TRUE"),1,0))</f>
        <v/>
      </c>
      <c r="AO45">
        <f>IF($E45="","",IF($Y45="Yes",1,0))</f>
        <v/>
      </c>
      <c r="AP45">
        <f>IF($AL45=1,IFERROR(IF(VALUE($E45)&lt;100000000,VALUE($E45),1000000000),IFERROR(IF(VALUE(MID($E45,2,20))&lt;100000000,VALUE(MID($E45,2,20)),1000000000),1000000000))+ROW()/100000,"")</f>
        <v/>
      </c>
    </row>
    <row r="46">
      <c r="G46" s="11" t="n"/>
      <c r="O46" s="7">
        <f>IF($E46="","",N46*W46/100)</f>
        <v/>
      </c>
      <c r="P46" s="7" t="n"/>
      <c r="V46" s="7" t="n"/>
      <c r="W46" s="7" t="n"/>
      <c r="Z46">
        <f>IF($E46="","",IF($AO46=1,0,IF($AN46=1,Settings!$C$6,Settings!$C$7))*100)</f>
        <v/>
      </c>
      <c r="AA46" s="7">
        <f>IF($E46="","",W46*Z46/100)</f>
        <v/>
      </c>
      <c r="AB46" s="7">
        <f>IF($E46="","",W46-AA46)</f>
        <v/>
      </c>
      <c r="AC46" s="7">
        <f>IF($E46="","",AB46-O46)</f>
        <v/>
      </c>
      <c r="AG46" s="7" t="n"/>
      <c r="AJ46" s="11" t="n"/>
      <c r="AL46">
        <f>IF($E46="","",IF(COUNTIF($E$2:$E46,$E46)=1,1,0))</f>
        <v/>
      </c>
      <c r="AM46">
        <f>IF($AL46=1,SUMPRODUCT(--($AP$2:$AP$301&lt;$AP46))+1,"")</f>
        <v/>
      </c>
      <c r="AN46">
        <f>IF($E46="","",IF(OR($S46=TRUE(),$S46="TRUE"),1,0))</f>
        <v/>
      </c>
      <c r="AO46">
        <f>IF($E46="","",IF($Y46="Yes",1,0))</f>
        <v/>
      </c>
      <c r="AP46">
        <f>IF($AL46=1,IFERROR(IF(VALUE($E46)&lt;100000000,VALUE($E46),1000000000),IFERROR(IF(VALUE(MID($E46,2,20))&lt;100000000,VALUE(MID($E46,2,20)),1000000000),1000000000))+ROW()/100000,"")</f>
        <v/>
      </c>
    </row>
    <row r="47">
      <c r="G47" s="11" t="n"/>
      <c r="O47" s="7">
        <f>IF($E47="","",N47*W47/100)</f>
        <v/>
      </c>
      <c r="P47" s="7" t="n"/>
      <c r="V47" s="7" t="n"/>
      <c r="W47" s="7" t="n"/>
      <c r="Z47">
        <f>IF($E47="","",IF($AO47=1,0,IF($AN47=1,Settings!$C$6,Settings!$C$7))*100)</f>
        <v/>
      </c>
      <c r="AA47" s="7">
        <f>IF($E47="","",W47*Z47/100)</f>
        <v/>
      </c>
      <c r="AB47" s="7">
        <f>IF($E47="","",W47-AA47)</f>
        <v/>
      </c>
      <c r="AC47" s="7">
        <f>IF($E47="","",AB47-O47)</f>
        <v/>
      </c>
      <c r="AG47" s="7" t="n"/>
      <c r="AJ47" s="11" t="n"/>
      <c r="AL47">
        <f>IF($E47="","",IF(COUNTIF($E$2:$E47,$E47)=1,1,0))</f>
        <v/>
      </c>
      <c r="AM47">
        <f>IF($AL47=1,SUMPRODUCT(--($AP$2:$AP$301&lt;$AP47))+1,"")</f>
        <v/>
      </c>
      <c r="AN47">
        <f>IF($E47="","",IF(OR($S47=TRUE(),$S47="TRUE"),1,0))</f>
        <v/>
      </c>
      <c r="AO47">
        <f>IF($E47="","",IF($Y47="Yes",1,0))</f>
        <v/>
      </c>
      <c r="AP47">
        <f>IF($AL47=1,IFERROR(IF(VALUE($E47)&lt;100000000,VALUE($E47),1000000000),IFERROR(IF(VALUE(MID($E47,2,20))&lt;100000000,VALUE(MID($E47,2,20)),1000000000),1000000000))+ROW()/100000,"")</f>
        <v/>
      </c>
    </row>
    <row r="48">
      <c r="G48" s="11" t="n"/>
      <c r="O48" s="7">
        <f>IF($E48="","",N48*W48/100)</f>
        <v/>
      </c>
      <c r="P48" s="7" t="n"/>
      <c r="V48" s="7" t="n"/>
      <c r="W48" s="7" t="n"/>
      <c r="Z48">
        <f>IF($E48="","",IF($AO48=1,0,IF($AN48=1,Settings!$C$6,Settings!$C$7))*100)</f>
        <v/>
      </c>
      <c r="AA48" s="7">
        <f>IF($E48="","",W48*Z48/100)</f>
        <v/>
      </c>
      <c r="AB48" s="7">
        <f>IF($E48="","",W48-AA48)</f>
        <v/>
      </c>
      <c r="AC48" s="7">
        <f>IF($E48="","",AB48-O48)</f>
        <v/>
      </c>
      <c r="AG48" s="7" t="n"/>
      <c r="AJ48" s="11" t="n"/>
      <c r="AL48">
        <f>IF($E48="","",IF(COUNTIF($E$2:$E48,$E48)=1,1,0))</f>
        <v/>
      </c>
      <c r="AM48">
        <f>IF($AL48=1,SUMPRODUCT(--($AP$2:$AP$301&lt;$AP48))+1,"")</f>
        <v/>
      </c>
      <c r="AN48">
        <f>IF($E48="","",IF(OR($S48=TRUE(),$S48="TRUE"),1,0))</f>
        <v/>
      </c>
      <c r="AO48">
        <f>IF($E48="","",IF($Y48="Yes",1,0))</f>
        <v/>
      </c>
      <c r="AP48">
        <f>IF($AL48=1,IFERROR(IF(VALUE($E48)&lt;100000000,VALUE($E48),1000000000),IFERROR(IF(VALUE(MID($E48,2,20))&lt;100000000,VALUE(MID($E48,2,20)),1000000000),1000000000))+ROW()/100000,"")</f>
        <v/>
      </c>
    </row>
    <row r="49">
      <c r="G49" s="11" t="n"/>
      <c r="O49" s="7">
        <f>IF($E49="","",N49*W49/100)</f>
        <v/>
      </c>
      <c r="P49" s="7" t="n"/>
      <c r="V49" s="7" t="n"/>
      <c r="W49" s="7" t="n"/>
      <c r="Z49">
        <f>IF($E49="","",IF($AO49=1,0,IF($AN49=1,Settings!$C$6,Settings!$C$7))*100)</f>
        <v/>
      </c>
      <c r="AA49" s="7">
        <f>IF($E49="","",W49*Z49/100)</f>
        <v/>
      </c>
      <c r="AB49" s="7">
        <f>IF($E49="","",W49-AA49)</f>
        <v/>
      </c>
      <c r="AC49" s="7">
        <f>IF($E49="","",AB49-O49)</f>
        <v/>
      </c>
      <c r="AG49" s="7" t="n"/>
      <c r="AJ49" s="11" t="n"/>
      <c r="AL49">
        <f>IF($E49="","",IF(COUNTIF($E$2:$E49,$E49)=1,1,0))</f>
        <v/>
      </c>
      <c r="AM49">
        <f>IF($AL49=1,SUMPRODUCT(--($AP$2:$AP$301&lt;$AP49))+1,"")</f>
        <v/>
      </c>
      <c r="AN49">
        <f>IF($E49="","",IF(OR($S49=TRUE(),$S49="TRUE"),1,0))</f>
        <v/>
      </c>
      <c r="AO49">
        <f>IF($E49="","",IF($Y49="Yes",1,0))</f>
        <v/>
      </c>
      <c r="AP49">
        <f>IF($AL49=1,IFERROR(IF(VALUE($E49)&lt;100000000,VALUE($E49),1000000000),IFERROR(IF(VALUE(MID($E49,2,20))&lt;100000000,VALUE(MID($E49,2,20)),1000000000),1000000000))+ROW()/100000,"")</f>
        <v/>
      </c>
    </row>
    <row r="50">
      <c r="G50" s="11" t="n"/>
      <c r="O50" s="7">
        <f>IF($E50="","",N50*W50/100)</f>
        <v/>
      </c>
      <c r="P50" s="7" t="n"/>
      <c r="V50" s="7" t="n"/>
      <c r="W50" s="7" t="n"/>
      <c r="Z50">
        <f>IF($E50="","",IF($AO50=1,0,IF($AN50=1,Settings!$C$6,Settings!$C$7))*100)</f>
        <v/>
      </c>
      <c r="AA50" s="7">
        <f>IF($E50="","",W50*Z50/100)</f>
        <v/>
      </c>
      <c r="AB50" s="7">
        <f>IF($E50="","",W50-AA50)</f>
        <v/>
      </c>
      <c r="AC50" s="7">
        <f>IF($E50="","",AB50-O50)</f>
        <v/>
      </c>
      <c r="AG50" s="7" t="n"/>
      <c r="AJ50" s="11" t="n"/>
      <c r="AL50">
        <f>IF($E50="","",IF(COUNTIF($E$2:$E50,$E50)=1,1,0))</f>
        <v/>
      </c>
      <c r="AM50">
        <f>IF($AL50=1,SUMPRODUCT(--($AP$2:$AP$301&lt;$AP50))+1,"")</f>
        <v/>
      </c>
      <c r="AN50">
        <f>IF($E50="","",IF(OR($S50=TRUE(),$S50="TRUE"),1,0))</f>
        <v/>
      </c>
      <c r="AO50">
        <f>IF($E50="","",IF($Y50="Yes",1,0))</f>
        <v/>
      </c>
      <c r="AP50">
        <f>IF($AL50=1,IFERROR(IF(VALUE($E50)&lt;100000000,VALUE($E50),1000000000),IFERROR(IF(VALUE(MID($E50,2,20))&lt;100000000,VALUE(MID($E50,2,20)),1000000000),1000000000))+ROW()/100000,"")</f>
        <v/>
      </c>
    </row>
    <row r="51">
      <c r="G51" s="11" t="n"/>
      <c r="O51" s="7">
        <f>IF($E51="","",N51*W51/100)</f>
        <v/>
      </c>
      <c r="P51" s="7" t="n"/>
      <c r="V51" s="7" t="n"/>
      <c r="W51" s="7" t="n"/>
      <c r="Z51">
        <f>IF($E51="","",IF($AO51=1,0,IF($AN51=1,Settings!$C$6,Settings!$C$7))*100)</f>
        <v/>
      </c>
      <c r="AA51" s="7">
        <f>IF($E51="","",W51*Z51/100)</f>
        <v/>
      </c>
      <c r="AB51" s="7">
        <f>IF($E51="","",W51-AA51)</f>
        <v/>
      </c>
      <c r="AC51" s="7">
        <f>IF($E51="","",AB51-O51)</f>
        <v/>
      </c>
      <c r="AG51" s="7" t="n"/>
      <c r="AJ51" s="11" t="n"/>
      <c r="AL51">
        <f>IF($E51="","",IF(COUNTIF($E$2:$E51,$E51)=1,1,0))</f>
        <v/>
      </c>
      <c r="AM51">
        <f>IF($AL51=1,SUMPRODUCT(--($AP$2:$AP$301&lt;$AP51))+1,"")</f>
        <v/>
      </c>
      <c r="AN51">
        <f>IF($E51="","",IF(OR($S51=TRUE(),$S51="TRUE"),1,0))</f>
        <v/>
      </c>
      <c r="AO51">
        <f>IF($E51="","",IF($Y51="Yes",1,0))</f>
        <v/>
      </c>
      <c r="AP51">
        <f>IF($AL51=1,IFERROR(IF(VALUE($E51)&lt;100000000,VALUE($E51),1000000000),IFERROR(IF(VALUE(MID($E51,2,20))&lt;100000000,VALUE(MID($E51,2,20)),1000000000),1000000000))+ROW()/100000,"")</f>
        <v/>
      </c>
    </row>
    <row r="52">
      <c r="G52" s="11" t="n"/>
      <c r="O52" s="7">
        <f>IF($E52="","",N52*W52/100)</f>
        <v/>
      </c>
      <c r="P52" s="7" t="n"/>
      <c r="V52" s="7" t="n"/>
      <c r="W52" s="7" t="n"/>
      <c r="Z52">
        <f>IF($E52="","",IF($AO52=1,0,IF($AN52=1,Settings!$C$6,Settings!$C$7))*100)</f>
        <v/>
      </c>
      <c r="AA52" s="7">
        <f>IF($E52="","",W52*Z52/100)</f>
        <v/>
      </c>
      <c r="AB52" s="7">
        <f>IF($E52="","",W52-AA52)</f>
        <v/>
      </c>
      <c r="AC52" s="7">
        <f>IF($E52="","",AB52-O52)</f>
        <v/>
      </c>
      <c r="AG52" s="7" t="n"/>
      <c r="AJ52" s="11" t="n"/>
      <c r="AL52">
        <f>IF($E52="","",IF(COUNTIF($E$2:$E52,$E52)=1,1,0))</f>
        <v/>
      </c>
      <c r="AM52">
        <f>IF($AL52=1,SUMPRODUCT(--($AP$2:$AP$301&lt;$AP52))+1,"")</f>
        <v/>
      </c>
      <c r="AN52">
        <f>IF($E52="","",IF(OR($S52=TRUE(),$S52="TRUE"),1,0))</f>
        <v/>
      </c>
      <c r="AO52">
        <f>IF($E52="","",IF($Y52="Yes",1,0))</f>
        <v/>
      </c>
      <c r="AP52">
        <f>IF($AL52=1,IFERROR(IF(VALUE($E52)&lt;100000000,VALUE($E52),1000000000),IFERROR(IF(VALUE(MID($E52,2,20))&lt;100000000,VALUE(MID($E52,2,20)),1000000000),1000000000))+ROW()/100000,"")</f>
        <v/>
      </c>
    </row>
    <row r="53">
      <c r="G53" s="11" t="n"/>
      <c r="O53" s="7">
        <f>IF($E53="","",N53*W53/100)</f>
        <v/>
      </c>
      <c r="P53" s="7" t="n"/>
      <c r="V53" s="7" t="n"/>
      <c r="W53" s="7" t="n"/>
      <c r="Z53">
        <f>IF($E53="","",IF($AO53=1,0,IF($AN53=1,Settings!$C$6,Settings!$C$7))*100)</f>
        <v/>
      </c>
      <c r="AA53" s="7">
        <f>IF($E53="","",W53*Z53/100)</f>
        <v/>
      </c>
      <c r="AB53" s="7">
        <f>IF($E53="","",W53-AA53)</f>
        <v/>
      </c>
      <c r="AC53" s="7">
        <f>IF($E53="","",AB53-O53)</f>
        <v/>
      </c>
      <c r="AG53" s="7" t="n"/>
      <c r="AJ53" s="11" t="n"/>
      <c r="AL53">
        <f>IF($E53="","",IF(COUNTIF($E$2:$E53,$E53)=1,1,0))</f>
        <v/>
      </c>
      <c r="AM53">
        <f>IF($AL53=1,SUMPRODUCT(--($AP$2:$AP$301&lt;$AP53))+1,"")</f>
        <v/>
      </c>
      <c r="AN53">
        <f>IF($E53="","",IF(OR($S53=TRUE(),$S53="TRUE"),1,0))</f>
        <v/>
      </c>
      <c r="AO53">
        <f>IF($E53="","",IF($Y53="Yes",1,0))</f>
        <v/>
      </c>
      <c r="AP53">
        <f>IF($AL53=1,IFERROR(IF(VALUE($E53)&lt;100000000,VALUE($E53),1000000000),IFERROR(IF(VALUE(MID($E53,2,20))&lt;100000000,VALUE(MID($E53,2,20)),1000000000),1000000000))+ROW()/100000,"")</f>
        <v/>
      </c>
    </row>
    <row r="54">
      <c r="G54" s="11" t="n"/>
      <c r="O54" s="7">
        <f>IF($E54="","",N54*W54/100)</f>
        <v/>
      </c>
      <c r="P54" s="7" t="n"/>
      <c r="V54" s="7" t="n"/>
      <c r="W54" s="7" t="n"/>
      <c r="Z54">
        <f>IF($E54="","",IF($AO54=1,0,IF($AN54=1,Settings!$C$6,Settings!$C$7))*100)</f>
        <v/>
      </c>
      <c r="AA54" s="7">
        <f>IF($E54="","",W54*Z54/100)</f>
        <v/>
      </c>
      <c r="AB54" s="7">
        <f>IF($E54="","",W54-AA54)</f>
        <v/>
      </c>
      <c r="AC54" s="7">
        <f>IF($E54="","",AB54-O54)</f>
        <v/>
      </c>
      <c r="AG54" s="7" t="n"/>
      <c r="AJ54" s="11" t="n"/>
      <c r="AL54">
        <f>IF($E54="","",IF(COUNTIF($E$2:$E54,$E54)=1,1,0))</f>
        <v/>
      </c>
      <c r="AM54">
        <f>IF($AL54=1,SUMPRODUCT(--($AP$2:$AP$301&lt;$AP54))+1,"")</f>
        <v/>
      </c>
      <c r="AN54">
        <f>IF($E54="","",IF(OR($S54=TRUE(),$S54="TRUE"),1,0))</f>
        <v/>
      </c>
      <c r="AO54">
        <f>IF($E54="","",IF($Y54="Yes",1,0))</f>
        <v/>
      </c>
      <c r="AP54">
        <f>IF($AL54=1,IFERROR(IF(VALUE($E54)&lt;100000000,VALUE($E54),1000000000),IFERROR(IF(VALUE(MID($E54,2,20))&lt;100000000,VALUE(MID($E54,2,20)),1000000000),1000000000))+ROW()/100000,"")</f>
        <v/>
      </c>
    </row>
    <row r="55">
      <c r="G55" s="11" t="n"/>
      <c r="O55" s="7">
        <f>IF($E55="","",N55*W55/100)</f>
        <v/>
      </c>
      <c r="P55" s="7" t="n"/>
      <c r="V55" s="7" t="n"/>
      <c r="W55" s="7" t="n"/>
      <c r="Z55">
        <f>IF($E55="","",IF($AO55=1,0,IF($AN55=1,Settings!$C$6,Settings!$C$7))*100)</f>
        <v/>
      </c>
      <c r="AA55" s="7">
        <f>IF($E55="","",W55*Z55/100)</f>
        <v/>
      </c>
      <c r="AB55" s="7">
        <f>IF($E55="","",W55-AA55)</f>
        <v/>
      </c>
      <c r="AC55" s="7">
        <f>IF($E55="","",AB55-O55)</f>
        <v/>
      </c>
      <c r="AG55" s="7" t="n"/>
      <c r="AJ55" s="11" t="n"/>
      <c r="AL55">
        <f>IF($E55="","",IF(COUNTIF($E$2:$E55,$E55)=1,1,0))</f>
        <v/>
      </c>
      <c r="AM55">
        <f>IF($AL55=1,SUMPRODUCT(--($AP$2:$AP$301&lt;$AP55))+1,"")</f>
        <v/>
      </c>
      <c r="AN55">
        <f>IF($E55="","",IF(OR($S55=TRUE(),$S55="TRUE"),1,0))</f>
        <v/>
      </c>
      <c r="AO55">
        <f>IF($E55="","",IF($Y55="Yes",1,0))</f>
        <v/>
      </c>
      <c r="AP55">
        <f>IF($AL55=1,IFERROR(IF(VALUE($E55)&lt;100000000,VALUE($E55),1000000000),IFERROR(IF(VALUE(MID($E55,2,20))&lt;100000000,VALUE(MID($E55,2,20)),1000000000),1000000000))+ROW()/100000,"")</f>
        <v/>
      </c>
    </row>
    <row r="56">
      <c r="G56" s="11" t="n"/>
      <c r="O56" s="7">
        <f>IF($E56="","",N56*W56/100)</f>
        <v/>
      </c>
      <c r="P56" s="7" t="n"/>
      <c r="V56" s="7" t="n"/>
      <c r="W56" s="7" t="n"/>
      <c r="Z56">
        <f>IF($E56="","",IF($AO56=1,0,IF($AN56=1,Settings!$C$6,Settings!$C$7))*100)</f>
        <v/>
      </c>
      <c r="AA56" s="7">
        <f>IF($E56="","",W56*Z56/100)</f>
        <v/>
      </c>
      <c r="AB56" s="7">
        <f>IF($E56="","",W56-AA56)</f>
        <v/>
      </c>
      <c r="AC56" s="7">
        <f>IF($E56="","",AB56-O56)</f>
        <v/>
      </c>
      <c r="AG56" s="7" t="n"/>
      <c r="AJ56" s="11" t="n"/>
      <c r="AL56">
        <f>IF($E56="","",IF(COUNTIF($E$2:$E56,$E56)=1,1,0))</f>
        <v/>
      </c>
      <c r="AM56">
        <f>IF($AL56=1,SUMPRODUCT(--($AP$2:$AP$301&lt;$AP56))+1,"")</f>
        <v/>
      </c>
      <c r="AN56">
        <f>IF($E56="","",IF(OR($S56=TRUE(),$S56="TRUE"),1,0))</f>
        <v/>
      </c>
      <c r="AO56">
        <f>IF($E56="","",IF($Y56="Yes",1,0))</f>
        <v/>
      </c>
      <c r="AP56">
        <f>IF($AL56=1,IFERROR(IF(VALUE($E56)&lt;100000000,VALUE($E56),1000000000),IFERROR(IF(VALUE(MID($E56,2,20))&lt;100000000,VALUE(MID($E56,2,20)),1000000000),1000000000))+ROW()/100000,"")</f>
        <v/>
      </c>
    </row>
    <row r="57">
      <c r="G57" s="11" t="n"/>
      <c r="O57" s="7">
        <f>IF($E57="","",N57*W57/100)</f>
        <v/>
      </c>
      <c r="P57" s="7" t="n"/>
      <c r="V57" s="7" t="n"/>
      <c r="W57" s="7" t="n"/>
      <c r="Z57">
        <f>IF($E57="","",IF($AO57=1,0,IF($AN57=1,Settings!$C$6,Settings!$C$7))*100)</f>
        <v/>
      </c>
      <c r="AA57" s="7">
        <f>IF($E57="","",W57*Z57/100)</f>
        <v/>
      </c>
      <c r="AB57" s="7">
        <f>IF($E57="","",W57-AA57)</f>
        <v/>
      </c>
      <c r="AC57" s="7">
        <f>IF($E57="","",AB57-O57)</f>
        <v/>
      </c>
      <c r="AG57" s="7" t="n"/>
      <c r="AJ57" s="11" t="n"/>
      <c r="AL57">
        <f>IF($E57="","",IF(COUNTIF($E$2:$E57,$E57)=1,1,0))</f>
        <v/>
      </c>
      <c r="AM57">
        <f>IF($AL57=1,SUMPRODUCT(--($AP$2:$AP$301&lt;$AP57))+1,"")</f>
        <v/>
      </c>
      <c r="AN57">
        <f>IF($E57="","",IF(OR($S57=TRUE(),$S57="TRUE"),1,0))</f>
        <v/>
      </c>
      <c r="AO57">
        <f>IF($E57="","",IF($Y57="Yes",1,0))</f>
        <v/>
      </c>
      <c r="AP57">
        <f>IF($AL57=1,IFERROR(IF(VALUE($E57)&lt;100000000,VALUE($E57),1000000000),IFERROR(IF(VALUE(MID($E57,2,20))&lt;100000000,VALUE(MID($E57,2,20)),1000000000),1000000000))+ROW()/100000,"")</f>
        <v/>
      </c>
    </row>
    <row r="58">
      <c r="G58" s="11" t="n"/>
      <c r="O58" s="7">
        <f>IF($E58="","",N58*W58/100)</f>
        <v/>
      </c>
      <c r="P58" s="7" t="n"/>
      <c r="V58" s="7" t="n"/>
      <c r="W58" s="7" t="n"/>
      <c r="Z58">
        <f>IF($E58="","",IF($AO58=1,0,IF($AN58=1,Settings!$C$6,Settings!$C$7))*100)</f>
        <v/>
      </c>
      <c r="AA58" s="7">
        <f>IF($E58="","",W58*Z58/100)</f>
        <v/>
      </c>
      <c r="AB58" s="7">
        <f>IF($E58="","",W58-AA58)</f>
        <v/>
      </c>
      <c r="AC58" s="7">
        <f>IF($E58="","",AB58-O58)</f>
        <v/>
      </c>
      <c r="AG58" s="7" t="n"/>
      <c r="AJ58" s="11" t="n"/>
      <c r="AL58">
        <f>IF($E58="","",IF(COUNTIF($E$2:$E58,$E58)=1,1,0))</f>
        <v/>
      </c>
      <c r="AM58">
        <f>IF($AL58=1,SUMPRODUCT(--($AP$2:$AP$301&lt;$AP58))+1,"")</f>
        <v/>
      </c>
      <c r="AN58">
        <f>IF($E58="","",IF(OR($S58=TRUE(),$S58="TRUE"),1,0))</f>
        <v/>
      </c>
      <c r="AO58">
        <f>IF($E58="","",IF($Y58="Yes",1,0))</f>
        <v/>
      </c>
      <c r="AP58">
        <f>IF($AL58=1,IFERROR(IF(VALUE($E58)&lt;100000000,VALUE($E58),1000000000),IFERROR(IF(VALUE(MID($E58,2,20))&lt;100000000,VALUE(MID($E58,2,20)),1000000000),1000000000))+ROW()/100000,"")</f>
        <v/>
      </c>
    </row>
    <row r="59">
      <c r="G59" s="11" t="n"/>
      <c r="O59" s="7">
        <f>IF($E59="","",N59*W59/100)</f>
        <v/>
      </c>
      <c r="P59" s="7" t="n"/>
      <c r="V59" s="7" t="n"/>
      <c r="W59" s="7" t="n"/>
      <c r="Z59">
        <f>IF($E59="","",IF($AO59=1,0,IF($AN59=1,Settings!$C$6,Settings!$C$7))*100)</f>
        <v/>
      </c>
      <c r="AA59" s="7">
        <f>IF($E59="","",W59*Z59/100)</f>
        <v/>
      </c>
      <c r="AB59" s="7">
        <f>IF($E59="","",W59-AA59)</f>
        <v/>
      </c>
      <c r="AC59" s="7">
        <f>IF($E59="","",AB59-O59)</f>
        <v/>
      </c>
      <c r="AG59" s="7" t="n"/>
      <c r="AJ59" s="11" t="n"/>
      <c r="AL59">
        <f>IF($E59="","",IF(COUNTIF($E$2:$E59,$E59)=1,1,0))</f>
        <v/>
      </c>
      <c r="AM59">
        <f>IF($AL59=1,SUMPRODUCT(--($AP$2:$AP$301&lt;$AP59))+1,"")</f>
        <v/>
      </c>
      <c r="AN59">
        <f>IF($E59="","",IF(OR($S59=TRUE(),$S59="TRUE"),1,0))</f>
        <v/>
      </c>
      <c r="AO59">
        <f>IF($E59="","",IF($Y59="Yes",1,0))</f>
        <v/>
      </c>
      <c r="AP59">
        <f>IF($AL59=1,IFERROR(IF(VALUE($E59)&lt;100000000,VALUE($E59),1000000000),IFERROR(IF(VALUE(MID($E59,2,20))&lt;100000000,VALUE(MID($E59,2,20)),1000000000),1000000000))+ROW()/100000,"")</f>
        <v/>
      </c>
    </row>
    <row r="60">
      <c r="G60" s="11" t="n"/>
      <c r="O60" s="7">
        <f>IF($E60="","",N60*W60/100)</f>
        <v/>
      </c>
      <c r="P60" s="7" t="n"/>
      <c r="V60" s="7" t="n"/>
      <c r="W60" s="7" t="n"/>
      <c r="Z60">
        <f>IF($E60="","",IF($AO60=1,0,IF($AN60=1,Settings!$C$6,Settings!$C$7))*100)</f>
        <v/>
      </c>
      <c r="AA60" s="7">
        <f>IF($E60="","",W60*Z60/100)</f>
        <v/>
      </c>
      <c r="AB60" s="7">
        <f>IF($E60="","",W60-AA60)</f>
        <v/>
      </c>
      <c r="AC60" s="7">
        <f>IF($E60="","",AB60-O60)</f>
        <v/>
      </c>
      <c r="AG60" s="7" t="n"/>
      <c r="AJ60" s="11" t="n"/>
      <c r="AL60">
        <f>IF($E60="","",IF(COUNTIF($E$2:$E60,$E60)=1,1,0))</f>
        <v/>
      </c>
      <c r="AM60">
        <f>IF($AL60=1,SUMPRODUCT(--($AP$2:$AP$301&lt;$AP60))+1,"")</f>
        <v/>
      </c>
      <c r="AN60">
        <f>IF($E60="","",IF(OR($S60=TRUE(),$S60="TRUE"),1,0))</f>
        <v/>
      </c>
      <c r="AO60">
        <f>IF($E60="","",IF($Y60="Yes",1,0))</f>
        <v/>
      </c>
      <c r="AP60">
        <f>IF($AL60=1,IFERROR(IF(VALUE($E60)&lt;100000000,VALUE($E60),1000000000),IFERROR(IF(VALUE(MID($E60,2,20))&lt;100000000,VALUE(MID($E60,2,20)),1000000000),1000000000))+ROW()/100000,"")</f>
        <v/>
      </c>
    </row>
    <row r="61">
      <c r="G61" s="11" t="n"/>
      <c r="O61" s="7">
        <f>IF($E61="","",N61*W61/100)</f>
        <v/>
      </c>
      <c r="P61" s="7" t="n"/>
      <c r="V61" s="7" t="n"/>
      <c r="W61" s="7" t="n"/>
      <c r="Z61">
        <f>IF($E61="","",IF($AO61=1,0,IF($AN61=1,Settings!$C$6,Settings!$C$7))*100)</f>
        <v/>
      </c>
      <c r="AA61" s="7">
        <f>IF($E61="","",W61*Z61/100)</f>
        <v/>
      </c>
      <c r="AB61" s="7">
        <f>IF($E61="","",W61-AA61)</f>
        <v/>
      </c>
      <c r="AC61" s="7">
        <f>IF($E61="","",AB61-O61)</f>
        <v/>
      </c>
      <c r="AG61" s="7" t="n"/>
      <c r="AJ61" s="11" t="n"/>
      <c r="AL61">
        <f>IF($E61="","",IF(COUNTIF($E$2:$E61,$E61)=1,1,0))</f>
        <v/>
      </c>
      <c r="AM61">
        <f>IF($AL61=1,SUMPRODUCT(--($AP$2:$AP$301&lt;$AP61))+1,"")</f>
        <v/>
      </c>
      <c r="AN61">
        <f>IF($E61="","",IF(OR($S61=TRUE(),$S61="TRUE"),1,0))</f>
        <v/>
      </c>
      <c r="AO61">
        <f>IF($E61="","",IF($Y61="Yes",1,0))</f>
        <v/>
      </c>
      <c r="AP61">
        <f>IF($AL61=1,IFERROR(IF(VALUE($E61)&lt;100000000,VALUE($E61),1000000000),IFERROR(IF(VALUE(MID($E61,2,20))&lt;100000000,VALUE(MID($E61,2,20)),1000000000),1000000000))+ROW()/100000,"")</f>
        <v/>
      </c>
    </row>
    <row r="62">
      <c r="G62" s="11" t="n"/>
      <c r="O62" s="7">
        <f>IF($E62="","",N62*W62/100)</f>
        <v/>
      </c>
      <c r="P62" s="7" t="n"/>
      <c r="V62" s="7" t="n"/>
      <c r="W62" s="7" t="n"/>
      <c r="Z62">
        <f>IF($E62="","",IF($AO62=1,0,IF($AN62=1,Settings!$C$6,Settings!$C$7))*100)</f>
        <v/>
      </c>
      <c r="AA62" s="7">
        <f>IF($E62="","",W62*Z62/100)</f>
        <v/>
      </c>
      <c r="AB62" s="7">
        <f>IF($E62="","",W62-AA62)</f>
        <v/>
      </c>
      <c r="AC62" s="7">
        <f>IF($E62="","",AB62-O62)</f>
        <v/>
      </c>
      <c r="AG62" s="7" t="n"/>
      <c r="AJ62" s="11" t="n"/>
      <c r="AL62">
        <f>IF($E62="","",IF(COUNTIF($E$2:$E62,$E62)=1,1,0))</f>
        <v/>
      </c>
      <c r="AM62">
        <f>IF($AL62=1,SUMPRODUCT(--($AP$2:$AP$301&lt;$AP62))+1,"")</f>
        <v/>
      </c>
      <c r="AN62">
        <f>IF($E62="","",IF(OR($S62=TRUE(),$S62="TRUE"),1,0))</f>
        <v/>
      </c>
      <c r="AO62">
        <f>IF($E62="","",IF($Y62="Yes",1,0))</f>
        <v/>
      </c>
      <c r="AP62">
        <f>IF($AL62=1,IFERROR(IF(VALUE($E62)&lt;100000000,VALUE($E62),1000000000),IFERROR(IF(VALUE(MID($E62,2,20))&lt;100000000,VALUE(MID($E62,2,20)),1000000000),1000000000))+ROW()/100000,"")</f>
        <v/>
      </c>
    </row>
    <row r="63">
      <c r="G63" s="11" t="n"/>
      <c r="O63" s="7">
        <f>IF($E63="","",N63*W63/100)</f>
        <v/>
      </c>
      <c r="P63" s="7" t="n"/>
      <c r="V63" s="7" t="n"/>
      <c r="W63" s="7" t="n"/>
      <c r="Z63">
        <f>IF($E63="","",IF($AO63=1,0,IF($AN63=1,Settings!$C$6,Settings!$C$7))*100)</f>
        <v/>
      </c>
      <c r="AA63" s="7">
        <f>IF($E63="","",W63*Z63/100)</f>
        <v/>
      </c>
      <c r="AB63" s="7">
        <f>IF($E63="","",W63-AA63)</f>
        <v/>
      </c>
      <c r="AC63" s="7">
        <f>IF($E63="","",AB63-O63)</f>
        <v/>
      </c>
      <c r="AG63" s="7" t="n"/>
      <c r="AJ63" s="11" t="n"/>
      <c r="AL63">
        <f>IF($E63="","",IF(COUNTIF($E$2:$E63,$E63)=1,1,0))</f>
        <v/>
      </c>
      <c r="AM63">
        <f>IF($AL63=1,SUMPRODUCT(--($AP$2:$AP$301&lt;$AP63))+1,"")</f>
        <v/>
      </c>
      <c r="AN63">
        <f>IF($E63="","",IF(OR($S63=TRUE(),$S63="TRUE"),1,0))</f>
        <v/>
      </c>
      <c r="AO63">
        <f>IF($E63="","",IF($Y63="Yes",1,0))</f>
        <v/>
      </c>
      <c r="AP63">
        <f>IF($AL63=1,IFERROR(IF(VALUE($E63)&lt;100000000,VALUE($E63),1000000000),IFERROR(IF(VALUE(MID($E63,2,20))&lt;100000000,VALUE(MID($E63,2,20)),1000000000),1000000000))+ROW()/100000,"")</f>
        <v/>
      </c>
    </row>
    <row r="64">
      <c r="G64" s="11" t="n"/>
      <c r="O64" s="7">
        <f>IF($E64="","",N64*W64/100)</f>
        <v/>
      </c>
      <c r="P64" s="7" t="n"/>
      <c r="V64" s="7" t="n"/>
      <c r="W64" s="7" t="n"/>
      <c r="Z64">
        <f>IF($E64="","",IF($AO64=1,0,IF($AN64=1,Settings!$C$6,Settings!$C$7))*100)</f>
        <v/>
      </c>
      <c r="AA64" s="7">
        <f>IF($E64="","",W64*Z64/100)</f>
        <v/>
      </c>
      <c r="AB64" s="7">
        <f>IF($E64="","",W64-AA64)</f>
        <v/>
      </c>
      <c r="AC64" s="7">
        <f>IF($E64="","",AB64-O64)</f>
        <v/>
      </c>
      <c r="AG64" s="7" t="n"/>
      <c r="AJ64" s="11" t="n"/>
      <c r="AL64">
        <f>IF($E64="","",IF(COUNTIF($E$2:$E64,$E64)=1,1,0))</f>
        <v/>
      </c>
      <c r="AM64">
        <f>IF($AL64=1,SUMPRODUCT(--($AP$2:$AP$301&lt;$AP64))+1,"")</f>
        <v/>
      </c>
      <c r="AN64">
        <f>IF($E64="","",IF(OR($S64=TRUE(),$S64="TRUE"),1,0))</f>
        <v/>
      </c>
      <c r="AO64">
        <f>IF($E64="","",IF($Y64="Yes",1,0))</f>
        <v/>
      </c>
      <c r="AP64">
        <f>IF($AL64=1,IFERROR(IF(VALUE($E64)&lt;100000000,VALUE($E64),1000000000),IFERROR(IF(VALUE(MID($E64,2,20))&lt;100000000,VALUE(MID($E64,2,20)),1000000000),1000000000))+ROW()/100000,"")</f>
        <v/>
      </c>
    </row>
    <row r="65">
      <c r="G65" s="11" t="n"/>
      <c r="O65" s="7">
        <f>IF($E65="","",N65*W65/100)</f>
        <v/>
      </c>
      <c r="P65" s="7" t="n"/>
      <c r="V65" s="7" t="n"/>
      <c r="W65" s="7" t="n"/>
      <c r="Z65">
        <f>IF($E65="","",IF($AO65=1,0,IF($AN65=1,Settings!$C$6,Settings!$C$7))*100)</f>
        <v/>
      </c>
      <c r="AA65" s="7">
        <f>IF($E65="","",W65*Z65/100)</f>
        <v/>
      </c>
      <c r="AB65" s="7">
        <f>IF($E65="","",W65-AA65)</f>
        <v/>
      </c>
      <c r="AC65" s="7">
        <f>IF($E65="","",AB65-O65)</f>
        <v/>
      </c>
      <c r="AG65" s="7" t="n"/>
      <c r="AJ65" s="11" t="n"/>
      <c r="AL65">
        <f>IF($E65="","",IF(COUNTIF($E$2:$E65,$E65)=1,1,0))</f>
        <v/>
      </c>
      <c r="AM65">
        <f>IF($AL65=1,SUMPRODUCT(--($AP$2:$AP$301&lt;$AP65))+1,"")</f>
        <v/>
      </c>
      <c r="AN65">
        <f>IF($E65="","",IF(OR($S65=TRUE(),$S65="TRUE"),1,0))</f>
        <v/>
      </c>
      <c r="AO65">
        <f>IF($E65="","",IF($Y65="Yes",1,0))</f>
        <v/>
      </c>
      <c r="AP65">
        <f>IF($AL65=1,IFERROR(IF(VALUE($E65)&lt;100000000,VALUE($E65),1000000000),IFERROR(IF(VALUE(MID($E65,2,20))&lt;100000000,VALUE(MID($E65,2,20)),1000000000),1000000000))+ROW()/100000,"")</f>
        <v/>
      </c>
    </row>
    <row r="66">
      <c r="G66" s="11" t="n"/>
      <c r="O66" s="7">
        <f>IF($E66="","",N66*W66/100)</f>
        <v/>
      </c>
      <c r="P66" s="7" t="n"/>
      <c r="V66" s="7" t="n"/>
      <c r="W66" s="7" t="n"/>
      <c r="Z66">
        <f>IF($E66="","",IF($AO66=1,0,IF($AN66=1,Settings!$C$6,Settings!$C$7))*100)</f>
        <v/>
      </c>
      <c r="AA66" s="7">
        <f>IF($E66="","",W66*Z66/100)</f>
        <v/>
      </c>
      <c r="AB66" s="7">
        <f>IF($E66="","",W66-AA66)</f>
        <v/>
      </c>
      <c r="AC66" s="7">
        <f>IF($E66="","",AB66-O66)</f>
        <v/>
      </c>
      <c r="AG66" s="7" t="n"/>
      <c r="AJ66" s="11" t="n"/>
      <c r="AL66">
        <f>IF($E66="","",IF(COUNTIF($E$2:$E66,$E66)=1,1,0))</f>
        <v/>
      </c>
      <c r="AM66">
        <f>IF($AL66=1,SUMPRODUCT(--($AP$2:$AP$301&lt;$AP66))+1,"")</f>
        <v/>
      </c>
      <c r="AN66">
        <f>IF($E66="","",IF(OR($S66=TRUE(),$S66="TRUE"),1,0))</f>
        <v/>
      </c>
      <c r="AO66">
        <f>IF($E66="","",IF($Y66="Yes",1,0))</f>
        <v/>
      </c>
      <c r="AP66">
        <f>IF($AL66=1,IFERROR(IF(VALUE($E66)&lt;100000000,VALUE($E66),1000000000),IFERROR(IF(VALUE(MID($E66,2,20))&lt;100000000,VALUE(MID($E66,2,20)),1000000000),1000000000))+ROW()/100000,"")</f>
        <v/>
      </c>
    </row>
    <row r="67">
      <c r="G67" s="11" t="n"/>
      <c r="O67" s="7">
        <f>IF($E67="","",N67*W67/100)</f>
        <v/>
      </c>
      <c r="P67" s="7" t="n"/>
      <c r="V67" s="7" t="n"/>
      <c r="W67" s="7" t="n"/>
      <c r="Z67">
        <f>IF($E67="","",IF($AO67=1,0,IF($AN67=1,Settings!$C$6,Settings!$C$7))*100)</f>
        <v/>
      </c>
      <c r="AA67" s="7">
        <f>IF($E67="","",W67*Z67/100)</f>
        <v/>
      </c>
      <c r="AB67" s="7">
        <f>IF($E67="","",W67-AA67)</f>
        <v/>
      </c>
      <c r="AC67" s="7">
        <f>IF($E67="","",AB67-O67)</f>
        <v/>
      </c>
      <c r="AG67" s="7" t="n"/>
      <c r="AJ67" s="11" t="n"/>
      <c r="AL67">
        <f>IF($E67="","",IF(COUNTIF($E$2:$E67,$E67)=1,1,0))</f>
        <v/>
      </c>
      <c r="AM67">
        <f>IF($AL67=1,SUMPRODUCT(--($AP$2:$AP$301&lt;$AP67))+1,"")</f>
        <v/>
      </c>
      <c r="AN67">
        <f>IF($E67="","",IF(OR($S67=TRUE(),$S67="TRUE"),1,0))</f>
        <v/>
      </c>
      <c r="AO67">
        <f>IF($E67="","",IF($Y67="Yes",1,0))</f>
        <v/>
      </c>
      <c r="AP67">
        <f>IF($AL67=1,IFERROR(IF(VALUE($E67)&lt;100000000,VALUE($E67),1000000000),IFERROR(IF(VALUE(MID($E67,2,20))&lt;100000000,VALUE(MID($E67,2,20)),1000000000),1000000000))+ROW()/100000,"")</f>
        <v/>
      </c>
    </row>
    <row r="68">
      <c r="G68" s="11" t="n"/>
      <c r="O68" s="7">
        <f>IF($E68="","",N68*W68/100)</f>
        <v/>
      </c>
      <c r="P68" s="7" t="n"/>
      <c r="V68" s="7" t="n"/>
      <c r="W68" s="7" t="n"/>
      <c r="Z68">
        <f>IF($E68="","",IF($AO68=1,0,IF($AN68=1,Settings!$C$6,Settings!$C$7))*100)</f>
        <v/>
      </c>
      <c r="AA68" s="7">
        <f>IF($E68="","",W68*Z68/100)</f>
        <v/>
      </c>
      <c r="AB68" s="7">
        <f>IF($E68="","",W68-AA68)</f>
        <v/>
      </c>
      <c r="AC68" s="7">
        <f>IF($E68="","",AB68-O68)</f>
        <v/>
      </c>
      <c r="AG68" s="7" t="n"/>
      <c r="AJ68" s="11" t="n"/>
      <c r="AL68">
        <f>IF($E68="","",IF(COUNTIF($E$2:$E68,$E68)=1,1,0))</f>
        <v/>
      </c>
      <c r="AM68">
        <f>IF($AL68=1,SUMPRODUCT(--($AP$2:$AP$301&lt;$AP68))+1,"")</f>
        <v/>
      </c>
      <c r="AN68">
        <f>IF($E68="","",IF(OR($S68=TRUE(),$S68="TRUE"),1,0))</f>
        <v/>
      </c>
      <c r="AO68">
        <f>IF($E68="","",IF($Y68="Yes",1,0))</f>
        <v/>
      </c>
      <c r="AP68">
        <f>IF($AL68=1,IFERROR(IF(VALUE($E68)&lt;100000000,VALUE($E68),1000000000),IFERROR(IF(VALUE(MID($E68,2,20))&lt;100000000,VALUE(MID($E68,2,20)),1000000000),1000000000))+ROW()/100000,"")</f>
        <v/>
      </c>
    </row>
    <row r="69">
      <c r="G69" s="11" t="n"/>
      <c r="O69" s="7">
        <f>IF($E69="","",N69*W69/100)</f>
        <v/>
      </c>
      <c r="P69" s="7" t="n"/>
      <c r="V69" s="7" t="n"/>
      <c r="W69" s="7" t="n"/>
      <c r="Z69">
        <f>IF($E69="","",IF($AO69=1,0,IF($AN69=1,Settings!$C$6,Settings!$C$7))*100)</f>
        <v/>
      </c>
      <c r="AA69" s="7">
        <f>IF($E69="","",W69*Z69/100)</f>
        <v/>
      </c>
      <c r="AB69" s="7">
        <f>IF($E69="","",W69-AA69)</f>
        <v/>
      </c>
      <c r="AC69" s="7">
        <f>IF($E69="","",AB69-O69)</f>
        <v/>
      </c>
      <c r="AG69" s="7" t="n"/>
      <c r="AJ69" s="11" t="n"/>
      <c r="AL69">
        <f>IF($E69="","",IF(COUNTIF($E$2:$E69,$E69)=1,1,0))</f>
        <v/>
      </c>
      <c r="AM69">
        <f>IF($AL69=1,SUMPRODUCT(--($AP$2:$AP$301&lt;$AP69))+1,"")</f>
        <v/>
      </c>
      <c r="AN69">
        <f>IF($E69="","",IF(OR($S69=TRUE(),$S69="TRUE"),1,0))</f>
        <v/>
      </c>
      <c r="AO69">
        <f>IF($E69="","",IF($Y69="Yes",1,0))</f>
        <v/>
      </c>
      <c r="AP69">
        <f>IF($AL69=1,IFERROR(IF(VALUE($E69)&lt;100000000,VALUE($E69),1000000000),IFERROR(IF(VALUE(MID($E69,2,20))&lt;100000000,VALUE(MID($E69,2,20)),1000000000),1000000000))+ROW()/100000,"")</f>
        <v/>
      </c>
    </row>
    <row r="70">
      <c r="G70" s="11" t="n"/>
      <c r="O70" s="7">
        <f>IF($E70="","",N70*W70/100)</f>
        <v/>
      </c>
      <c r="P70" s="7" t="n"/>
      <c r="V70" s="7" t="n"/>
      <c r="W70" s="7" t="n"/>
      <c r="Z70">
        <f>IF($E70="","",IF($AO70=1,0,IF($AN70=1,Settings!$C$6,Settings!$C$7))*100)</f>
        <v/>
      </c>
      <c r="AA70" s="7">
        <f>IF($E70="","",W70*Z70/100)</f>
        <v/>
      </c>
      <c r="AB70" s="7">
        <f>IF($E70="","",W70-AA70)</f>
        <v/>
      </c>
      <c r="AC70" s="7">
        <f>IF($E70="","",AB70-O70)</f>
        <v/>
      </c>
      <c r="AG70" s="7" t="n"/>
      <c r="AJ70" s="11" t="n"/>
      <c r="AL70">
        <f>IF($E70="","",IF(COUNTIF($E$2:$E70,$E70)=1,1,0))</f>
        <v/>
      </c>
      <c r="AM70">
        <f>IF($AL70=1,SUMPRODUCT(--($AP$2:$AP$301&lt;$AP70))+1,"")</f>
        <v/>
      </c>
      <c r="AN70">
        <f>IF($E70="","",IF(OR($S70=TRUE(),$S70="TRUE"),1,0))</f>
        <v/>
      </c>
      <c r="AO70">
        <f>IF($E70="","",IF($Y70="Yes",1,0))</f>
        <v/>
      </c>
      <c r="AP70">
        <f>IF($AL70=1,IFERROR(IF(VALUE($E70)&lt;100000000,VALUE($E70),1000000000),IFERROR(IF(VALUE(MID($E70,2,20))&lt;100000000,VALUE(MID($E70,2,20)),1000000000),1000000000))+ROW()/100000,"")</f>
        <v/>
      </c>
    </row>
    <row r="71">
      <c r="G71" s="11" t="n"/>
      <c r="O71" s="7">
        <f>IF($E71="","",N71*W71/100)</f>
        <v/>
      </c>
      <c r="P71" s="7" t="n"/>
      <c r="V71" s="7" t="n"/>
      <c r="W71" s="7" t="n"/>
      <c r="Z71">
        <f>IF($E71="","",IF($AO71=1,0,IF($AN71=1,Settings!$C$6,Settings!$C$7))*100)</f>
        <v/>
      </c>
      <c r="AA71" s="7">
        <f>IF($E71="","",W71*Z71/100)</f>
        <v/>
      </c>
      <c r="AB71" s="7">
        <f>IF($E71="","",W71-AA71)</f>
        <v/>
      </c>
      <c r="AC71" s="7">
        <f>IF($E71="","",AB71-O71)</f>
        <v/>
      </c>
      <c r="AG71" s="7" t="n"/>
      <c r="AJ71" s="11" t="n"/>
      <c r="AL71">
        <f>IF($E71="","",IF(COUNTIF($E$2:$E71,$E71)=1,1,0))</f>
        <v/>
      </c>
      <c r="AM71">
        <f>IF($AL71=1,SUMPRODUCT(--($AP$2:$AP$301&lt;$AP71))+1,"")</f>
        <v/>
      </c>
      <c r="AN71">
        <f>IF($E71="","",IF(OR($S71=TRUE(),$S71="TRUE"),1,0))</f>
        <v/>
      </c>
      <c r="AO71">
        <f>IF($E71="","",IF($Y71="Yes",1,0))</f>
        <v/>
      </c>
      <c r="AP71">
        <f>IF($AL71=1,IFERROR(IF(VALUE($E71)&lt;100000000,VALUE($E71),1000000000),IFERROR(IF(VALUE(MID($E71,2,20))&lt;100000000,VALUE(MID($E71,2,20)),1000000000),1000000000))+ROW()/100000,"")</f>
        <v/>
      </c>
    </row>
    <row r="72">
      <c r="G72" s="11" t="n"/>
      <c r="O72" s="7">
        <f>IF($E72="","",N72*W72/100)</f>
        <v/>
      </c>
      <c r="P72" s="7" t="n"/>
      <c r="V72" s="7" t="n"/>
      <c r="W72" s="7" t="n"/>
      <c r="Z72">
        <f>IF($E72="","",IF($AO72=1,0,IF($AN72=1,Settings!$C$6,Settings!$C$7))*100)</f>
        <v/>
      </c>
      <c r="AA72" s="7">
        <f>IF($E72="","",W72*Z72/100)</f>
        <v/>
      </c>
      <c r="AB72" s="7">
        <f>IF($E72="","",W72-AA72)</f>
        <v/>
      </c>
      <c r="AC72" s="7">
        <f>IF($E72="","",AB72-O72)</f>
        <v/>
      </c>
      <c r="AG72" s="7" t="n"/>
      <c r="AJ72" s="11" t="n"/>
      <c r="AL72">
        <f>IF($E72="","",IF(COUNTIF($E$2:$E72,$E72)=1,1,0))</f>
        <v/>
      </c>
      <c r="AM72">
        <f>IF($AL72=1,SUMPRODUCT(--($AP$2:$AP$301&lt;$AP72))+1,"")</f>
        <v/>
      </c>
      <c r="AN72">
        <f>IF($E72="","",IF(OR($S72=TRUE(),$S72="TRUE"),1,0))</f>
        <v/>
      </c>
      <c r="AO72">
        <f>IF($E72="","",IF($Y72="Yes",1,0))</f>
        <v/>
      </c>
      <c r="AP72">
        <f>IF($AL72=1,IFERROR(IF(VALUE($E72)&lt;100000000,VALUE($E72),1000000000),IFERROR(IF(VALUE(MID($E72,2,20))&lt;100000000,VALUE(MID($E72,2,20)),1000000000),1000000000))+ROW()/100000,"")</f>
        <v/>
      </c>
    </row>
    <row r="73">
      <c r="G73" s="11" t="n"/>
      <c r="O73" s="7">
        <f>IF($E73="","",N73*W73/100)</f>
        <v/>
      </c>
      <c r="P73" s="7" t="n"/>
      <c r="V73" s="7" t="n"/>
      <c r="W73" s="7" t="n"/>
      <c r="Z73">
        <f>IF($E73="","",IF($AO73=1,0,IF($AN73=1,Settings!$C$6,Settings!$C$7))*100)</f>
        <v/>
      </c>
      <c r="AA73" s="7">
        <f>IF($E73="","",W73*Z73/100)</f>
        <v/>
      </c>
      <c r="AB73" s="7">
        <f>IF($E73="","",W73-AA73)</f>
        <v/>
      </c>
      <c r="AC73" s="7">
        <f>IF($E73="","",AB73-O73)</f>
        <v/>
      </c>
      <c r="AG73" s="7" t="n"/>
      <c r="AJ73" s="11" t="n"/>
      <c r="AL73">
        <f>IF($E73="","",IF(COUNTIF($E$2:$E73,$E73)=1,1,0))</f>
        <v/>
      </c>
      <c r="AM73">
        <f>IF($AL73=1,SUMPRODUCT(--($AP$2:$AP$301&lt;$AP73))+1,"")</f>
        <v/>
      </c>
      <c r="AN73">
        <f>IF($E73="","",IF(OR($S73=TRUE(),$S73="TRUE"),1,0))</f>
        <v/>
      </c>
      <c r="AO73">
        <f>IF($E73="","",IF($Y73="Yes",1,0))</f>
        <v/>
      </c>
      <c r="AP73">
        <f>IF($AL73=1,IFERROR(IF(VALUE($E73)&lt;100000000,VALUE($E73),1000000000),IFERROR(IF(VALUE(MID($E73,2,20))&lt;100000000,VALUE(MID($E73,2,20)),1000000000),1000000000))+ROW()/100000,"")</f>
        <v/>
      </c>
    </row>
    <row r="74">
      <c r="G74" s="11" t="n"/>
      <c r="O74" s="7">
        <f>IF($E74="","",N74*W74/100)</f>
        <v/>
      </c>
      <c r="P74" s="7" t="n"/>
      <c r="V74" s="7" t="n"/>
      <c r="W74" s="7" t="n"/>
      <c r="Z74">
        <f>IF($E74="","",IF($AO74=1,0,IF($AN74=1,Settings!$C$6,Settings!$C$7))*100)</f>
        <v/>
      </c>
      <c r="AA74" s="7">
        <f>IF($E74="","",W74*Z74/100)</f>
        <v/>
      </c>
      <c r="AB74" s="7">
        <f>IF($E74="","",W74-AA74)</f>
        <v/>
      </c>
      <c r="AC74" s="7">
        <f>IF($E74="","",AB74-O74)</f>
        <v/>
      </c>
      <c r="AG74" s="7" t="n"/>
      <c r="AJ74" s="11" t="n"/>
      <c r="AL74">
        <f>IF($E74="","",IF(COUNTIF($E$2:$E74,$E74)=1,1,0))</f>
        <v/>
      </c>
      <c r="AM74">
        <f>IF($AL74=1,SUMPRODUCT(--($AP$2:$AP$301&lt;$AP74))+1,"")</f>
        <v/>
      </c>
      <c r="AN74">
        <f>IF($E74="","",IF(OR($S74=TRUE(),$S74="TRUE"),1,0))</f>
        <v/>
      </c>
      <c r="AO74">
        <f>IF($E74="","",IF($Y74="Yes",1,0))</f>
        <v/>
      </c>
      <c r="AP74">
        <f>IF($AL74=1,IFERROR(IF(VALUE($E74)&lt;100000000,VALUE($E74),1000000000),IFERROR(IF(VALUE(MID($E74,2,20))&lt;100000000,VALUE(MID($E74,2,20)),1000000000),1000000000))+ROW()/100000,"")</f>
        <v/>
      </c>
    </row>
    <row r="75">
      <c r="G75" s="11" t="n"/>
      <c r="O75" s="7">
        <f>IF($E75="","",N75*W75/100)</f>
        <v/>
      </c>
      <c r="P75" s="7" t="n"/>
      <c r="V75" s="7" t="n"/>
      <c r="W75" s="7" t="n"/>
      <c r="Z75">
        <f>IF($E75="","",IF($AO75=1,0,IF($AN75=1,Settings!$C$6,Settings!$C$7))*100)</f>
        <v/>
      </c>
      <c r="AA75" s="7">
        <f>IF($E75="","",W75*Z75/100)</f>
        <v/>
      </c>
      <c r="AB75" s="7">
        <f>IF($E75="","",W75-AA75)</f>
        <v/>
      </c>
      <c r="AC75" s="7">
        <f>IF($E75="","",AB75-O75)</f>
        <v/>
      </c>
      <c r="AG75" s="7" t="n"/>
      <c r="AJ75" s="11" t="n"/>
      <c r="AL75">
        <f>IF($E75="","",IF(COUNTIF($E$2:$E75,$E75)=1,1,0))</f>
        <v/>
      </c>
      <c r="AM75">
        <f>IF($AL75=1,SUMPRODUCT(--($AP$2:$AP$301&lt;$AP75))+1,"")</f>
        <v/>
      </c>
      <c r="AN75">
        <f>IF($E75="","",IF(OR($S75=TRUE(),$S75="TRUE"),1,0))</f>
        <v/>
      </c>
      <c r="AO75">
        <f>IF($E75="","",IF($Y75="Yes",1,0))</f>
        <v/>
      </c>
      <c r="AP75">
        <f>IF($AL75=1,IFERROR(IF(VALUE($E75)&lt;100000000,VALUE($E75),1000000000),IFERROR(IF(VALUE(MID($E75,2,20))&lt;100000000,VALUE(MID($E75,2,20)),1000000000),1000000000))+ROW()/100000,"")</f>
        <v/>
      </c>
    </row>
    <row r="76">
      <c r="G76" s="11" t="n"/>
      <c r="O76" s="7">
        <f>IF($E76="","",N76*W76/100)</f>
        <v/>
      </c>
      <c r="P76" s="7" t="n"/>
      <c r="V76" s="7" t="n"/>
      <c r="W76" s="7" t="n"/>
      <c r="Z76">
        <f>IF($E76="","",IF($AO76=1,0,IF($AN76=1,Settings!$C$6,Settings!$C$7))*100)</f>
        <v/>
      </c>
      <c r="AA76" s="7">
        <f>IF($E76="","",W76*Z76/100)</f>
        <v/>
      </c>
      <c r="AB76" s="7">
        <f>IF($E76="","",W76-AA76)</f>
        <v/>
      </c>
      <c r="AC76" s="7">
        <f>IF($E76="","",AB76-O76)</f>
        <v/>
      </c>
      <c r="AG76" s="7" t="n"/>
      <c r="AJ76" s="11" t="n"/>
      <c r="AL76">
        <f>IF($E76="","",IF(COUNTIF($E$2:$E76,$E76)=1,1,0))</f>
        <v/>
      </c>
      <c r="AM76">
        <f>IF($AL76=1,SUMPRODUCT(--($AP$2:$AP$301&lt;$AP76))+1,"")</f>
        <v/>
      </c>
      <c r="AN76">
        <f>IF($E76="","",IF(OR($S76=TRUE(),$S76="TRUE"),1,0))</f>
        <v/>
      </c>
      <c r="AO76">
        <f>IF($E76="","",IF($Y76="Yes",1,0))</f>
        <v/>
      </c>
      <c r="AP76">
        <f>IF($AL76=1,IFERROR(IF(VALUE($E76)&lt;100000000,VALUE($E76),1000000000),IFERROR(IF(VALUE(MID($E76,2,20))&lt;100000000,VALUE(MID($E76,2,20)),1000000000),1000000000))+ROW()/100000,"")</f>
        <v/>
      </c>
    </row>
    <row r="77">
      <c r="G77" s="11" t="n"/>
      <c r="O77" s="7">
        <f>IF($E77="","",N77*W77/100)</f>
        <v/>
      </c>
      <c r="P77" s="7" t="n"/>
      <c r="V77" s="7" t="n"/>
      <c r="W77" s="7" t="n"/>
      <c r="Z77">
        <f>IF($E77="","",IF($AO77=1,0,IF($AN77=1,Settings!$C$6,Settings!$C$7))*100)</f>
        <v/>
      </c>
      <c r="AA77" s="7">
        <f>IF($E77="","",W77*Z77/100)</f>
        <v/>
      </c>
      <c r="AB77" s="7">
        <f>IF($E77="","",W77-AA77)</f>
        <v/>
      </c>
      <c r="AC77" s="7">
        <f>IF($E77="","",AB77-O77)</f>
        <v/>
      </c>
      <c r="AG77" s="7" t="n"/>
      <c r="AJ77" s="11" t="n"/>
      <c r="AL77">
        <f>IF($E77="","",IF(COUNTIF($E$2:$E77,$E77)=1,1,0))</f>
        <v/>
      </c>
      <c r="AM77">
        <f>IF($AL77=1,SUMPRODUCT(--($AP$2:$AP$301&lt;$AP77))+1,"")</f>
        <v/>
      </c>
      <c r="AN77">
        <f>IF($E77="","",IF(OR($S77=TRUE(),$S77="TRUE"),1,0))</f>
        <v/>
      </c>
      <c r="AO77">
        <f>IF($E77="","",IF($Y77="Yes",1,0))</f>
        <v/>
      </c>
      <c r="AP77">
        <f>IF($AL77=1,IFERROR(IF(VALUE($E77)&lt;100000000,VALUE($E77),1000000000),IFERROR(IF(VALUE(MID($E77,2,20))&lt;100000000,VALUE(MID($E77,2,20)),1000000000),1000000000))+ROW()/100000,"")</f>
        <v/>
      </c>
    </row>
    <row r="78">
      <c r="G78" s="11" t="n"/>
      <c r="O78" s="7">
        <f>IF($E78="","",N78*W78/100)</f>
        <v/>
      </c>
      <c r="P78" s="7" t="n"/>
      <c r="V78" s="7" t="n"/>
      <c r="W78" s="7" t="n"/>
      <c r="Z78">
        <f>IF($E78="","",IF($AO78=1,0,IF($AN78=1,Settings!$C$6,Settings!$C$7))*100)</f>
        <v/>
      </c>
      <c r="AA78" s="7">
        <f>IF($E78="","",W78*Z78/100)</f>
        <v/>
      </c>
      <c r="AB78" s="7">
        <f>IF($E78="","",W78-AA78)</f>
        <v/>
      </c>
      <c r="AC78" s="7">
        <f>IF($E78="","",AB78-O78)</f>
        <v/>
      </c>
      <c r="AG78" s="7" t="n"/>
      <c r="AJ78" s="11" t="n"/>
      <c r="AL78">
        <f>IF($E78="","",IF(COUNTIF($E$2:$E78,$E78)=1,1,0))</f>
        <v/>
      </c>
      <c r="AM78">
        <f>IF($AL78=1,SUMPRODUCT(--($AP$2:$AP$301&lt;$AP78))+1,"")</f>
        <v/>
      </c>
      <c r="AN78">
        <f>IF($E78="","",IF(OR($S78=TRUE(),$S78="TRUE"),1,0))</f>
        <v/>
      </c>
      <c r="AO78">
        <f>IF($E78="","",IF($Y78="Yes",1,0))</f>
        <v/>
      </c>
      <c r="AP78">
        <f>IF($AL78=1,IFERROR(IF(VALUE($E78)&lt;100000000,VALUE($E78),1000000000),IFERROR(IF(VALUE(MID($E78,2,20))&lt;100000000,VALUE(MID($E78,2,20)),1000000000),1000000000))+ROW()/100000,"")</f>
        <v/>
      </c>
    </row>
    <row r="79">
      <c r="G79" s="11" t="n"/>
      <c r="O79" s="7">
        <f>IF($E79="","",N79*W79/100)</f>
        <v/>
      </c>
      <c r="P79" s="7" t="n"/>
      <c r="V79" s="7" t="n"/>
      <c r="W79" s="7" t="n"/>
      <c r="Z79">
        <f>IF($E79="","",IF($AO79=1,0,IF($AN79=1,Settings!$C$6,Settings!$C$7))*100)</f>
        <v/>
      </c>
      <c r="AA79" s="7">
        <f>IF($E79="","",W79*Z79/100)</f>
        <v/>
      </c>
      <c r="AB79" s="7">
        <f>IF($E79="","",W79-AA79)</f>
        <v/>
      </c>
      <c r="AC79" s="7">
        <f>IF($E79="","",AB79-O79)</f>
        <v/>
      </c>
      <c r="AG79" s="7" t="n"/>
      <c r="AJ79" s="11" t="n"/>
      <c r="AL79">
        <f>IF($E79="","",IF(COUNTIF($E$2:$E79,$E79)=1,1,0))</f>
        <v/>
      </c>
      <c r="AM79">
        <f>IF($AL79=1,SUMPRODUCT(--($AP$2:$AP$301&lt;$AP79))+1,"")</f>
        <v/>
      </c>
      <c r="AN79">
        <f>IF($E79="","",IF(OR($S79=TRUE(),$S79="TRUE"),1,0))</f>
        <v/>
      </c>
      <c r="AO79">
        <f>IF($E79="","",IF($Y79="Yes",1,0))</f>
        <v/>
      </c>
      <c r="AP79">
        <f>IF($AL79=1,IFERROR(IF(VALUE($E79)&lt;100000000,VALUE($E79),1000000000),IFERROR(IF(VALUE(MID($E79,2,20))&lt;100000000,VALUE(MID($E79,2,20)),1000000000),1000000000))+ROW()/100000,"")</f>
        <v/>
      </c>
    </row>
    <row r="80">
      <c r="G80" s="11" t="n"/>
      <c r="O80" s="7">
        <f>IF($E80="","",N80*W80/100)</f>
        <v/>
      </c>
      <c r="P80" s="7" t="n"/>
      <c r="V80" s="7" t="n"/>
      <c r="W80" s="7" t="n"/>
      <c r="Z80">
        <f>IF($E80="","",IF($AO80=1,0,IF($AN80=1,Settings!$C$6,Settings!$C$7))*100)</f>
        <v/>
      </c>
      <c r="AA80" s="7">
        <f>IF($E80="","",W80*Z80/100)</f>
        <v/>
      </c>
      <c r="AB80" s="7">
        <f>IF($E80="","",W80-AA80)</f>
        <v/>
      </c>
      <c r="AC80" s="7">
        <f>IF($E80="","",AB80-O80)</f>
        <v/>
      </c>
      <c r="AG80" s="7" t="n"/>
      <c r="AJ80" s="11" t="n"/>
      <c r="AL80">
        <f>IF($E80="","",IF(COUNTIF($E$2:$E80,$E80)=1,1,0))</f>
        <v/>
      </c>
      <c r="AM80">
        <f>IF($AL80=1,SUMPRODUCT(--($AP$2:$AP$301&lt;$AP80))+1,"")</f>
        <v/>
      </c>
      <c r="AN80">
        <f>IF($E80="","",IF(OR($S80=TRUE(),$S80="TRUE"),1,0))</f>
        <v/>
      </c>
      <c r="AO80">
        <f>IF($E80="","",IF($Y80="Yes",1,0))</f>
        <v/>
      </c>
      <c r="AP80">
        <f>IF($AL80=1,IFERROR(IF(VALUE($E80)&lt;100000000,VALUE($E80),1000000000),IFERROR(IF(VALUE(MID($E80,2,20))&lt;100000000,VALUE(MID($E80,2,20)),1000000000),1000000000))+ROW()/100000,"")</f>
        <v/>
      </c>
    </row>
    <row r="81">
      <c r="G81" s="11" t="n"/>
      <c r="O81" s="7">
        <f>IF($E81="","",N81*W81/100)</f>
        <v/>
      </c>
      <c r="P81" s="7" t="n"/>
      <c r="V81" s="7" t="n"/>
      <c r="W81" s="7" t="n"/>
      <c r="Z81">
        <f>IF($E81="","",IF($AO81=1,0,IF($AN81=1,Settings!$C$6,Settings!$C$7))*100)</f>
        <v/>
      </c>
      <c r="AA81" s="7">
        <f>IF($E81="","",W81*Z81/100)</f>
        <v/>
      </c>
      <c r="AB81" s="7">
        <f>IF($E81="","",W81-AA81)</f>
        <v/>
      </c>
      <c r="AC81" s="7">
        <f>IF($E81="","",AB81-O81)</f>
        <v/>
      </c>
      <c r="AG81" s="7" t="n"/>
      <c r="AJ81" s="11" t="n"/>
      <c r="AL81">
        <f>IF($E81="","",IF(COUNTIF($E$2:$E81,$E81)=1,1,0))</f>
        <v/>
      </c>
      <c r="AM81">
        <f>IF($AL81=1,SUMPRODUCT(--($AP$2:$AP$301&lt;$AP81))+1,"")</f>
        <v/>
      </c>
      <c r="AN81">
        <f>IF($E81="","",IF(OR($S81=TRUE(),$S81="TRUE"),1,0))</f>
        <v/>
      </c>
      <c r="AO81">
        <f>IF($E81="","",IF($Y81="Yes",1,0))</f>
        <v/>
      </c>
      <c r="AP81">
        <f>IF($AL81=1,IFERROR(IF(VALUE($E81)&lt;100000000,VALUE($E81),1000000000),IFERROR(IF(VALUE(MID($E81,2,20))&lt;100000000,VALUE(MID($E81,2,20)),1000000000),1000000000))+ROW()/100000,"")</f>
        <v/>
      </c>
    </row>
    <row r="82">
      <c r="G82" s="11" t="n"/>
      <c r="O82" s="7">
        <f>IF($E82="","",N82*W82/100)</f>
        <v/>
      </c>
      <c r="P82" s="7" t="n"/>
      <c r="V82" s="7" t="n"/>
      <c r="W82" s="7" t="n"/>
      <c r="Z82">
        <f>IF($E82="","",IF($AO82=1,0,IF($AN82=1,Settings!$C$6,Settings!$C$7))*100)</f>
        <v/>
      </c>
      <c r="AA82" s="7">
        <f>IF($E82="","",W82*Z82/100)</f>
        <v/>
      </c>
      <c r="AB82" s="7">
        <f>IF($E82="","",W82-AA82)</f>
        <v/>
      </c>
      <c r="AC82" s="7">
        <f>IF($E82="","",AB82-O82)</f>
        <v/>
      </c>
      <c r="AG82" s="7" t="n"/>
      <c r="AJ82" s="11" t="n"/>
      <c r="AL82">
        <f>IF($E82="","",IF(COUNTIF($E$2:$E82,$E82)=1,1,0))</f>
        <v/>
      </c>
      <c r="AM82">
        <f>IF($AL82=1,SUMPRODUCT(--($AP$2:$AP$301&lt;$AP82))+1,"")</f>
        <v/>
      </c>
      <c r="AN82">
        <f>IF($E82="","",IF(OR($S82=TRUE(),$S82="TRUE"),1,0))</f>
        <v/>
      </c>
      <c r="AO82">
        <f>IF($E82="","",IF($Y82="Yes",1,0))</f>
        <v/>
      </c>
      <c r="AP82">
        <f>IF($AL82=1,IFERROR(IF(VALUE($E82)&lt;100000000,VALUE($E82),1000000000),IFERROR(IF(VALUE(MID($E82,2,20))&lt;100000000,VALUE(MID($E82,2,20)),1000000000),1000000000))+ROW()/100000,"")</f>
        <v/>
      </c>
    </row>
    <row r="83">
      <c r="G83" s="11" t="n"/>
      <c r="O83" s="7">
        <f>IF($E83="","",N83*W83/100)</f>
        <v/>
      </c>
      <c r="P83" s="7" t="n"/>
      <c r="V83" s="7" t="n"/>
      <c r="W83" s="7" t="n"/>
      <c r="Z83">
        <f>IF($E83="","",IF($AO83=1,0,IF($AN83=1,Settings!$C$6,Settings!$C$7))*100)</f>
        <v/>
      </c>
      <c r="AA83" s="7">
        <f>IF($E83="","",W83*Z83/100)</f>
        <v/>
      </c>
      <c r="AB83" s="7">
        <f>IF($E83="","",W83-AA83)</f>
        <v/>
      </c>
      <c r="AC83" s="7">
        <f>IF($E83="","",AB83-O83)</f>
        <v/>
      </c>
      <c r="AG83" s="7" t="n"/>
      <c r="AJ83" s="11" t="n"/>
      <c r="AL83">
        <f>IF($E83="","",IF(COUNTIF($E$2:$E83,$E83)=1,1,0))</f>
        <v/>
      </c>
      <c r="AM83">
        <f>IF($AL83=1,SUMPRODUCT(--($AP$2:$AP$301&lt;$AP83))+1,"")</f>
        <v/>
      </c>
      <c r="AN83">
        <f>IF($E83="","",IF(OR($S83=TRUE(),$S83="TRUE"),1,0))</f>
        <v/>
      </c>
      <c r="AO83">
        <f>IF($E83="","",IF($Y83="Yes",1,0))</f>
        <v/>
      </c>
      <c r="AP83">
        <f>IF($AL83=1,IFERROR(IF(VALUE($E83)&lt;100000000,VALUE($E83),1000000000),IFERROR(IF(VALUE(MID($E83,2,20))&lt;100000000,VALUE(MID($E83,2,20)),1000000000),1000000000))+ROW()/100000,"")</f>
        <v/>
      </c>
    </row>
    <row r="84">
      <c r="G84" s="11" t="n"/>
      <c r="O84" s="7">
        <f>IF($E84="","",N84*W84/100)</f>
        <v/>
      </c>
      <c r="P84" s="7" t="n"/>
      <c r="V84" s="7" t="n"/>
      <c r="W84" s="7" t="n"/>
      <c r="Z84">
        <f>IF($E84="","",IF($AO84=1,0,IF($AN84=1,Settings!$C$6,Settings!$C$7))*100)</f>
        <v/>
      </c>
      <c r="AA84" s="7">
        <f>IF($E84="","",W84*Z84/100)</f>
        <v/>
      </c>
      <c r="AB84" s="7">
        <f>IF($E84="","",W84-AA84)</f>
        <v/>
      </c>
      <c r="AC84" s="7">
        <f>IF($E84="","",AB84-O84)</f>
        <v/>
      </c>
      <c r="AG84" s="7" t="n"/>
      <c r="AJ84" s="11" t="n"/>
      <c r="AL84">
        <f>IF($E84="","",IF(COUNTIF($E$2:$E84,$E84)=1,1,0))</f>
        <v/>
      </c>
      <c r="AM84">
        <f>IF($AL84=1,SUMPRODUCT(--($AP$2:$AP$301&lt;$AP84))+1,"")</f>
        <v/>
      </c>
      <c r="AN84">
        <f>IF($E84="","",IF(OR($S84=TRUE(),$S84="TRUE"),1,0))</f>
        <v/>
      </c>
      <c r="AO84">
        <f>IF($E84="","",IF($Y84="Yes",1,0))</f>
        <v/>
      </c>
      <c r="AP84">
        <f>IF($AL84=1,IFERROR(IF(VALUE($E84)&lt;100000000,VALUE($E84),1000000000),IFERROR(IF(VALUE(MID($E84,2,20))&lt;100000000,VALUE(MID($E84,2,20)),1000000000),1000000000))+ROW()/100000,"")</f>
        <v/>
      </c>
    </row>
    <row r="85">
      <c r="G85" s="11" t="n"/>
      <c r="O85" s="7">
        <f>IF($E85="","",N85*W85/100)</f>
        <v/>
      </c>
      <c r="P85" s="7" t="n"/>
      <c r="V85" s="7" t="n"/>
      <c r="W85" s="7" t="n"/>
      <c r="Z85">
        <f>IF($E85="","",IF($AO85=1,0,IF($AN85=1,Settings!$C$6,Settings!$C$7))*100)</f>
        <v/>
      </c>
      <c r="AA85" s="7">
        <f>IF($E85="","",W85*Z85/100)</f>
        <v/>
      </c>
      <c r="AB85" s="7">
        <f>IF($E85="","",W85-AA85)</f>
        <v/>
      </c>
      <c r="AC85" s="7">
        <f>IF($E85="","",AB85-O85)</f>
        <v/>
      </c>
      <c r="AG85" s="7" t="n"/>
      <c r="AJ85" s="11" t="n"/>
      <c r="AL85">
        <f>IF($E85="","",IF(COUNTIF($E$2:$E85,$E85)=1,1,0))</f>
        <v/>
      </c>
      <c r="AM85">
        <f>IF($AL85=1,SUMPRODUCT(--($AP$2:$AP$301&lt;$AP85))+1,"")</f>
        <v/>
      </c>
      <c r="AN85">
        <f>IF($E85="","",IF(OR($S85=TRUE(),$S85="TRUE"),1,0))</f>
        <v/>
      </c>
      <c r="AO85">
        <f>IF($E85="","",IF($Y85="Yes",1,0))</f>
        <v/>
      </c>
      <c r="AP85">
        <f>IF($AL85=1,IFERROR(IF(VALUE($E85)&lt;100000000,VALUE($E85),1000000000),IFERROR(IF(VALUE(MID($E85,2,20))&lt;100000000,VALUE(MID($E85,2,20)),1000000000),1000000000))+ROW()/100000,"")</f>
        <v/>
      </c>
    </row>
    <row r="86">
      <c r="G86" s="11" t="n"/>
      <c r="O86" s="7">
        <f>IF($E86="","",N86*W86/100)</f>
        <v/>
      </c>
      <c r="P86" s="7" t="n"/>
      <c r="V86" s="7" t="n"/>
      <c r="W86" s="7" t="n"/>
      <c r="Z86">
        <f>IF($E86="","",IF($AO86=1,0,IF($AN86=1,Settings!$C$6,Settings!$C$7))*100)</f>
        <v/>
      </c>
      <c r="AA86" s="7">
        <f>IF($E86="","",W86*Z86/100)</f>
        <v/>
      </c>
      <c r="AB86" s="7">
        <f>IF($E86="","",W86-AA86)</f>
        <v/>
      </c>
      <c r="AC86" s="7">
        <f>IF($E86="","",AB86-O86)</f>
        <v/>
      </c>
      <c r="AG86" s="7" t="n"/>
      <c r="AJ86" s="11" t="n"/>
      <c r="AL86">
        <f>IF($E86="","",IF(COUNTIF($E$2:$E86,$E86)=1,1,0))</f>
        <v/>
      </c>
      <c r="AM86">
        <f>IF($AL86=1,SUMPRODUCT(--($AP$2:$AP$301&lt;$AP86))+1,"")</f>
        <v/>
      </c>
      <c r="AN86">
        <f>IF($E86="","",IF(OR($S86=TRUE(),$S86="TRUE"),1,0))</f>
        <v/>
      </c>
      <c r="AO86">
        <f>IF($E86="","",IF($Y86="Yes",1,0))</f>
        <v/>
      </c>
      <c r="AP86">
        <f>IF($AL86=1,IFERROR(IF(VALUE($E86)&lt;100000000,VALUE($E86),1000000000),IFERROR(IF(VALUE(MID($E86,2,20))&lt;100000000,VALUE(MID($E86,2,20)),1000000000),1000000000))+ROW()/100000,"")</f>
        <v/>
      </c>
    </row>
    <row r="87">
      <c r="G87" s="11" t="n"/>
      <c r="O87" s="7">
        <f>IF($E87="","",N87*W87/100)</f>
        <v/>
      </c>
      <c r="P87" s="7" t="n"/>
      <c r="V87" s="7" t="n"/>
      <c r="W87" s="7" t="n"/>
      <c r="Z87">
        <f>IF($E87="","",IF($AO87=1,0,IF($AN87=1,Settings!$C$6,Settings!$C$7))*100)</f>
        <v/>
      </c>
      <c r="AA87" s="7">
        <f>IF($E87="","",W87*Z87/100)</f>
        <v/>
      </c>
      <c r="AB87" s="7">
        <f>IF($E87="","",W87-AA87)</f>
        <v/>
      </c>
      <c r="AC87" s="7">
        <f>IF($E87="","",AB87-O87)</f>
        <v/>
      </c>
      <c r="AG87" s="7" t="n"/>
      <c r="AJ87" s="11" t="n"/>
      <c r="AL87">
        <f>IF($E87="","",IF(COUNTIF($E$2:$E87,$E87)=1,1,0))</f>
        <v/>
      </c>
      <c r="AM87">
        <f>IF($AL87=1,SUMPRODUCT(--($AP$2:$AP$301&lt;$AP87))+1,"")</f>
        <v/>
      </c>
      <c r="AN87">
        <f>IF($E87="","",IF(OR($S87=TRUE(),$S87="TRUE"),1,0))</f>
        <v/>
      </c>
      <c r="AO87">
        <f>IF($E87="","",IF($Y87="Yes",1,0))</f>
        <v/>
      </c>
      <c r="AP87">
        <f>IF($AL87=1,IFERROR(IF(VALUE($E87)&lt;100000000,VALUE($E87),1000000000),IFERROR(IF(VALUE(MID($E87,2,20))&lt;100000000,VALUE(MID($E87,2,20)),1000000000),1000000000))+ROW()/100000,"")</f>
        <v/>
      </c>
    </row>
    <row r="88">
      <c r="G88" s="11" t="n"/>
      <c r="O88" s="7">
        <f>IF($E88="","",N88*W88/100)</f>
        <v/>
      </c>
      <c r="P88" s="7" t="n"/>
      <c r="V88" s="7" t="n"/>
      <c r="W88" s="7" t="n"/>
      <c r="Z88">
        <f>IF($E88="","",IF($AO88=1,0,IF($AN88=1,Settings!$C$6,Settings!$C$7))*100)</f>
        <v/>
      </c>
      <c r="AA88" s="7">
        <f>IF($E88="","",W88*Z88/100)</f>
        <v/>
      </c>
      <c r="AB88" s="7">
        <f>IF($E88="","",W88-AA88)</f>
        <v/>
      </c>
      <c r="AC88" s="7">
        <f>IF($E88="","",AB88-O88)</f>
        <v/>
      </c>
      <c r="AG88" s="7" t="n"/>
      <c r="AJ88" s="11" t="n"/>
      <c r="AL88">
        <f>IF($E88="","",IF(COUNTIF($E$2:$E88,$E88)=1,1,0))</f>
        <v/>
      </c>
      <c r="AM88">
        <f>IF($AL88=1,SUMPRODUCT(--($AP$2:$AP$301&lt;$AP88))+1,"")</f>
        <v/>
      </c>
      <c r="AN88">
        <f>IF($E88="","",IF(OR($S88=TRUE(),$S88="TRUE"),1,0))</f>
        <v/>
      </c>
      <c r="AO88">
        <f>IF($E88="","",IF($Y88="Yes",1,0))</f>
        <v/>
      </c>
      <c r="AP88">
        <f>IF($AL88=1,IFERROR(IF(VALUE($E88)&lt;100000000,VALUE($E88),1000000000),IFERROR(IF(VALUE(MID($E88,2,20))&lt;100000000,VALUE(MID($E88,2,20)),1000000000),1000000000))+ROW()/100000,"")</f>
        <v/>
      </c>
    </row>
    <row r="89">
      <c r="G89" s="11" t="n"/>
      <c r="O89" s="7">
        <f>IF($E89="","",N89*W89/100)</f>
        <v/>
      </c>
      <c r="P89" s="7" t="n"/>
      <c r="V89" s="7" t="n"/>
      <c r="W89" s="7" t="n"/>
      <c r="Z89">
        <f>IF($E89="","",IF($AO89=1,0,IF($AN89=1,Settings!$C$6,Settings!$C$7))*100)</f>
        <v/>
      </c>
      <c r="AA89" s="7">
        <f>IF($E89="","",W89*Z89/100)</f>
        <v/>
      </c>
      <c r="AB89" s="7">
        <f>IF($E89="","",W89-AA89)</f>
        <v/>
      </c>
      <c r="AC89" s="7">
        <f>IF($E89="","",AB89-O89)</f>
        <v/>
      </c>
      <c r="AG89" s="7" t="n"/>
      <c r="AJ89" s="11" t="n"/>
      <c r="AL89">
        <f>IF($E89="","",IF(COUNTIF($E$2:$E89,$E89)=1,1,0))</f>
        <v/>
      </c>
      <c r="AM89">
        <f>IF($AL89=1,SUMPRODUCT(--($AP$2:$AP$301&lt;$AP89))+1,"")</f>
        <v/>
      </c>
      <c r="AN89">
        <f>IF($E89="","",IF(OR($S89=TRUE(),$S89="TRUE"),1,0))</f>
        <v/>
      </c>
      <c r="AO89">
        <f>IF($E89="","",IF($Y89="Yes",1,0))</f>
        <v/>
      </c>
      <c r="AP89">
        <f>IF($AL89=1,IFERROR(IF(VALUE($E89)&lt;100000000,VALUE($E89),1000000000),IFERROR(IF(VALUE(MID($E89,2,20))&lt;100000000,VALUE(MID($E89,2,20)),1000000000),1000000000))+ROW()/100000,"")</f>
        <v/>
      </c>
    </row>
    <row r="90">
      <c r="G90" s="11" t="n"/>
      <c r="O90" s="7">
        <f>IF($E90="","",N90*W90/100)</f>
        <v/>
      </c>
      <c r="P90" s="7" t="n"/>
      <c r="V90" s="7" t="n"/>
      <c r="W90" s="7" t="n"/>
      <c r="Z90">
        <f>IF($E90="","",IF($AO90=1,0,IF($AN90=1,Settings!$C$6,Settings!$C$7))*100)</f>
        <v/>
      </c>
      <c r="AA90" s="7">
        <f>IF($E90="","",W90*Z90/100)</f>
        <v/>
      </c>
      <c r="AB90" s="7">
        <f>IF($E90="","",W90-AA90)</f>
        <v/>
      </c>
      <c r="AC90" s="7">
        <f>IF($E90="","",AB90-O90)</f>
        <v/>
      </c>
      <c r="AG90" s="7" t="n"/>
      <c r="AJ90" s="11" t="n"/>
      <c r="AL90">
        <f>IF($E90="","",IF(COUNTIF($E$2:$E90,$E90)=1,1,0))</f>
        <v/>
      </c>
      <c r="AM90">
        <f>IF($AL90=1,SUMPRODUCT(--($AP$2:$AP$301&lt;$AP90))+1,"")</f>
        <v/>
      </c>
      <c r="AN90">
        <f>IF($E90="","",IF(OR($S90=TRUE(),$S90="TRUE"),1,0))</f>
        <v/>
      </c>
      <c r="AO90">
        <f>IF($E90="","",IF($Y90="Yes",1,0))</f>
        <v/>
      </c>
      <c r="AP90">
        <f>IF($AL90=1,IFERROR(IF(VALUE($E90)&lt;100000000,VALUE($E90),1000000000),IFERROR(IF(VALUE(MID($E90,2,20))&lt;100000000,VALUE(MID($E90,2,20)),1000000000),1000000000))+ROW()/100000,"")</f>
        <v/>
      </c>
    </row>
    <row r="91">
      <c r="G91" s="11" t="n"/>
      <c r="O91" s="7">
        <f>IF($E91="","",N91*W91/100)</f>
        <v/>
      </c>
      <c r="P91" s="7" t="n"/>
      <c r="V91" s="7" t="n"/>
      <c r="W91" s="7" t="n"/>
      <c r="Z91">
        <f>IF($E91="","",IF($AO91=1,0,IF($AN91=1,Settings!$C$6,Settings!$C$7))*100)</f>
        <v/>
      </c>
      <c r="AA91" s="7">
        <f>IF($E91="","",W91*Z91/100)</f>
        <v/>
      </c>
      <c r="AB91" s="7">
        <f>IF($E91="","",W91-AA91)</f>
        <v/>
      </c>
      <c r="AC91" s="7">
        <f>IF($E91="","",AB91-O91)</f>
        <v/>
      </c>
      <c r="AG91" s="7" t="n"/>
      <c r="AJ91" s="11" t="n"/>
      <c r="AL91">
        <f>IF($E91="","",IF(COUNTIF($E$2:$E91,$E91)=1,1,0))</f>
        <v/>
      </c>
      <c r="AM91">
        <f>IF($AL91=1,SUMPRODUCT(--($AP$2:$AP$301&lt;$AP91))+1,"")</f>
        <v/>
      </c>
      <c r="AN91">
        <f>IF($E91="","",IF(OR($S91=TRUE(),$S91="TRUE"),1,0))</f>
        <v/>
      </c>
      <c r="AO91">
        <f>IF($E91="","",IF($Y91="Yes",1,0))</f>
        <v/>
      </c>
      <c r="AP91">
        <f>IF($AL91=1,IFERROR(IF(VALUE($E91)&lt;100000000,VALUE($E91),1000000000),IFERROR(IF(VALUE(MID($E91,2,20))&lt;100000000,VALUE(MID($E91,2,20)),1000000000),1000000000))+ROW()/100000,"")</f>
        <v/>
      </c>
    </row>
    <row r="92">
      <c r="G92" s="11" t="n"/>
      <c r="O92" s="7">
        <f>IF($E92="","",N92*W92/100)</f>
        <v/>
      </c>
      <c r="P92" s="7" t="n"/>
      <c r="V92" s="7" t="n"/>
      <c r="W92" s="7" t="n"/>
      <c r="Z92">
        <f>IF($E92="","",IF($AO92=1,0,IF($AN92=1,Settings!$C$6,Settings!$C$7))*100)</f>
        <v/>
      </c>
      <c r="AA92" s="7">
        <f>IF($E92="","",W92*Z92/100)</f>
        <v/>
      </c>
      <c r="AB92" s="7">
        <f>IF($E92="","",W92-AA92)</f>
        <v/>
      </c>
      <c r="AC92" s="7">
        <f>IF($E92="","",AB92-O92)</f>
        <v/>
      </c>
      <c r="AG92" s="7" t="n"/>
      <c r="AJ92" s="11" t="n"/>
      <c r="AL92">
        <f>IF($E92="","",IF(COUNTIF($E$2:$E92,$E92)=1,1,0))</f>
        <v/>
      </c>
      <c r="AM92">
        <f>IF($AL92=1,SUMPRODUCT(--($AP$2:$AP$301&lt;$AP92))+1,"")</f>
        <v/>
      </c>
      <c r="AN92">
        <f>IF($E92="","",IF(OR($S92=TRUE(),$S92="TRUE"),1,0))</f>
        <v/>
      </c>
      <c r="AO92">
        <f>IF($E92="","",IF($Y92="Yes",1,0))</f>
        <v/>
      </c>
      <c r="AP92">
        <f>IF($AL92=1,IFERROR(IF(VALUE($E92)&lt;100000000,VALUE($E92),1000000000),IFERROR(IF(VALUE(MID($E92,2,20))&lt;100000000,VALUE(MID($E92,2,20)),1000000000),1000000000))+ROW()/100000,"")</f>
        <v/>
      </c>
    </row>
    <row r="93">
      <c r="G93" s="11" t="n"/>
      <c r="O93" s="7">
        <f>IF($E93="","",N93*W93/100)</f>
        <v/>
      </c>
      <c r="P93" s="7" t="n"/>
      <c r="V93" s="7" t="n"/>
      <c r="W93" s="7" t="n"/>
      <c r="Z93">
        <f>IF($E93="","",IF($AO93=1,0,IF($AN93=1,Settings!$C$6,Settings!$C$7))*100)</f>
        <v/>
      </c>
      <c r="AA93" s="7">
        <f>IF($E93="","",W93*Z93/100)</f>
        <v/>
      </c>
      <c r="AB93" s="7">
        <f>IF($E93="","",W93-AA93)</f>
        <v/>
      </c>
      <c r="AC93" s="7">
        <f>IF($E93="","",AB93-O93)</f>
        <v/>
      </c>
      <c r="AG93" s="7" t="n"/>
      <c r="AJ93" s="11" t="n"/>
      <c r="AL93">
        <f>IF($E93="","",IF(COUNTIF($E$2:$E93,$E93)=1,1,0))</f>
        <v/>
      </c>
      <c r="AM93">
        <f>IF($AL93=1,SUMPRODUCT(--($AP$2:$AP$301&lt;$AP93))+1,"")</f>
        <v/>
      </c>
      <c r="AN93">
        <f>IF($E93="","",IF(OR($S93=TRUE(),$S93="TRUE"),1,0))</f>
        <v/>
      </c>
      <c r="AO93">
        <f>IF($E93="","",IF($Y93="Yes",1,0))</f>
        <v/>
      </c>
      <c r="AP93">
        <f>IF($AL93=1,IFERROR(IF(VALUE($E93)&lt;100000000,VALUE($E93),1000000000),IFERROR(IF(VALUE(MID($E93,2,20))&lt;100000000,VALUE(MID($E93,2,20)),1000000000),1000000000))+ROW()/100000,"")</f>
        <v/>
      </c>
    </row>
    <row r="94">
      <c r="G94" s="11" t="n"/>
      <c r="O94" s="7">
        <f>IF($E94="","",N94*W94/100)</f>
        <v/>
      </c>
      <c r="P94" s="7" t="n"/>
      <c r="V94" s="7" t="n"/>
      <c r="W94" s="7" t="n"/>
      <c r="Z94">
        <f>IF($E94="","",IF($AO94=1,0,IF($AN94=1,Settings!$C$6,Settings!$C$7))*100)</f>
        <v/>
      </c>
      <c r="AA94" s="7">
        <f>IF($E94="","",W94*Z94/100)</f>
        <v/>
      </c>
      <c r="AB94" s="7">
        <f>IF($E94="","",W94-AA94)</f>
        <v/>
      </c>
      <c r="AC94" s="7">
        <f>IF($E94="","",AB94-O94)</f>
        <v/>
      </c>
      <c r="AG94" s="7" t="n"/>
      <c r="AJ94" s="11" t="n"/>
      <c r="AL94">
        <f>IF($E94="","",IF(COUNTIF($E$2:$E94,$E94)=1,1,0))</f>
        <v/>
      </c>
      <c r="AM94">
        <f>IF($AL94=1,SUMPRODUCT(--($AP$2:$AP$301&lt;$AP94))+1,"")</f>
        <v/>
      </c>
      <c r="AN94">
        <f>IF($E94="","",IF(OR($S94=TRUE(),$S94="TRUE"),1,0))</f>
        <v/>
      </c>
      <c r="AO94">
        <f>IF($E94="","",IF($Y94="Yes",1,0))</f>
        <v/>
      </c>
      <c r="AP94">
        <f>IF($AL94=1,IFERROR(IF(VALUE($E94)&lt;100000000,VALUE($E94),1000000000),IFERROR(IF(VALUE(MID($E94,2,20))&lt;100000000,VALUE(MID($E94,2,20)),1000000000),1000000000))+ROW()/100000,"")</f>
        <v/>
      </c>
    </row>
    <row r="95">
      <c r="G95" s="11" t="n"/>
      <c r="O95" s="7">
        <f>IF($E95="","",N95*W95/100)</f>
        <v/>
      </c>
      <c r="P95" s="7" t="n"/>
      <c r="V95" s="7" t="n"/>
      <c r="W95" s="7" t="n"/>
      <c r="Z95">
        <f>IF($E95="","",IF($AO95=1,0,IF($AN95=1,Settings!$C$6,Settings!$C$7))*100)</f>
        <v/>
      </c>
      <c r="AA95" s="7">
        <f>IF($E95="","",W95*Z95/100)</f>
        <v/>
      </c>
      <c r="AB95" s="7">
        <f>IF($E95="","",W95-AA95)</f>
        <v/>
      </c>
      <c r="AC95" s="7">
        <f>IF($E95="","",AB95-O95)</f>
        <v/>
      </c>
      <c r="AG95" s="7" t="n"/>
      <c r="AJ95" s="11" t="n"/>
      <c r="AL95">
        <f>IF($E95="","",IF(COUNTIF($E$2:$E95,$E95)=1,1,0))</f>
        <v/>
      </c>
      <c r="AM95">
        <f>IF($AL95=1,SUMPRODUCT(--($AP$2:$AP$301&lt;$AP95))+1,"")</f>
        <v/>
      </c>
      <c r="AN95">
        <f>IF($E95="","",IF(OR($S95=TRUE(),$S95="TRUE"),1,0))</f>
        <v/>
      </c>
      <c r="AO95">
        <f>IF($E95="","",IF($Y95="Yes",1,0))</f>
        <v/>
      </c>
      <c r="AP95">
        <f>IF($AL95=1,IFERROR(IF(VALUE($E95)&lt;100000000,VALUE($E95),1000000000),IFERROR(IF(VALUE(MID($E95,2,20))&lt;100000000,VALUE(MID($E95,2,20)),1000000000),1000000000))+ROW()/100000,"")</f>
        <v/>
      </c>
    </row>
    <row r="96">
      <c r="G96" s="11" t="n"/>
      <c r="O96" s="7">
        <f>IF($E96="","",N96*W96/100)</f>
        <v/>
      </c>
      <c r="P96" s="7" t="n"/>
      <c r="V96" s="7" t="n"/>
      <c r="W96" s="7" t="n"/>
      <c r="Z96">
        <f>IF($E96="","",IF($AO96=1,0,IF($AN96=1,Settings!$C$6,Settings!$C$7))*100)</f>
        <v/>
      </c>
      <c r="AA96" s="7">
        <f>IF($E96="","",W96*Z96/100)</f>
        <v/>
      </c>
      <c r="AB96" s="7">
        <f>IF($E96="","",W96-AA96)</f>
        <v/>
      </c>
      <c r="AC96" s="7">
        <f>IF($E96="","",AB96-O96)</f>
        <v/>
      </c>
      <c r="AG96" s="7" t="n"/>
      <c r="AJ96" s="11" t="n"/>
      <c r="AL96">
        <f>IF($E96="","",IF(COUNTIF($E$2:$E96,$E96)=1,1,0))</f>
        <v/>
      </c>
      <c r="AM96">
        <f>IF($AL96=1,SUMPRODUCT(--($AP$2:$AP$301&lt;$AP96))+1,"")</f>
        <v/>
      </c>
      <c r="AN96">
        <f>IF($E96="","",IF(OR($S96=TRUE(),$S96="TRUE"),1,0))</f>
        <v/>
      </c>
      <c r="AO96">
        <f>IF($E96="","",IF($Y96="Yes",1,0))</f>
        <v/>
      </c>
      <c r="AP96">
        <f>IF($AL96=1,IFERROR(IF(VALUE($E96)&lt;100000000,VALUE($E96),1000000000),IFERROR(IF(VALUE(MID($E96,2,20))&lt;100000000,VALUE(MID($E96,2,20)),1000000000),1000000000))+ROW()/100000,"")</f>
        <v/>
      </c>
    </row>
    <row r="97">
      <c r="G97" s="11" t="n"/>
      <c r="O97" s="7">
        <f>IF($E97="","",N97*W97/100)</f>
        <v/>
      </c>
      <c r="P97" s="7" t="n"/>
      <c r="V97" s="7" t="n"/>
      <c r="W97" s="7" t="n"/>
      <c r="Z97">
        <f>IF($E97="","",IF($AO97=1,0,IF($AN97=1,Settings!$C$6,Settings!$C$7))*100)</f>
        <v/>
      </c>
      <c r="AA97" s="7">
        <f>IF($E97="","",W97*Z97/100)</f>
        <v/>
      </c>
      <c r="AB97" s="7">
        <f>IF($E97="","",W97-AA97)</f>
        <v/>
      </c>
      <c r="AC97" s="7">
        <f>IF($E97="","",AB97-O97)</f>
        <v/>
      </c>
      <c r="AG97" s="7" t="n"/>
      <c r="AJ97" s="11" t="n"/>
      <c r="AL97">
        <f>IF($E97="","",IF(COUNTIF($E$2:$E97,$E97)=1,1,0))</f>
        <v/>
      </c>
      <c r="AM97">
        <f>IF($AL97=1,SUMPRODUCT(--($AP$2:$AP$301&lt;$AP97))+1,"")</f>
        <v/>
      </c>
      <c r="AN97">
        <f>IF($E97="","",IF(OR($S97=TRUE(),$S97="TRUE"),1,0))</f>
        <v/>
      </c>
      <c r="AO97">
        <f>IF($E97="","",IF($Y97="Yes",1,0))</f>
        <v/>
      </c>
      <c r="AP97">
        <f>IF($AL97=1,IFERROR(IF(VALUE($E97)&lt;100000000,VALUE($E97),1000000000),IFERROR(IF(VALUE(MID($E97,2,20))&lt;100000000,VALUE(MID($E97,2,20)),1000000000),1000000000))+ROW()/100000,"")</f>
        <v/>
      </c>
    </row>
    <row r="98">
      <c r="G98" s="11" t="n"/>
      <c r="O98" s="7">
        <f>IF($E98="","",N98*W98/100)</f>
        <v/>
      </c>
      <c r="P98" s="7" t="n"/>
      <c r="V98" s="7" t="n"/>
      <c r="W98" s="7" t="n"/>
      <c r="Z98">
        <f>IF($E98="","",IF($AO98=1,0,IF($AN98=1,Settings!$C$6,Settings!$C$7))*100)</f>
        <v/>
      </c>
      <c r="AA98" s="7">
        <f>IF($E98="","",W98*Z98/100)</f>
        <v/>
      </c>
      <c r="AB98" s="7">
        <f>IF($E98="","",W98-AA98)</f>
        <v/>
      </c>
      <c r="AC98" s="7">
        <f>IF($E98="","",AB98-O98)</f>
        <v/>
      </c>
      <c r="AG98" s="7" t="n"/>
      <c r="AJ98" s="11" t="n"/>
      <c r="AL98">
        <f>IF($E98="","",IF(COUNTIF($E$2:$E98,$E98)=1,1,0))</f>
        <v/>
      </c>
      <c r="AM98">
        <f>IF($AL98=1,SUMPRODUCT(--($AP$2:$AP$301&lt;$AP98))+1,"")</f>
        <v/>
      </c>
      <c r="AN98">
        <f>IF($E98="","",IF(OR($S98=TRUE(),$S98="TRUE"),1,0))</f>
        <v/>
      </c>
      <c r="AO98">
        <f>IF($E98="","",IF($Y98="Yes",1,0))</f>
        <v/>
      </c>
      <c r="AP98">
        <f>IF($AL98=1,IFERROR(IF(VALUE($E98)&lt;100000000,VALUE($E98),1000000000),IFERROR(IF(VALUE(MID($E98,2,20))&lt;100000000,VALUE(MID($E98,2,20)),1000000000),1000000000))+ROW()/100000,"")</f>
        <v/>
      </c>
    </row>
    <row r="99">
      <c r="G99" s="11" t="n"/>
      <c r="O99" s="7">
        <f>IF($E99="","",N99*W99/100)</f>
        <v/>
      </c>
      <c r="P99" s="7" t="n"/>
      <c r="V99" s="7" t="n"/>
      <c r="W99" s="7" t="n"/>
      <c r="Z99">
        <f>IF($E99="","",IF($AO99=1,0,IF($AN99=1,Settings!$C$6,Settings!$C$7))*100)</f>
        <v/>
      </c>
      <c r="AA99" s="7">
        <f>IF($E99="","",W99*Z99/100)</f>
        <v/>
      </c>
      <c r="AB99" s="7">
        <f>IF($E99="","",W99-AA99)</f>
        <v/>
      </c>
      <c r="AC99" s="7">
        <f>IF($E99="","",AB99-O99)</f>
        <v/>
      </c>
      <c r="AG99" s="7" t="n"/>
      <c r="AJ99" s="11" t="n"/>
      <c r="AL99">
        <f>IF($E99="","",IF(COUNTIF($E$2:$E99,$E99)=1,1,0))</f>
        <v/>
      </c>
      <c r="AM99">
        <f>IF($AL99=1,SUMPRODUCT(--($AP$2:$AP$301&lt;$AP99))+1,"")</f>
        <v/>
      </c>
      <c r="AN99">
        <f>IF($E99="","",IF(OR($S99=TRUE(),$S99="TRUE"),1,0))</f>
        <v/>
      </c>
      <c r="AO99">
        <f>IF($E99="","",IF($Y99="Yes",1,0))</f>
        <v/>
      </c>
      <c r="AP99">
        <f>IF($AL99=1,IFERROR(IF(VALUE($E99)&lt;100000000,VALUE($E99),1000000000),IFERROR(IF(VALUE(MID($E99,2,20))&lt;100000000,VALUE(MID($E99,2,20)),1000000000),1000000000))+ROW()/100000,"")</f>
        <v/>
      </c>
    </row>
    <row r="100">
      <c r="G100" s="11" t="n"/>
      <c r="O100" s="7">
        <f>IF($E100="","",N100*W100/100)</f>
        <v/>
      </c>
      <c r="P100" s="7" t="n"/>
      <c r="V100" s="7" t="n"/>
      <c r="W100" s="7" t="n"/>
      <c r="Z100">
        <f>IF($E100="","",IF($AO100=1,0,IF($AN100=1,Settings!$C$6,Settings!$C$7))*100)</f>
        <v/>
      </c>
      <c r="AA100" s="7">
        <f>IF($E100="","",W100*Z100/100)</f>
        <v/>
      </c>
      <c r="AB100" s="7">
        <f>IF($E100="","",W100-AA100)</f>
        <v/>
      </c>
      <c r="AC100" s="7">
        <f>IF($E100="","",AB100-O100)</f>
        <v/>
      </c>
      <c r="AG100" s="7" t="n"/>
      <c r="AJ100" s="11" t="n"/>
      <c r="AL100">
        <f>IF($E100="","",IF(COUNTIF($E$2:$E100,$E100)=1,1,0))</f>
        <v/>
      </c>
      <c r="AM100">
        <f>IF($AL100=1,SUMPRODUCT(--($AP$2:$AP$301&lt;$AP100))+1,"")</f>
        <v/>
      </c>
      <c r="AN100">
        <f>IF($E100="","",IF(OR($S100=TRUE(),$S100="TRUE"),1,0))</f>
        <v/>
      </c>
      <c r="AO100">
        <f>IF($E100="","",IF($Y100="Yes",1,0))</f>
        <v/>
      </c>
      <c r="AP100">
        <f>IF($AL100=1,IFERROR(IF(VALUE($E100)&lt;100000000,VALUE($E100),1000000000),IFERROR(IF(VALUE(MID($E100,2,20))&lt;100000000,VALUE(MID($E100,2,20)),1000000000),1000000000))+ROW()/100000,"")</f>
        <v/>
      </c>
    </row>
    <row r="101">
      <c r="G101" s="11" t="n"/>
      <c r="O101" s="7">
        <f>IF($E101="","",N101*W101/100)</f>
        <v/>
      </c>
      <c r="P101" s="7" t="n"/>
      <c r="V101" s="7" t="n"/>
      <c r="W101" s="7" t="n"/>
      <c r="Z101">
        <f>IF($E101="","",IF($AO101=1,0,IF($AN101=1,Settings!$C$6,Settings!$C$7))*100)</f>
        <v/>
      </c>
      <c r="AA101" s="7">
        <f>IF($E101="","",W101*Z101/100)</f>
        <v/>
      </c>
      <c r="AB101" s="7">
        <f>IF($E101="","",W101-AA101)</f>
        <v/>
      </c>
      <c r="AC101" s="7">
        <f>IF($E101="","",AB101-O101)</f>
        <v/>
      </c>
      <c r="AG101" s="7" t="n"/>
      <c r="AJ101" s="11" t="n"/>
      <c r="AL101">
        <f>IF($E101="","",IF(COUNTIF($E$2:$E101,$E101)=1,1,0))</f>
        <v/>
      </c>
      <c r="AM101">
        <f>IF($AL101=1,SUMPRODUCT(--($AP$2:$AP$301&lt;$AP101))+1,"")</f>
        <v/>
      </c>
      <c r="AN101">
        <f>IF($E101="","",IF(OR($S101=TRUE(),$S101="TRUE"),1,0))</f>
        <v/>
      </c>
      <c r="AO101">
        <f>IF($E101="","",IF($Y101="Yes",1,0))</f>
        <v/>
      </c>
      <c r="AP101">
        <f>IF($AL101=1,IFERROR(IF(VALUE($E101)&lt;100000000,VALUE($E101),1000000000),IFERROR(IF(VALUE(MID($E101,2,20))&lt;100000000,VALUE(MID($E101,2,20)),1000000000),1000000000))+ROW()/100000,"")</f>
        <v/>
      </c>
    </row>
    <row r="102">
      <c r="G102" s="11" t="n"/>
      <c r="O102" s="7">
        <f>IF($E102="","",N102*W102/100)</f>
        <v/>
      </c>
      <c r="P102" s="7" t="n"/>
      <c r="V102" s="7" t="n"/>
      <c r="W102" s="7" t="n"/>
      <c r="Z102">
        <f>IF($E102="","",IF($AO102=1,0,IF($AN102=1,Settings!$C$6,Settings!$C$7))*100)</f>
        <v/>
      </c>
      <c r="AA102" s="7">
        <f>IF($E102="","",W102*Z102/100)</f>
        <v/>
      </c>
      <c r="AB102" s="7">
        <f>IF($E102="","",W102-AA102)</f>
        <v/>
      </c>
      <c r="AC102" s="7">
        <f>IF($E102="","",AB102-O102)</f>
        <v/>
      </c>
      <c r="AG102" s="7" t="n"/>
      <c r="AJ102" s="11" t="n"/>
      <c r="AL102">
        <f>IF($E102="","",IF(COUNTIF($E$2:$E102,$E102)=1,1,0))</f>
        <v/>
      </c>
      <c r="AM102">
        <f>IF($AL102=1,SUMPRODUCT(--($AP$2:$AP$301&lt;$AP102))+1,"")</f>
        <v/>
      </c>
      <c r="AN102">
        <f>IF($E102="","",IF(OR($S102=TRUE(),$S102="TRUE"),1,0))</f>
        <v/>
      </c>
      <c r="AO102">
        <f>IF($E102="","",IF($Y102="Yes",1,0))</f>
        <v/>
      </c>
      <c r="AP102">
        <f>IF($AL102=1,IFERROR(IF(VALUE($E102)&lt;100000000,VALUE($E102),1000000000),IFERROR(IF(VALUE(MID($E102,2,20))&lt;100000000,VALUE(MID($E102,2,20)),1000000000),1000000000))+ROW()/100000,"")</f>
        <v/>
      </c>
    </row>
    <row r="103">
      <c r="G103" s="11" t="n"/>
      <c r="O103" s="7">
        <f>IF($E103="","",N103*W103/100)</f>
        <v/>
      </c>
      <c r="P103" s="7" t="n"/>
      <c r="V103" s="7" t="n"/>
      <c r="W103" s="7" t="n"/>
      <c r="Z103">
        <f>IF($E103="","",IF($AO103=1,0,IF($AN103=1,Settings!$C$6,Settings!$C$7))*100)</f>
        <v/>
      </c>
      <c r="AA103" s="7">
        <f>IF($E103="","",W103*Z103/100)</f>
        <v/>
      </c>
      <c r="AB103" s="7">
        <f>IF($E103="","",W103-AA103)</f>
        <v/>
      </c>
      <c r="AC103" s="7">
        <f>IF($E103="","",AB103-O103)</f>
        <v/>
      </c>
      <c r="AG103" s="7" t="n"/>
      <c r="AJ103" s="11" t="n"/>
      <c r="AL103">
        <f>IF($E103="","",IF(COUNTIF($E$2:$E103,$E103)=1,1,0))</f>
        <v/>
      </c>
      <c r="AM103">
        <f>IF($AL103=1,SUMPRODUCT(--($AP$2:$AP$301&lt;$AP103))+1,"")</f>
        <v/>
      </c>
      <c r="AN103">
        <f>IF($E103="","",IF(OR($S103=TRUE(),$S103="TRUE"),1,0))</f>
        <v/>
      </c>
      <c r="AO103">
        <f>IF($E103="","",IF($Y103="Yes",1,0))</f>
        <v/>
      </c>
      <c r="AP103">
        <f>IF($AL103=1,IFERROR(IF(VALUE($E103)&lt;100000000,VALUE($E103),1000000000),IFERROR(IF(VALUE(MID($E103,2,20))&lt;100000000,VALUE(MID($E103,2,20)),1000000000),1000000000))+ROW()/100000,"")</f>
        <v/>
      </c>
    </row>
    <row r="104">
      <c r="G104" s="11" t="n"/>
      <c r="O104" s="7">
        <f>IF($E104="","",N104*W104/100)</f>
        <v/>
      </c>
      <c r="P104" s="7" t="n"/>
      <c r="V104" s="7" t="n"/>
      <c r="W104" s="7" t="n"/>
      <c r="Z104">
        <f>IF($E104="","",IF($AO104=1,0,IF($AN104=1,Settings!$C$6,Settings!$C$7))*100)</f>
        <v/>
      </c>
      <c r="AA104" s="7">
        <f>IF($E104="","",W104*Z104/100)</f>
        <v/>
      </c>
      <c r="AB104" s="7">
        <f>IF($E104="","",W104-AA104)</f>
        <v/>
      </c>
      <c r="AC104" s="7">
        <f>IF($E104="","",AB104-O104)</f>
        <v/>
      </c>
      <c r="AG104" s="7" t="n"/>
      <c r="AJ104" s="11" t="n"/>
      <c r="AL104">
        <f>IF($E104="","",IF(COUNTIF($E$2:$E104,$E104)=1,1,0))</f>
        <v/>
      </c>
      <c r="AM104">
        <f>IF($AL104=1,SUMPRODUCT(--($AP$2:$AP$301&lt;$AP104))+1,"")</f>
        <v/>
      </c>
      <c r="AN104">
        <f>IF($E104="","",IF(OR($S104=TRUE(),$S104="TRUE"),1,0))</f>
        <v/>
      </c>
      <c r="AO104">
        <f>IF($E104="","",IF($Y104="Yes",1,0))</f>
        <v/>
      </c>
      <c r="AP104">
        <f>IF($AL104=1,IFERROR(IF(VALUE($E104)&lt;100000000,VALUE($E104),1000000000),IFERROR(IF(VALUE(MID($E104,2,20))&lt;100000000,VALUE(MID($E104,2,20)),1000000000),1000000000))+ROW()/100000,"")</f>
        <v/>
      </c>
    </row>
    <row r="105">
      <c r="G105" s="11" t="n"/>
      <c r="O105" s="7">
        <f>IF($E105="","",N105*W105/100)</f>
        <v/>
      </c>
      <c r="P105" s="7" t="n"/>
      <c r="V105" s="7" t="n"/>
      <c r="W105" s="7" t="n"/>
      <c r="Z105">
        <f>IF($E105="","",IF($AO105=1,0,IF($AN105=1,Settings!$C$6,Settings!$C$7))*100)</f>
        <v/>
      </c>
      <c r="AA105" s="7">
        <f>IF($E105="","",W105*Z105/100)</f>
        <v/>
      </c>
      <c r="AB105" s="7">
        <f>IF($E105="","",W105-AA105)</f>
        <v/>
      </c>
      <c r="AC105" s="7">
        <f>IF($E105="","",AB105-O105)</f>
        <v/>
      </c>
      <c r="AG105" s="7" t="n"/>
      <c r="AJ105" s="11" t="n"/>
      <c r="AL105">
        <f>IF($E105="","",IF(COUNTIF($E$2:$E105,$E105)=1,1,0))</f>
        <v/>
      </c>
      <c r="AM105">
        <f>IF($AL105=1,SUMPRODUCT(--($AP$2:$AP$301&lt;$AP105))+1,"")</f>
        <v/>
      </c>
      <c r="AN105">
        <f>IF($E105="","",IF(OR($S105=TRUE(),$S105="TRUE"),1,0))</f>
        <v/>
      </c>
      <c r="AO105">
        <f>IF($E105="","",IF($Y105="Yes",1,0))</f>
        <v/>
      </c>
      <c r="AP105">
        <f>IF($AL105=1,IFERROR(IF(VALUE($E105)&lt;100000000,VALUE($E105),1000000000),IFERROR(IF(VALUE(MID($E105,2,20))&lt;100000000,VALUE(MID($E105,2,20)),1000000000),1000000000))+ROW()/100000,"")</f>
        <v/>
      </c>
    </row>
    <row r="106">
      <c r="G106" s="11" t="n"/>
      <c r="O106" s="7">
        <f>IF($E106="","",N106*W106/100)</f>
        <v/>
      </c>
      <c r="P106" s="7" t="n"/>
      <c r="V106" s="7" t="n"/>
      <c r="W106" s="7" t="n"/>
      <c r="Z106">
        <f>IF($E106="","",IF($AO106=1,0,IF($AN106=1,Settings!$C$6,Settings!$C$7))*100)</f>
        <v/>
      </c>
      <c r="AA106" s="7">
        <f>IF($E106="","",W106*Z106/100)</f>
        <v/>
      </c>
      <c r="AB106" s="7">
        <f>IF($E106="","",W106-AA106)</f>
        <v/>
      </c>
      <c r="AC106" s="7">
        <f>IF($E106="","",AB106-O106)</f>
        <v/>
      </c>
      <c r="AG106" s="7" t="n"/>
      <c r="AJ106" s="11" t="n"/>
      <c r="AL106">
        <f>IF($E106="","",IF(COUNTIF($E$2:$E106,$E106)=1,1,0))</f>
        <v/>
      </c>
      <c r="AM106">
        <f>IF($AL106=1,SUMPRODUCT(--($AP$2:$AP$301&lt;$AP106))+1,"")</f>
        <v/>
      </c>
      <c r="AN106">
        <f>IF($E106="","",IF(OR($S106=TRUE(),$S106="TRUE"),1,0))</f>
        <v/>
      </c>
      <c r="AO106">
        <f>IF($E106="","",IF($Y106="Yes",1,0))</f>
        <v/>
      </c>
      <c r="AP106">
        <f>IF($AL106=1,IFERROR(IF(VALUE($E106)&lt;100000000,VALUE($E106),1000000000),IFERROR(IF(VALUE(MID($E106,2,20))&lt;100000000,VALUE(MID($E106,2,20)),1000000000),1000000000))+ROW()/100000,"")</f>
        <v/>
      </c>
    </row>
    <row r="107">
      <c r="G107" s="11" t="n"/>
      <c r="O107" s="7">
        <f>IF($E107="","",N107*W107/100)</f>
        <v/>
      </c>
      <c r="P107" s="7" t="n"/>
      <c r="V107" s="7" t="n"/>
      <c r="W107" s="7" t="n"/>
      <c r="Z107">
        <f>IF($E107="","",IF($AO107=1,0,IF($AN107=1,Settings!$C$6,Settings!$C$7))*100)</f>
        <v/>
      </c>
      <c r="AA107" s="7">
        <f>IF($E107="","",W107*Z107/100)</f>
        <v/>
      </c>
      <c r="AB107" s="7">
        <f>IF($E107="","",W107-AA107)</f>
        <v/>
      </c>
      <c r="AC107" s="7">
        <f>IF($E107="","",AB107-O107)</f>
        <v/>
      </c>
      <c r="AG107" s="7" t="n"/>
      <c r="AJ107" s="11" t="n"/>
      <c r="AL107">
        <f>IF($E107="","",IF(COUNTIF($E$2:$E107,$E107)=1,1,0))</f>
        <v/>
      </c>
      <c r="AM107">
        <f>IF($AL107=1,SUMPRODUCT(--($AP$2:$AP$301&lt;$AP107))+1,"")</f>
        <v/>
      </c>
      <c r="AN107">
        <f>IF($E107="","",IF(OR($S107=TRUE(),$S107="TRUE"),1,0))</f>
        <v/>
      </c>
      <c r="AO107">
        <f>IF($E107="","",IF($Y107="Yes",1,0))</f>
        <v/>
      </c>
      <c r="AP107">
        <f>IF($AL107=1,IFERROR(IF(VALUE($E107)&lt;100000000,VALUE($E107),1000000000),IFERROR(IF(VALUE(MID($E107,2,20))&lt;100000000,VALUE(MID($E107,2,20)),1000000000),1000000000))+ROW()/100000,"")</f>
        <v/>
      </c>
    </row>
    <row r="108">
      <c r="G108" s="11" t="n"/>
      <c r="O108" s="7">
        <f>IF($E108="","",N108*W108/100)</f>
        <v/>
      </c>
      <c r="P108" s="7" t="n"/>
      <c r="V108" s="7" t="n"/>
      <c r="W108" s="7" t="n"/>
      <c r="Z108">
        <f>IF($E108="","",IF($AO108=1,0,IF($AN108=1,Settings!$C$6,Settings!$C$7))*100)</f>
        <v/>
      </c>
      <c r="AA108" s="7">
        <f>IF($E108="","",W108*Z108/100)</f>
        <v/>
      </c>
      <c r="AB108" s="7">
        <f>IF($E108="","",W108-AA108)</f>
        <v/>
      </c>
      <c r="AC108" s="7">
        <f>IF($E108="","",AB108-O108)</f>
        <v/>
      </c>
      <c r="AG108" s="7" t="n"/>
      <c r="AJ108" s="11" t="n"/>
      <c r="AL108">
        <f>IF($E108="","",IF(COUNTIF($E$2:$E108,$E108)=1,1,0))</f>
        <v/>
      </c>
      <c r="AM108">
        <f>IF($AL108=1,SUMPRODUCT(--($AP$2:$AP$301&lt;$AP108))+1,"")</f>
        <v/>
      </c>
      <c r="AN108">
        <f>IF($E108="","",IF(OR($S108=TRUE(),$S108="TRUE"),1,0))</f>
        <v/>
      </c>
      <c r="AO108">
        <f>IF($E108="","",IF($Y108="Yes",1,0))</f>
        <v/>
      </c>
      <c r="AP108">
        <f>IF($AL108=1,IFERROR(IF(VALUE($E108)&lt;100000000,VALUE($E108),1000000000),IFERROR(IF(VALUE(MID($E108,2,20))&lt;100000000,VALUE(MID($E108,2,20)),1000000000),1000000000))+ROW()/100000,"")</f>
        <v/>
      </c>
    </row>
    <row r="109">
      <c r="G109" s="11" t="n"/>
      <c r="O109" s="7">
        <f>IF($E109="","",N109*W109/100)</f>
        <v/>
      </c>
      <c r="P109" s="7" t="n"/>
      <c r="V109" s="7" t="n"/>
      <c r="W109" s="7" t="n"/>
      <c r="Z109">
        <f>IF($E109="","",IF($AO109=1,0,IF($AN109=1,Settings!$C$6,Settings!$C$7))*100)</f>
        <v/>
      </c>
      <c r="AA109" s="7">
        <f>IF($E109="","",W109*Z109/100)</f>
        <v/>
      </c>
      <c r="AB109" s="7">
        <f>IF($E109="","",W109-AA109)</f>
        <v/>
      </c>
      <c r="AC109" s="7">
        <f>IF($E109="","",AB109-O109)</f>
        <v/>
      </c>
      <c r="AG109" s="7" t="n"/>
      <c r="AJ109" s="11" t="n"/>
      <c r="AL109">
        <f>IF($E109="","",IF(COUNTIF($E$2:$E109,$E109)=1,1,0))</f>
        <v/>
      </c>
      <c r="AM109">
        <f>IF($AL109=1,SUMPRODUCT(--($AP$2:$AP$301&lt;$AP109))+1,"")</f>
        <v/>
      </c>
      <c r="AN109">
        <f>IF($E109="","",IF(OR($S109=TRUE(),$S109="TRUE"),1,0))</f>
        <v/>
      </c>
      <c r="AO109">
        <f>IF($E109="","",IF($Y109="Yes",1,0))</f>
        <v/>
      </c>
      <c r="AP109">
        <f>IF($AL109=1,IFERROR(IF(VALUE($E109)&lt;100000000,VALUE($E109),1000000000),IFERROR(IF(VALUE(MID($E109,2,20))&lt;100000000,VALUE(MID($E109,2,20)),1000000000),1000000000))+ROW()/100000,"")</f>
        <v/>
      </c>
    </row>
    <row r="110">
      <c r="G110" s="11" t="n"/>
      <c r="O110" s="7">
        <f>IF($E110="","",N110*W110/100)</f>
        <v/>
      </c>
      <c r="P110" s="7" t="n"/>
      <c r="V110" s="7" t="n"/>
      <c r="W110" s="7" t="n"/>
      <c r="Z110">
        <f>IF($E110="","",IF($AO110=1,0,IF($AN110=1,Settings!$C$6,Settings!$C$7))*100)</f>
        <v/>
      </c>
      <c r="AA110" s="7">
        <f>IF($E110="","",W110*Z110/100)</f>
        <v/>
      </c>
      <c r="AB110" s="7">
        <f>IF($E110="","",W110-AA110)</f>
        <v/>
      </c>
      <c r="AC110" s="7">
        <f>IF($E110="","",AB110-O110)</f>
        <v/>
      </c>
      <c r="AG110" s="7" t="n"/>
      <c r="AJ110" s="11" t="n"/>
      <c r="AL110">
        <f>IF($E110="","",IF(COUNTIF($E$2:$E110,$E110)=1,1,0))</f>
        <v/>
      </c>
      <c r="AM110">
        <f>IF($AL110=1,SUMPRODUCT(--($AP$2:$AP$301&lt;$AP110))+1,"")</f>
        <v/>
      </c>
      <c r="AN110">
        <f>IF($E110="","",IF(OR($S110=TRUE(),$S110="TRUE"),1,0))</f>
        <v/>
      </c>
      <c r="AO110">
        <f>IF($E110="","",IF($Y110="Yes",1,0))</f>
        <v/>
      </c>
      <c r="AP110">
        <f>IF($AL110=1,IFERROR(IF(VALUE($E110)&lt;100000000,VALUE($E110),1000000000),IFERROR(IF(VALUE(MID($E110,2,20))&lt;100000000,VALUE(MID($E110,2,20)),1000000000),1000000000))+ROW()/100000,"")</f>
        <v/>
      </c>
    </row>
    <row r="111">
      <c r="G111" s="11" t="n"/>
      <c r="O111" s="7">
        <f>IF($E111="","",N111*W111/100)</f>
        <v/>
      </c>
      <c r="P111" s="7" t="n"/>
      <c r="V111" s="7" t="n"/>
      <c r="W111" s="7" t="n"/>
      <c r="Z111">
        <f>IF($E111="","",IF($AO111=1,0,IF($AN111=1,Settings!$C$6,Settings!$C$7))*100)</f>
        <v/>
      </c>
      <c r="AA111" s="7">
        <f>IF($E111="","",W111*Z111/100)</f>
        <v/>
      </c>
      <c r="AB111" s="7">
        <f>IF($E111="","",W111-AA111)</f>
        <v/>
      </c>
      <c r="AC111" s="7">
        <f>IF($E111="","",AB111-O111)</f>
        <v/>
      </c>
      <c r="AG111" s="7" t="n"/>
      <c r="AJ111" s="11" t="n"/>
      <c r="AL111">
        <f>IF($E111="","",IF(COUNTIF($E$2:$E111,$E111)=1,1,0))</f>
        <v/>
      </c>
      <c r="AM111">
        <f>IF($AL111=1,SUMPRODUCT(--($AP$2:$AP$301&lt;$AP111))+1,"")</f>
        <v/>
      </c>
      <c r="AN111">
        <f>IF($E111="","",IF(OR($S111=TRUE(),$S111="TRUE"),1,0))</f>
        <v/>
      </c>
      <c r="AO111">
        <f>IF($E111="","",IF($Y111="Yes",1,0))</f>
        <v/>
      </c>
      <c r="AP111">
        <f>IF($AL111=1,IFERROR(IF(VALUE($E111)&lt;100000000,VALUE($E111),1000000000),IFERROR(IF(VALUE(MID($E111,2,20))&lt;100000000,VALUE(MID($E111,2,20)),1000000000),1000000000))+ROW()/100000,"")</f>
        <v/>
      </c>
    </row>
    <row r="112">
      <c r="G112" s="11" t="n"/>
      <c r="O112" s="7">
        <f>IF($E112="","",N112*W112/100)</f>
        <v/>
      </c>
      <c r="P112" s="7" t="n"/>
      <c r="V112" s="7" t="n"/>
      <c r="W112" s="7" t="n"/>
      <c r="Z112">
        <f>IF($E112="","",IF($AO112=1,0,IF($AN112=1,Settings!$C$6,Settings!$C$7))*100)</f>
        <v/>
      </c>
      <c r="AA112" s="7">
        <f>IF($E112="","",W112*Z112/100)</f>
        <v/>
      </c>
      <c r="AB112" s="7">
        <f>IF($E112="","",W112-AA112)</f>
        <v/>
      </c>
      <c r="AC112" s="7">
        <f>IF($E112="","",AB112-O112)</f>
        <v/>
      </c>
      <c r="AG112" s="7" t="n"/>
      <c r="AJ112" s="11" t="n"/>
      <c r="AL112">
        <f>IF($E112="","",IF(COUNTIF($E$2:$E112,$E112)=1,1,0))</f>
        <v/>
      </c>
      <c r="AM112">
        <f>IF($AL112=1,SUMPRODUCT(--($AP$2:$AP$301&lt;$AP112))+1,"")</f>
        <v/>
      </c>
      <c r="AN112">
        <f>IF($E112="","",IF(OR($S112=TRUE(),$S112="TRUE"),1,0))</f>
        <v/>
      </c>
      <c r="AO112">
        <f>IF($E112="","",IF($Y112="Yes",1,0))</f>
        <v/>
      </c>
      <c r="AP112">
        <f>IF($AL112=1,IFERROR(IF(VALUE($E112)&lt;100000000,VALUE($E112),1000000000),IFERROR(IF(VALUE(MID($E112,2,20))&lt;100000000,VALUE(MID($E112,2,20)),1000000000),1000000000))+ROW()/100000,"")</f>
        <v/>
      </c>
    </row>
    <row r="113">
      <c r="G113" s="11" t="n"/>
      <c r="O113" s="7">
        <f>IF($E113="","",N113*W113/100)</f>
        <v/>
      </c>
      <c r="P113" s="7" t="n"/>
      <c r="V113" s="7" t="n"/>
      <c r="W113" s="7" t="n"/>
      <c r="Z113">
        <f>IF($E113="","",IF($AO113=1,0,IF($AN113=1,Settings!$C$6,Settings!$C$7))*100)</f>
        <v/>
      </c>
      <c r="AA113" s="7">
        <f>IF($E113="","",W113*Z113/100)</f>
        <v/>
      </c>
      <c r="AB113" s="7">
        <f>IF($E113="","",W113-AA113)</f>
        <v/>
      </c>
      <c r="AC113" s="7">
        <f>IF($E113="","",AB113-O113)</f>
        <v/>
      </c>
      <c r="AG113" s="7" t="n"/>
      <c r="AJ113" s="11" t="n"/>
      <c r="AL113">
        <f>IF($E113="","",IF(COUNTIF($E$2:$E113,$E113)=1,1,0))</f>
        <v/>
      </c>
      <c r="AM113">
        <f>IF($AL113=1,SUMPRODUCT(--($AP$2:$AP$301&lt;$AP113))+1,"")</f>
        <v/>
      </c>
      <c r="AN113">
        <f>IF($E113="","",IF(OR($S113=TRUE(),$S113="TRUE"),1,0))</f>
        <v/>
      </c>
      <c r="AO113">
        <f>IF($E113="","",IF($Y113="Yes",1,0))</f>
        <v/>
      </c>
      <c r="AP113">
        <f>IF($AL113=1,IFERROR(IF(VALUE($E113)&lt;100000000,VALUE($E113),1000000000),IFERROR(IF(VALUE(MID($E113,2,20))&lt;100000000,VALUE(MID($E113,2,20)),1000000000),1000000000))+ROW()/100000,"")</f>
        <v/>
      </c>
    </row>
    <row r="114">
      <c r="G114" s="11" t="n"/>
      <c r="O114" s="7">
        <f>IF($E114="","",N114*W114/100)</f>
        <v/>
      </c>
      <c r="P114" s="7" t="n"/>
      <c r="V114" s="7" t="n"/>
      <c r="W114" s="7" t="n"/>
      <c r="Z114">
        <f>IF($E114="","",IF($AO114=1,0,IF($AN114=1,Settings!$C$6,Settings!$C$7))*100)</f>
        <v/>
      </c>
      <c r="AA114" s="7">
        <f>IF($E114="","",W114*Z114/100)</f>
        <v/>
      </c>
      <c r="AB114" s="7">
        <f>IF($E114="","",W114-AA114)</f>
        <v/>
      </c>
      <c r="AC114" s="7">
        <f>IF($E114="","",AB114-O114)</f>
        <v/>
      </c>
      <c r="AG114" s="7" t="n"/>
      <c r="AJ114" s="11" t="n"/>
      <c r="AL114">
        <f>IF($E114="","",IF(COUNTIF($E$2:$E114,$E114)=1,1,0))</f>
        <v/>
      </c>
      <c r="AM114">
        <f>IF($AL114=1,SUMPRODUCT(--($AP$2:$AP$301&lt;$AP114))+1,"")</f>
        <v/>
      </c>
      <c r="AN114">
        <f>IF($E114="","",IF(OR($S114=TRUE(),$S114="TRUE"),1,0))</f>
        <v/>
      </c>
      <c r="AO114">
        <f>IF($E114="","",IF($Y114="Yes",1,0))</f>
        <v/>
      </c>
      <c r="AP114">
        <f>IF($AL114=1,IFERROR(IF(VALUE($E114)&lt;100000000,VALUE($E114),1000000000),IFERROR(IF(VALUE(MID($E114,2,20))&lt;100000000,VALUE(MID($E114,2,20)),1000000000),1000000000))+ROW()/100000,"")</f>
        <v/>
      </c>
    </row>
    <row r="115">
      <c r="G115" s="11" t="n"/>
      <c r="O115" s="7">
        <f>IF($E115="","",N115*W115/100)</f>
        <v/>
      </c>
      <c r="P115" s="7" t="n"/>
      <c r="V115" s="7" t="n"/>
      <c r="W115" s="7" t="n"/>
      <c r="Z115">
        <f>IF($E115="","",IF($AO115=1,0,IF($AN115=1,Settings!$C$6,Settings!$C$7))*100)</f>
        <v/>
      </c>
      <c r="AA115" s="7">
        <f>IF($E115="","",W115*Z115/100)</f>
        <v/>
      </c>
      <c r="AB115" s="7">
        <f>IF($E115="","",W115-AA115)</f>
        <v/>
      </c>
      <c r="AC115" s="7">
        <f>IF($E115="","",AB115-O115)</f>
        <v/>
      </c>
      <c r="AG115" s="7" t="n"/>
      <c r="AJ115" s="11" t="n"/>
      <c r="AL115">
        <f>IF($E115="","",IF(COUNTIF($E$2:$E115,$E115)=1,1,0))</f>
        <v/>
      </c>
      <c r="AM115">
        <f>IF($AL115=1,SUMPRODUCT(--($AP$2:$AP$301&lt;$AP115))+1,"")</f>
        <v/>
      </c>
      <c r="AN115">
        <f>IF($E115="","",IF(OR($S115=TRUE(),$S115="TRUE"),1,0))</f>
        <v/>
      </c>
      <c r="AO115">
        <f>IF($E115="","",IF($Y115="Yes",1,0))</f>
        <v/>
      </c>
      <c r="AP115">
        <f>IF($AL115=1,IFERROR(IF(VALUE($E115)&lt;100000000,VALUE($E115),1000000000),IFERROR(IF(VALUE(MID($E115,2,20))&lt;100000000,VALUE(MID($E115,2,20)),1000000000),1000000000))+ROW()/100000,"")</f>
        <v/>
      </c>
    </row>
    <row r="116">
      <c r="G116" s="11" t="n"/>
      <c r="O116" s="7">
        <f>IF($E116="","",N116*W116/100)</f>
        <v/>
      </c>
      <c r="P116" s="7" t="n"/>
      <c r="V116" s="7" t="n"/>
      <c r="W116" s="7" t="n"/>
      <c r="Z116">
        <f>IF($E116="","",IF($AO116=1,0,IF($AN116=1,Settings!$C$6,Settings!$C$7))*100)</f>
        <v/>
      </c>
      <c r="AA116" s="7">
        <f>IF($E116="","",W116*Z116/100)</f>
        <v/>
      </c>
      <c r="AB116" s="7">
        <f>IF($E116="","",W116-AA116)</f>
        <v/>
      </c>
      <c r="AC116" s="7">
        <f>IF($E116="","",AB116-O116)</f>
        <v/>
      </c>
      <c r="AG116" s="7" t="n"/>
      <c r="AJ116" s="11" t="n"/>
      <c r="AL116">
        <f>IF($E116="","",IF(COUNTIF($E$2:$E116,$E116)=1,1,0))</f>
        <v/>
      </c>
      <c r="AM116">
        <f>IF($AL116=1,SUMPRODUCT(--($AP$2:$AP$301&lt;$AP116))+1,"")</f>
        <v/>
      </c>
      <c r="AN116">
        <f>IF($E116="","",IF(OR($S116=TRUE(),$S116="TRUE"),1,0))</f>
        <v/>
      </c>
      <c r="AO116">
        <f>IF($E116="","",IF($Y116="Yes",1,0))</f>
        <v/>
      </c>
      <c r="AP116">
        <f>IF($AL116=1,IFERROR(IF(VALUE($E116)&lt;100000000,VALUE($E116),1000000000),IFERROR(IF(VALUE(MID($E116,2,20))&lt;100000000,VALUE(MID($E116,2,20)),1000000000),1000000000))+ROW()/100000,"")</f>
        <v/>
      </c>
    </row>
    <row r="117">
      <c r="G117" s="11" t="n"/>
      <c r="O117" s="7">
        <f>IF($E117="","",N117*W117/100)</f>
        <v/>
      </c>
      <c r="P117" s="7" t="n"/>
      <c r="V117" s="7" t="n"/>
      <c r="W117" s="7" t="n"/>
      <c r="Z117">
        <f>IF($E117="","",IF($AO117=1,0,IF($AN117=1,Settings!$C$6,Settings!$C$7))*100)</f>
        <v/>
      </c>
      <c r="AA117" s="7">
        <f>IF($E117="","",W117*Z117/100)</f>
        <v/>
      </c>
      <c r="AB117" s="7">
        <f>IF($E117="","",W117-AA117)</f>
        <v/>
      </c>
      <c r="AC117" s="7">
        <f>IF($E117="","",AB117-O117)</f>
        <v/>
      </c>
      <c r="AG117" s="7" t="n"/>
      <c r="AJ117" s="11" t="n"/>
      <c r="AL117">
        <f>IF($E117="","",IF(COUNTIF($E$2:$E117,$E117)=1,1,0))</f>
        <v/>
      </c>
      <c r="AM117">
        <f>IF($AL117=1,SUMPRODUCT(--($AP$2:$AP$301&lt;$AP117))+1,"")</f>
        <v/>
      </c>
      <c r="AN117">
        <f>IF($E117="","",IF(OR($S117=TRUE(),$S117="TRUE"),1,0))</f>
        <v/>
      </c>
      <c r="AO117">
        <f>IF($E117="","",IF($Y117="Yes",1,0))</f>
        <v/>
      </c>
      <c r="AP117">
        <f>IF($AL117=1,IFERROR(IF(VALUE($E117)&lt;100000000,VALUE($E117),1000000000),IFERROR(IF(VALUE(MID($E117,2,20))&lt;100000000,VALUE(MID($E117,2,20)),1000000000),1000000000))+ROW()/100000,"")</f>
        <v/>
      </c>
    </row>
    <row r="118">
      <c r="G118" s="11" t="n"/>
      <c r="O118" s="7">
        <f>IF($E118="","",N118*W118/100)</f>
        <v/>
      </c>
      <c r="P118" s="7" t="n"/>
      <c r="V118" s="7" t="n"/>
      <c r="W118" s="7" t="n"/>
      <c r="Z118">
        <f>IF($E118="","",IF($AO118=1,0,IF($AN118=1,Settings!$C$6,Settings!$C$7))*100)</f>
        <v/>
      </c>
      <c r="AA118" s="7">
        <f>IF($E118="","",W118*Z118/100)</f>
        <v/>
      </c>
      <c r="AB118" s="7">
        <f>IF($E118="","",W118-AA118)</f>
        <v/>
      </c>
      <c r="AC118" s="7">
        <f>IF($E118="","",AB118-O118)</f>
        <v/>
      </c>
      <c r="AG118" s="7" t="n"/>
      <c r="AJ118" s="11" t="n"/>
      <c r="AL118">
        <f>IF($E118="","",IF(COUNTIF($E$2:$E118,$E118)=1,1,0))</f>
        <v/>
      </c>
      <c r="AM118">
        <f>IF($AL118=1,SUMPRODUCT(--($AP$2:$AP$301&lt;$AP118))+1,"")</f>
        <v/>
      </c>
      <c r="AN118">
        <f>IF($E118="","",IF(OR($S118=TRUE(),$S118="TRUE"),1,0))</f>
        <v/>
      </c>
      <c r="AO118">
        <f>IF($E118="","",IF($Y118="Yes",1,0))</f>
        <v/>
      </c>
      <c r="AP118">
        <f>IF($AL118=1,IFERROR(IF(VALUE($E118)&lt;100000000,VALUE($E118),1000000000),IFERROR(IF(VALUE(MID($E118,2,20))&lt;100000000,VALUE(MID($E118,2,20)),1000000000),1000000000))+ROW()/100000,"")</f>
        <v/>
      </c>
    </row>
    <row r="119">
      <c r="G119" s="11" t="n"/>
      <c r="O119" s="7">
        <f>IF($E119="","",N119*W119/100)</f>
        <v/>
      </c>
      <c r="P119" s="7" t="n"/>
      <c r="V119" s="7" t="n"/>
      <c r="W119" s="7" t="n"/>
      <c r="Z119">
        <f>IF($E119="","",IF($AO119=1,0,IF($AN119=1,Settings!$C$6,Settings!$C$7))*100)</f>
        <v/>
      </c>
      <c r="AA119" s="7">
        <f>IF($E119="","",W119*Z119/100)</f>
        <v/>
      </c>
      <c r="AB119" s="7">
        <f>IF($E119="","",W119-AA119)</f>
        <v/>
      </c>
      <c r="AC119" s="7">
        <f>IF($E119="","",AB119-O119)</f>
        <v/>
      </c>
      <c r="AG119" s="7" t="n"/>
      <c r="AJ119" s="11" t="n"/>
      <c r="AL119">
        <f>IF($E119="","",IF(COUNTIF($E$2:$E119,$E119)=1,1,0))</f>
        <v/>
      </c>
      <c r="AM119">
        <f>IF($AL119=1,SUMPRODUCT(--($AP$2:$AP$301&lt;$AP119))+1,"")</f>
        <v/>
      </c>
      <c r="AN119">
        <f>IF($E119="","",IF(OR($S119=TRUE(),$S119="TRUE"),1,0))</f>
        <v/>
      </c>
      <c r="AO119">
        <f>IF($E119="","",IF($Y119="Yes",1,0))</f>
        <v/>
      </c>
      <c r="AP119">
        <f>IF($AL119=1,IFERROR(IF(VALUE($E119)&lt;100000000,VALUE($E119),1000000000),IFERROR(IF(VALUE(MID($E119,2,20))&lt;100000000,VALUE(MID($E119,2,20)),1000000000),1000000000))+ROW()/100000,"")</f>
        <v/>
      </c>
    </row>
    <row r="120">
      <c r="G120" s="11" t="n"/>
      <c r="O120" s="7">
        <f>IF($E120="","",N120*W120/100)</f>
        <v/>
      </c>
      <c r="P120" s="7" t="n"/>
      <c r="V120" s="7" t="n"/>
      <c r="W120" s="7" t="n"/>
      <c r="Z120">
        <f>IF($E120="","",IF($AO120=1,0,IF($AN120=1,Settings!$C$6,Settings!$C$7))*100)</f>
        <v/>
      </c>
      <c r="AA120" s="7">
        <f>IF($E120="","",W120*Z120/100)</f>
        <v/>
      </c>
      <c r="AB120" s="7">
        <f>IF($E120="","",W120-AA120)</f>
        <v/>
      </c>
      <c r="AC120" s="7">
        <f>IF($E120="","",AB120-O120)</f>
        <v/>
      </c>
      <c r="AG120" s="7" t="n"/>
      <c r="AJ120" s="11" t="n"/>
      <c r="AL120">
        <f>IF($E120="","",IF(COUNTIF($E$2:$E120,$E120)=1,1,0))</f>
        <v/>
      </c>
      <c r="AM120">
        <f>IF($AL120=1,SUMPRODUCT(--($AP$2:$AP$301&lt;$AP120))+1,"")</f>
        <v/>
      </c>
      <c r="AN120">
        <f>IF($E120="","",IF(OR($S120=TRUE(),$S120="TRUE"),1,0))</f>
        <v/>
      </c>
      <c r="AO120">
        <f>IF($E120="","",IF($Y120="Yes",1,0))</f>
        <v/>
      </c>
      <c r="AP120">
        <f>IF($AL120=1,IFERROR(IF(VALUE($E120)&lt;100000000,VALUE($E120),1000000000),IFERROR(IF(VALUE(MID($E120,2,20))&lt;100000000,VALUE(MID($E120,2,20)),1000000000),1000000000))+ROW()/100000,"")</f>
        <v/>
      </c>
    </row>
    <row r="121">
      <c r="G121" s="11" t="n"/>
      <c r="O121" s="7">
        <f>IF($E121="","",N121*W121/100)</f>
        <v/>
      </c>
      <c r="P121" s="7" t="n"/>
      <c r="V121" s="7" t="n"/>
      <c r="W121" s="7" t="n"/>
      <c r="Z121">
        <f>IF($E121="","",IF($AO121=1,0,IF($AN121=1,Settings!$C$6,Settings!$C$7))*100)</f>
        <v/>
      </c>
      <c r="AA121" s="7">
        <f>IF($E121="","",W121*Z121/100)</f>
        <v/>
      </c>
      <c r="AB121" s="7">
        <f>IF($E121="","",W121-AA121)</f>
        <v/>
      </c>
      <c r="AC121" s="7">
        <f>IF($E121="","",AB121-O121)</f>
        <v/>
      </c>
      <c r="AG121" s="7" t="n"/>
      <c r="AJ121" s="11" t="n"/>
      <c r="AL121">
        <f>IF($E121="","",IF(COUNTIF($E$2:$E121,$E121)=1,1,0))</f>
        <v/>
      </c>
      <c r="AM121">
        <f>IF($AL121=1,SUMPRODUCT(--($AP$2:$AP$301&lt;$AP121))+1,"")</f>
        <v/>
      </c>
      <c r="AN121">
        <f>IF($E121="","",IF(OR($S121=TRUE(),$S121="TRUE"),1,0))</f>
        <v/>
      </c>
      <c r="AO121">
        <f>IF($E121="","",IF($Y121="Yes",1,0))</f>
        <v/>
      </c>
      <c r="AP121">
        <f>IF($AL121=1,IFERROR(IF(VALUE($E121)&lt;100000000,VALUE($E121),1000000000),IFERROR(IF(VALUE(MID($E121,2,20))&lt;100000000,VALUE(MID($E121,2,20)),1000000000),1000000000))+ROW()/100000,"")</f>
        <v/>
      </c>
    </row>
    <row r="122">
      <c r="G122" s="11" t="n"/>
      <c r="O122" s="7">
        <f>IF($E122="","",N122*W122/100)</f>
        <v/>
      </c>
      <c r="P122" s="7" t="n"/>
      <c r="V122" s="7" t="n"/>
      <c r="W122" s="7" t="n"/>
      <c r="Z122">
        <f>IF($E122="","",IF($AO122=1,0,IF($AN122=1,Settings!$C$6,Settings!$C$7))*100)</f>
        <v/>
      </c>
      <c r="AA122" s="7">
        <f>IF($E122="","",W122*Z122/100)</f>
        <v/>
      </c>
      <c r="AB122" s="7">
        <f>IF($E122="","",W122-AA122)</f>
        <v/>
      </c>
      <c r="AC122" s="7">
        <f>IF($E122="","",AB122-O122)</f>
        <v/>
      </c>
      <c r="AG122" s="7" t="n"/>
      <c r="AJ122" s="11" t="n"/>
      <c r="AL122">
        <f>IF($E122="","",IF(COUNTIF($E$2:$E122,$E122)=1,1,0))</f>
        <v/>
      </c>
      <c r="AM122">
        <f>IF($AL122=1,SUMPRODUCT(--($AP$2:$AP$301&lt;$AP122))+1,"")</f>
        <v/>
      </c>
      <c r="AN122">
        <f>IF($E122="","",IF(OR($S122=TRUE(),$S122="TRUE"),1,0))</f>
        <v/>
      </c>
      <c r="AO122">
        <f>IF($E122="","",IF($Y122="Yes",1,0))</f>
        <v/>
      </c>
      <c r="AP122">
        <f>IF($AL122=1,IFERROR(IF(VALUE($E122)&lt;100000000,VALUE($E122),1000000000),IFERROR(IF(VALUE(MID($E122,2,20))&lt;100000000,VALUE(MID($E122,2,20)),1000000000),1000000000))+ROW()/100000,"")</f>
        <v/>
      </c>
    </row>
    <row r="123">
      <c r="G123" s="11" t="n"/>
      <c r="O123" s="7">
        <f>IF($E123="","",N123*W123/100)</f>
        <v/>
      </c>
      <c r="P123" s="7" t="n"/>
      <c r="V123" s="7" t="n"/>
      <c r="W123" s="7" t="n"/>
      <c r="Z123">
        <f>IF($E123="","",IF($AO123=1,0,IF($AN123=1,Settings!$C$6,Settings!$C$7))*100)</f>
        <v/>
      </c>
      <c r="AA123" s="7">
        <f>IF($E123="","",W123*Z123/100)</f>
        <v/>
      </c>
      <c r="AB123" s="7">
        <f>IF($E123="","",W123-AA123)</f>
        <v/>
      </c>
      <c r="AC123" s="7">
        <f>IF($E123="","",AB123-O123)</f>
        <v/>
      </c>
      <c r="AG123" s="7" t="n"/>
      <c r="AJ123" s="11" t="n"/>
      <c r="AL123">
        <f>IF($E123="","",IF(COUNTIF($E$2:$E123,$E123)=1,1,0))</f>
        <v/>
      </c>
      <c r="AM123">
        <f>IF($AL123=1,SUMPRODUCT(--($AP$2:$AP$301&lt;$AP123))+1,"")</f>
        <v/>
      </c>
      <c r="AN123">
        <f>IF($E123="","",IF(OR($S123=TRUE(),$S123="TRUE"),1,0))</f>
        <v/>
      </c>
      <c r="AO123">
        <f>IF($E123="","",IF($Y123="Yes",1,0))</f>
        <v/>
      </c>
      <c r="AP123">
        <f>IF($AL123=1,IFERROR(IF(VALUE($E123)&lt;100000000,VALUE($E123),1000000000),IFERROR(IF(VALUE(MID($E123,2,20))&lt;100000000,VALUE(MID($E123,2,20)),1000000000),1000000000))+ROW()/100000,"")</f>
        <v/>
      </c>
    </row>
    <row r="124">
      <c r="G124" s="11" t="n"/>
      <c r="O124" s="7">
        <f>IF($E124="","",N124*W124/100)</f>
        <v/>
      </c>
      <c r="P124" s="7" t="n"/>
      <c r="V124" s="7" t="n"/>
      <c r="W124" s="7" t="n"/>
      <c r="Z124">
        <f>IF($E124="","",IF($AO124=1,0,IF($AN124=1,Settings!$C$6,Settings!$C$7))*100)</f>
        <v/>
      </c>
      <c r="AA124" s="7">
        <f>IF($E124="","",W124*Z124/100)</f>
        <v/>
      </c>
      <c r="AB124" s="7">
        <f>IF($E124="","",W124-AA124)</f>
        <v/>
      </c>
      <c r="AC124" s="7">
        <f>IF($E124="","",AB124-O124)</f>
        <v/>
      </c>
      <c r="AG124" s="7" t="n"/>
      <c r="AJ124" s="11" t="n"/>
      <c r="AL124">
        <f>IF($E124="","",IF(COUNTIF($E$2:$E124,$E124)=1,1,0))</f>
        <v/>
      </c>
      <c r="AM124">
        <f>IF($AL124=1,SUMPRODUCT(--($AP$2:$AP$301&lt;$AP124))+1,"")</f>
        <v/>
      </c>
      <c r="AN124">
        <f>IF($E124="","",IF(OR($S124=TRUE(),$S124="TRUE"),1,0))</f>
        <v/>
      </c>
      <c r="AO124">
        <f>IF($E124="","",IF($Y124="Yes",1,0))</f>
        <v/>
      </c>
      <c r="AP124">
        <f>IF($AL124=1,IFERROR(IF(VALUE($E124)&lt;100000000,VALUE($E124),1000000000),IFERROR(IF(VALUE(MID($E124,2,20))&lt;100000000,VALUE(MID($E124,2,20)),1000000000),1000000000))+ROW()/100000,"")</f>
        <v/>
      </c>
    </row>
    <row r="125">
      <c r="G125" s="11" t="n"/>
      <c r="O125" s="7">
        <f>IF($E125="","",N125*W125/100)</f>
        <v/>
      </c>
      <c r="P125" s="7" t="n"/>
      <c r="V125" s="7" t="n"/>
      <c r="W125" s="7" t="n"/>
      <c r="Z125">
        <f>IF($E125="","",IF($AO125=1,0,IF($AN125=1,Settings!$C$6,Settings!$C$7))*100)</f>
        <v/>
      </c>
      <c r="AA125" s="7">
        <f>IF($E125="","",W125*Z125/100)</f>
        <v/>
      </c>
      <c r="AB125" s="7">
        <f>IF($E125="","",W125-AA125)</f>
        <v/>
      </c>
      <c r="AC125" s="7">
        <f>IF($E125="","",AB125-O125)</f>
        <v/>
      </c>
      <c r="AG125" s="7" t="n"/>
      <c r="AJ125" s="11" t="n"/>
      <c r="AL125">
        <f>IF($E125="","",IF(COUNTIF($E$2:$E125,$E125)=1,1,0))</f>
        <v/>
      </c>
      <c r="AM125">
        <f>IF($AL125=1,SUMPRODUCT(--($AP$2:$AP$301&lt;$AP125))+1,"")</f>
        <v/>
      </c>
      <c r="AN125">
        <f>IF($E125="","",IF(OR($S125=TRUE(),$S125="TRUE"),1,0))</f>
        <v/>
      </c>
      <c r="AO125">
        <f>IF($E125="","",IF($Y125="Yes",1,0))</f>
        <v/>
      </c>
      <c r="AP125">
        <f>IF($AL125=1,IFERROR(IF(VALUE($E125)&lt;100000000,VALUE($E125),1000000000),IFERROR(IF(VALUE(MID($E125,2,20))&lt;100000000,VALUE(MID($E125,2,20)),1000000000),1000000000))+ROW()/100000,"")</f>
        <v/>
      </c>
    </row>
    <row r="126">
      <c r="G126" s="11" t="n"/>
      <c r="O126" s="7">
        <f>IF($E126="","",N126*W126/100)</f>
        <v/>
      </c>
      <c r="P126" s="7" t="n"/>
      <c r="V126" s="7" t="n"/>
      <c r="W126" s="7" t="n"/>
      <c r="Z126">
        <f>IF($E126="","",IF($AO126=1,0,IF($AN126=1,Settings!$C$6,Settings!$C$7))*100)</f>
        <v/>
      </c>
      <c r="AA126" s="7">
        <f>IF($E126="","",W126*Z126/100)</f>
        <v/>
      </c>
      <c r="AB126" s="7">
        <f>IF($E126="","",W126-AA126)</f>
        <v/>
      </c>
      <c r="AC126" s="7">
        <f>IF($E126="","",AB126-O126)</f>
        <v/>
      </c>
      <c r="AG126" s="7" t="n"/>
      <c r="AJ126" s="11" t="n"/>
      <c r="AL126">
        <f>IF($E126="","",IF(COUNTIF($E$2:$E126,$E126)=1,1,0))</f>
        <v/>
      </c>
      <c r="AM126">
        <f>IF($AL126=1,SUMPRODUCT(--($AP$2:$AP$301&lt;$AP126))+1,"")</f>
        <v/>
      </c>
      <c r="AN126">
        <f>IF($E126="","",IF(OR($S126=TRUE(),$S126="TRUE"),1,0))</f>
        <v/>
      </c>
      <c r="AO126">
        <f>IF($E126="","",IF($Y126="Yes",1,0))</f>
        <v/>
      </c>
      <c r="AP126">
        <f>IF($AL126=1,IFERROR(IF(VALUE($E126)&lt;100000000,VALUE($E126),1000000000),IFERROR(IF(VALUE(MID($E126,2,20))&lt;100000000,VALUE(MID($E126,2,20)),1000000000),1000000000))+ROW()/100000,"")</f>
        <v/>
      </c>
    </row>
    <row r="127">
      <c r="G127" s="11" t="n"/>
      <c r="O127" s="7">
        <f>IF($E127="","",N127*W127/100)</f>
        <v/>
      </c>
      <c r="P127" s="7" t="n"/>
      <c r="V127" s="7" t="n"/>
      <c r="W127" s="7" t="n"/>
      <c r="Z127">
        <f>IF($E127="","",IF($AO127=1,0,IF($AN127=1,Settings!$C$6,Settings!$C$7))*100)</f>
        <v/>
      </c>
      <c r="AA127" s="7">
        <f>IF($E127="","",W127*Z127/100)</f>
        <v/>
      </c>
      <c r="AB127" s="7">
        <f>IF($E127="","",W127-AA127)</f>
        <v/>
      </c>
      <c r="AC127" s="7">
        <f>IF($E127="","",AB127-O127)</f>
        <v/>
      </c>
      <c r="AG127" s="7" t="n"/>
      <c r="AJ127" s="11" t="n"/>
      <c r="AL127">
        <f>IF($E127="","",IF(COUNTIF($E$2:$E127,$E127)=1,1,0))</f>
        <v/>
      </c>
      <c r="AM127">
        <f>IF($AL127=1,SUMPRODUCT(--($AP$2:$AP$301&lt;$AP127))+1,"")</f>
        <v/>
      </c>
      <c r="AN127">
        <f>IF($E127="","",IF(OR($S127=TRUE(),$S127="TRUE"),1,0))</f>
        <v/>
      </c>
      <c r="AO127">
        <f>IF($E127="","",IF($Y127="Yes",1,0))</f>
        <v/>
      </c>
      <c r="AP127">
        <f>IF($AL127=1,IFERROR(IF(VALUE($E127)&lt;100000000,VALUE($E127),1000000000),IFERROR(IF(VALUE(MID($E127,2,20))&lt;100000000,VALUE(MID($E127,2,20)),1000000000),1000000000))+ROW()/100000,"")</f>
        <v/>
      </c>
    </row>
    <row r="128">
      <c r="G128" s="11" t="n"/>
      <c r="O128" s="7">
        <f>IF($E128="","",N128*W128/100)</f>
        <v/>
      </c>
      <c r="P128" s="7" t="n"/>
      <c r="V128" s="7" t="n"/>
      <c r="W128" s="7" t="n"/>
      <c r="Z128">
        <f>IF($E128="","",IF($AO128=1,0,IF($AN128=1,Settings!$C$6,Settings!$C$7))*100)</f>
        <v/>
      </c>
      <c r="AA128" s="7">
        <f>IF($E128="","",W128*Z128/100)</f>
        <v/>
      </c>
      <c r="AB128" s="7">
        <f>IF($E128="","",W128-AA128)</f>
        <v/>
      </c>
      <c r="AC128" s="7">
        <f>IF($E128="","",AB128-O128)</f>
        <v/>
      </c>
      <c r="AG128" s="7" t="n"/>
      <c r="AJ128" s="11" t="n"/>
      <c r="AL128">
        <f>IF($E128="","",IF(COUNTIF($E$2:$E128,$E128)=1,1,0))</f>
        <v/>
      </c>
      <c r="AM128">
        <f>IF($AL128=1,SUMPRODUCT(--($AP$2:$AP$301&lt;$AP128))+1,"")</f>
        <v/>
      </c>
      <c r="AN128">
        <f>IF($E128="","",IF(OR($S128=TRUE(),$S128="TRUE"),1,0))</f>
        <v/>
      </c>
      <c r="AO128">
        <f>IF($E128="","",IF($Y128="Yes",1,0))</f>
        <v/>
      </c>
      <c r="AP128">
        <f>IF($AL128=1,IFERROR(IF(VALUE($E128)&lt;100000000,VALUE($E128),1000000000),IFERROR(IF(VALUE(MID($E128,2,20))&lt;100000000,VALUE(MID($E128,2,20)),1000000000),1000000000))+ROW()/100000,"")</f>
        <v/>
      </c>
    </row>
    <row r="129">
      <c r="G129" s="11" t="n"/>
      <c r="O129" s="7">
        <f>IF($E129="","",N129*W129/100)</f>
        <v/>
      </c>
      <c r="P129" s="7" t="n"/>
      <c r="V129" s="7" t="n"/>
      <c r="W129" s="7" t="n"/>
      <c r="Z129">
        <f>IF($E129="","",IF($AO129=1,0,IF($AN129=1,Settings!$C$6,Settings!$C$7))*100)</f>
        <v/>
      </c>
      <c r="AA129" s="7">
        <f>IF($E129="","",W129*Z129/100)</f>
        <v/>
      </c>
      <c r="AB129" s="7">
        <f>IF($E129="","",W129-AA129)</f>
        <v/>
      </c>
      <c r="AC129" s="7">
        <f>IF($E129="","",AB129-O129)</f>
        <v/>
      </c>
      <c r="AG129" s="7" t="n"/>
      <c r="AJ129" s="11" t="n"/>
      <c r="AL129">
        <f>IF($E129="","",IF(COUNTIF($E$2:$E129,$E129)=1,1,0))</f>
        <v/>
      </c>
      <c r="AM129">
        <f>IF($AL129=1,SUMPRODUCT(--($AP$2:$AP$301&lt;$AP129))+1,"")</f>
        <v/>
      </c>
      <c r="AN129">
        <f>IF($E129="","",IF(OR($S129=TRUE(),$S129="TRUE"),1,0))</f>
        <v/>
      </c>
      <c r="AO129">
        <f>IF($E129="","",IF($Y129="Yes",1,0))</f>
        <v/>
      </c>
      <c r="AP129">
        <f>IF($AL129=1,IFERROR(IF(VALUE($E129)&lt;100000000,VALUE($E129),1000000000),IFERROR(IF(VALUE(MID($E129,2,20))&lt;100000000,VALUE(MID($E129,2,20)),1000000000),1000000000))+ROW()/100000,"")</f>
        <v/>
      </c>
    </row>
    <row r="130">
      <c r="G130" s="11" t="n"/>
      <c r="O130" s="7">
        <f>IF($E130="","",N130*W130/100)</f>
        <v/>
      </c>
      <c r="P130" s="7" t="n"/>
      <c r="V130" s="7" t="n"/>
      <c r="W130" s="7" t="n"/>
      <c r="Z130">
        <f>IF($E130="","",IF($AO130=1,0,IF($AN130=1,Settings!$C$6,Settings!$C$7))*100)</f>
        <v/>
      </c>
      <c r="AA130" s="7">
        <f>IF($E130="","",W130*Z130/100)</f>
        <v/>
      </c>
      <c r="AB130" s="7">
        <f>IF($E130="","",W130-AA130)</f>
        <v/>
      </c>
      <c r="AC130" s="7">
        <f>IF($E130="","",AB130-O130)</f>
        <v/>
      </c>
      <c r="AG130" s="7" t="n"/>
      <c r="AJ130" s="11" t="n"/>
      <c r="AL130">
        <f>IF($E130="","",IF(COUNTIF($E$2:$E130,$E130)=1,1,0))</f>
        <v/>
      </c>
      <c r="AM130">
        <f>IF($AL130=1,SUMPRODUCT(--($AP$2:$AP$301&lt;$AP130))+1,"")</f>
        <v/>
      </c>
      <c r="AN130">
        <f>IF($E130="","",IF(OR($S130=TRUE(),$S130="TRUE"),1,0))</f>
        <v/>
      </c>
      <c r="AO130">
        <f>IF($E130="","",IF($Y130="Yes",1,0))</f>
        <v/>
      </c>
      <c r="AP130">
        <f>IF($AL130=1,IFERROR(IF(VALUE($E130)&lt;100000000,VALUE($E130),1000000000),IFERROR(IF(VALUE(MID($E130,2,20))&lt;100000000,VALUE(MID($E130,2,20)),1000000000),1000000000))+ROW()/100000,"")</f>
        <v/>
      </c>
    </row>
    <row r="131">
      <c r="G131" s="11" t="n"/>
      <c r="O131" s="7">
        <f>IF($E131="","",N131*W131/100)</f>
        <v/>
      </c>
      <c r="P131" s="7" t="n"/>
      <c r="V131" s="7" t="n"/>
      <c r="W131" s="7" t="n"/>
      <c r="Z131">
        <f>IF($E131="","",IF($AO131=1,0,IF($AN131=1,Settings!$C$6,Settings!$C$7))*100)</f>
        <v/>
      </c>
      <c r="AA131" s="7">
        <f>IF($E131="","",W131*Z131/100)</f>
        <v/>
      </c>
      <c r="AB131" s="7">
        <f>IF($E131="","",W131-AA131)</f>
        <v/>
      </c>
      <c r="AC131" s="7">
        <f>IF($E131="","",AB131-O131)</f>
        <v/>
      </c>
      <c r="AG131" s="7" t="n"/>
      <c r="AJ131" s="11" t="n"/>
      <c r="AL131">
        <f>IF($E131="","",IF(COUNTIF($E$2:$E131,$E131)=1,1,0))</f>
        <v/>
      </c>
      <c r="AM131">
        <f>IF($AL131=1,SUMPRODUCT(--($AP$2:$AP$301&lt;$AP131))+1,"")</f>
        <v/>
      </c>
      <c r="AN131">
        <f>IF($E131="","",IF(OR($S131=TRUE(),$S131="TRUE"),1,0))</f>
        <v/>
      </c>
      <c r="AO131">
        <f>IF($E131="","",IF($Y131="Yes",1,0))</f>
        <v/>
      </c>
      <c r="AP131">
        <f>IF($AL131=1,IFERROR(IF(VALUE($E131)&lt;100000000,VALUE($E131),1000000000),IFERROR(IF(VALUE(MID($E131,2,20))&lt;100000000,VALUE(MID($E131,2,20)),1000000000),1000000000))+ROW()/100000,"")</f>
        <v/>
      </c>
    </row>
    <row r="132">
      <c r="G132" s="11" t="n"/>
      <c r="O132" s="7">
        <f>IF($E132="","",N132*W132/100)</f>
        <v/>
      </c>
      <c r="P132" s="7" t="n"/>
      <c r="V132" s="7" t="n"/>
      <c r="W132" s="7" t="n"/>
      <c r="Z132">
        <f>IF($E132="","",IF($AO132=1,0,IF($AN132=1,Settings!$C$6,Settings!$C$7))*100)</f>
        <v/>
      </c>
      <c r="AA132" s="7">
        <f>IF($E132="","",W132*Z132/100)</f>
        <v/>
      </c>
      <c r="AB132" s="7">
        <f>IF($E132="","",W132-AA132)</f>
        <v/>
      </c>
      <c r="AC132" s="7">
        <f>IF($E132="","",AB132-O132)</f>
        <v/>
      </c>
      <c r="AG132" s="7" t="n"/>
      <c r="AJ132" s="11" t="n"/>
      <c r="AL132">
        <f>IF($E132="","",IF(COUNTIF($E$2:$E132,$E132)=1,1,0))</f>
        <v/>
      </c>
      <c r="AM132">
        <f>IF($AL132=1,SUMPRODUCT(--($AP$2:$AP$301&lt;$AP132))+1,"")</f>
        <v/>
      </c>
      <c r="AN132">
        <f>IF($E132="","",IF(OR($S132=TRUE(),$S132="TRUE"),1,0))</f>
        <v/>
      </c>
      <c r="AO132">
        <f>IF($E132="","",IF($Y132="Yes",1,0))</f>
        <v/>
      </c>
      <c r="AP132">
        <f>IF($AL132=1,IFERROR(IF(VALUE($E132)&lt;100000000,VALUE($E132),1000000000),IFERROR(IF(VALUE(MID($E132,2,20))&lt;100000000,VALUE(MID($E132,2,20)),1000000000),1000000000))+ROW()/100000,"")</f>
        <v/>
      </c>
    </row>
    <row r="133">
      <c r="G133" s="11" t="n"/>
      <c r="O133" s="7">
        <f>IF($E133="","",N133*W133/100)</f>
        <v/>
      </c>
      <c r="P133" s="7" t="n"/>
      <c r="V133" s="7" t="n"/>
      <c r="W133" s="7" t="n"/>
      <c r="Z133">
        <f>IF($E133="","",IF($AO133=1,0,IF($AN133=1,Settings!$C$6,Settings!$C$7))*100)</f>
        <v/>
      </c>
      <c r="AA133" s="7">
        <f>IF($E133="","",W133*Z133/100)</f>
        <v/>
      </c>
      <c r="AB133" s="7">
        <f>IF($E133="","",W133-AA133)</f>
        <v/>
      </c>
      <c r="AC133" s="7">
        <f>IF($E133="","",AB133-O133)</f>
        <v/>
      </c>
      <c r="AG133" s="7" t="n"/>
      <c r="AJ133" s="11" t="n"/>
      <c r="AL133">
        <f>IF($E133="","",IF(COUNTIF($E$2:$E133,$E133)=1,1,0))</f>
        <v/>
      </c>
      <c r="AM133">
        <f>IF($AL133=1,SUMPRODUCT(--($AP$2:$AP$301&lt;$AP133))+1,"")</f>
        <v/>
      </c>
      <c r="AN133">
        <f>IF($E133="","",IF(OR($S133=TRUE(),$S133="TRUE"),1,0))</f>
        <v/>
      </c>
      <c r="AO133">
        <f>IF($E133="","",IF($Y133="Yes",1,0))</f>
        <v/>
      </c>
      <c r="AP133">
        <f>IF($AL133=1,IFERROR(IF(VALUE($E133)&lt;100000000,VALUE($E133),1000000000),IFERROR(IF(VALUE(MID($E133,2,20))&lt;100000000,VALUE(MID($E133,2,20)),1000000000),1000000000))+ROW()/100000,"")</f>
        <v/>
      </c>
    </row>
    <row r="134">
      <c r="G134" s="11" t="n"/>
      <c r="O134" s="7">
        <f>IF($E134="","",N134*W134/100)</f>
        <v/>
      </c>
      <c r="P134" s="7" t="n"/>
      <c r="V134" s="7" t="n"/>
      <c r="W134" s="7" t="n"/>
      <c r="Z134">
        <f>IF($E134="","",IF($AO134=1,0,IF($AN134=1,Settings!$C$6,Settings!$C$7))*100)</f>
        <v/>
      </c>
      <c r="AA134" s="7">
        <f>IF($E134="","",W134*Z134/100)</f>
        <v/>
      </c>
      <c r="AB134" s="7">
        <f>IF($E134="","",W134-AA134)</f>
        <v/>
      </c>
      <c r="AC134" s="7">
        <f>IF($E134="","",AB134-O134)</f>
        <v/>
      </c>
      <c r="AG134" s="7" t="n"/>
      <c r="AJ134" s="11" t="n"/>
      <c r="AL134">
        <f>IF($E134="","",IF(COUNTIF($E$2:$E134,$E134)=1,1,0))</f>
        <v/>
      </c>
      <c r="AM134">
        <f>IF($AL134=1,SUMPRODUCT(--($AP$2:$AP$301&lt;$AP134))+1,"")</f>
        <v/>
      </c>
      <c r="AN134">
        <f>IF($E134="","",IF(OR($S134=TRUE(),$S134="TRUE"),1,0))</f>
        <v/>
      </c>
      <c r="AO134">
        <f>IF($E134="","",IF($Y134="Yes",1,0))</f>
        <v/>
      </c>
      <c r="AP134">
        <f>IF($AL134=1,IFERROR(IF(VALUE($E134)&lt;100000000,VALUE($E134),1000000000),IFERROR(IF(VALUE(MID($E134,2,20))&lt;100000000,VALUE(MID($E134,2,20)),1000000000),1000000000))+ROW()/100000,"")</f>
        <v/>
      </c>
    </row>
    <row r="135">
      <c r="G135" s="11" t="n"/>
      <c r="O135" s="7">
        <f>IF($E135="","",N135*W135/100)</f>
        <v/>
      </c>
      <c r="P135" s="7" t="n"/>
      <c r="V135" s="7" t="n"/>
      <c r="W135" s="7" t="n"/>
      <c r="Z135">
        <f>IF($E135="","",IF($AO135=1,0,IF($AN135=1,Settings!$C$6,Settings!$C$7))*100)</f>
        <v/>
      </c>
      <c r="AA135" s="7">
        <f>IF($E135="","",W135*Z135/100)</f>
        <v/>
      </c>
      <c r="AB135" s="7">
        <f>IF($E135="","",W135-AA135)</f>
        <v/>
      </c>
      <c r="AC135" s="7">
        <f>IF($E135="","",AB135-O135)</f>
        <v/>
      </c>
      <c r="AG135" s="7" t="n"/>
      <c r="AJ135" s="11" t="n"/>
      <c r="AL135">
        <f>IF($E135="","",IF(COUNTIF($E$2:$E135,$E135)=1,1,0))</f>
        <v/>
      </c>
      <c r="AM135">
        <f>IF($AL135=1,SUMPRODUCT(--($AP$2:$AP$301&lt;$AP135))+1,"")</f>
        <v/>
      </c>
      <c r="AN135">
        <f>IF($E135="","",IF(OR($S135=TRUE(),$S135="TRUE"),1,0))</f>
        <v/>
      </c>
      <c r="AO135">
        <f>IF($E135="","",IF($Y135="Yes",1,0))</f>
        <v/>
      </c>
      <c r="AP135">
        <f>IF($AL135=1,IFERROR(IF(VALUE($E135)&lt;100000000,VALUE($E135),1000000000),IFERROR(IF(VALUE(MID($E135,2,20))&lt;100000000,VALUE(MID($E135,2,20)),1000000000),1000000000))+ROW()/100000,"")</f>
        <v/>
      </c>
    </row>
    <row r="136">
      <c r="G136" s="11" t="n"/>
      <c r="O136" s="7">
        <f>IF($E136="","",N136*W136/100)</f>
        <v/>
      </c>
      <c r="P136" s="7" t="n"/>
      <c r="V136" s="7" t="n"/>
      <c r="W136" s="7" t="n"/>
      <c r="Z136">
        <f>IF($E136="","",IF($AO136=1,0,IF($AN136=1,Settings!$C$6,Settings!$C$7))*100)</f>
        <v/>
      </c>
      <c r="AA136" s="7">
        <f>IF($E136="","",W136*Z136/100)</f>
        <v/>
      </c>
      <c r="AB136" s="7">
        <f>IF($E136="","",W136-AA136)</f>
        <v/>
      </c>
      <c r="AC136" s="7">
        <f>IF($E136="","",AB136-O136)</f>
        <v/>
      </c>
      <c r="AG136" s="7" t="n"/>
      <c r="AJ136" s="11" t="n"/>
      <c r="AL136">
        <f>IF($E136="","",IF(COUNTIF($E$2:$E136,$E136)=1,1,0))</f>
        <v/>
      </c>
      <c r="AM136">
        <f>IF($AL136=1,SUMPRODUCT(--($AP$2:$AP$301&lt;$AP136))+1,"")</f>
        <v/>
      </c>
      <c r="AN136">
        <f>IF($E136="","",IF(OR($S136=TRUE(),$S136="TRUE"),1,0))</f>
        <v/>
      </c>
      <c r="AO136">
        <f>IF($E136="","",IF($Y136="Yes",1,0))</f>
        <v/>
      </c>
      <c r="AP136">
        <f>IF($AL136=1,IFERROR(IF(VALUE($E136)&lt;100000000,VALUE($E136),1000000000),IFERROR(IF(VALUE(MID($E136,2,20))&lt;100000000,VALUE(MID($E136,2,20)),1000000000),1000000000))+ROW()/100000,"")</f>
        <v/>
      </c>
    </row>
    <row r="137">
      <c r="G137" s="11" t="n"/>
      <c r="O137" s="7">
        <f>IF($E137="","",N137*W137/100)</f>
        <v/>
      </c>
      <c r="P137" s="7" t="n"/>
      <c r="V137" s="7" t="n"/>
      <c r="W137" s="7" t="n"/>
      <c r="Z137">
        <f>IF($E137="","",IF($AO137=1,0,IF($AN137=1,Settings!$C$6,Settings!$C$7))*100)</f>
        <v/>
      </c>
      <c r="AA137" s="7">
        <f>IF($E137="","",W137*Z137/100)</f>
        <v/>
      </c>
      <c r="AB137" s="7">
        <f>IF($E137="","",W137-AA137)</f>
        <v/>
      </c>
      <c r="AC137" s="7">
        <f>IF($E137="","",AB137-O137)</f>
        <v/>
      </c>
      <c r="AG137" s="7" t="n"/>
      <c r="AJ137" s="11" t="n"/>
      <c r="AL137">
        <f>IF($E137="","",IF(COUNTIF($E$2:$E137,$E137)=1,1,0))</f>
        <v/>
      </c>
      <c r="AM137">
        <f>IF($AL137=1,SUMPRODUCT(--($AP$2:$AP$301&lt;$AP137))+1,"")</f>
        <v/>
      </c>
      <c r="AN137">
        <f>IF($E137="","",IF(OR($S137=TRUE(),$S137="TRUE"),1,0))</f>
        <v/>
      </c>
      <c r="AO137">
        <f>IF($E137="","",IF($Y137="Yes",1,0))</f>
        <v/>
      </c>
      <c r="AP137">
        <f>IF($AL137=1,IFERROR(IF(VALUE($E137)&lt;100000000,VALUE($E137),1000000000),IFERROR(IF(VALUE(MID($E137,2,20))&lt;100000000,VALUE(MID($E137,2,20)),1000000000),1000000000))+ROW()/100000,"")</f>
        <v/>
      </c>
    </row>
    <row r="138">
      <c r="G138" s="11" t="n"/>
      <c r="O138" s="7">
        <f>IF($E138="","",N138*W138/100)</f>
        <v/>
      </c>
      <c r="P138" s="7" t="n"/>
      <c r="V138" s="7" t="n"/>
      <c r="W138" s="7" t="n"/>
      <c r="Z138">
        <f>IF($E138="","",IF($AO138=1,0,IF($AN138=1,Settings!$C$6,Settings!$C$7))*100)</f>
        <v/>
      </c>
      <c r="AA138" s="7">
        <f>IF($E138="","",W138*Z138/100)</f>
        <v/>
      </c>
      <c r="AB138" s="7">
        <f>IF($E138="","",W138-AA138)</f>
        <v/>
      </c>
      <c r="AC138" s="7">
        <f>IF($E138="","",AB138-O138)</f>
        <v/>
      </c>
      <c r="AG138" s="7" t="n"/>
      <c r="AJ138" s="11" t="n"/>
      <c r="AL138">
        <f>IF($E138="","",IF(COUNTIF($E$2:$E138,$E138)=1,1,0))</f>
        <v/>
      </c>
      <c r="AM138">
        <f>IF($AL138=1,SUMPRODUCT(--($AP$2:$AP$301&lt;$AP138))+1,"")</f>
        <v/>
      </c>
      <c r="AN138">
        <f>IF($E138="","",IF(OR($S138=TRUE(),$S138="TRUE"),1,0))</f>
        <v/>
      </c>
      <c r="AO138">
        <f>IF($E138="","",IF($Y138="Yes",1,0))</f>
        <v/>
      </c>
      <c r="AP138">
        <f>IF($AL138=1,IFERROR(IF(VALUE($E138)&lt;100000000,VALUE($E138),1000000000),IFERROR(IF(VALUE(MID($E138,2,20))&lt;100000000,VALUE(MID($E138,2,20)),1000000000),1000000000))+ROW()/100000,"")</f>
        <v/>
      </c>
    </row>
    <row r="139">
      <c r="G139" s="11" t="n"/>
      <c r="O139" s="7">
        <f>IF($E139="","",N139*W139/100)</f>
        <v/>
      </c>
      <c r="P139" s="7" t="n"/>
      <c r="V139" s="7" t="n"/>
      <c r="W139" s="7" t="n"/>
      <c r="Z139">
        <f>IF($E139="","",IF($AO139=1,0,IF($AN139=1,Settings!$C$6,Settings!$C$7))*100)</f>
        <v/>
      </c>
      <c r="AA139" s="7">
        <f>IF($E139="","",W139*Z139/100)</f>
        <v/>
      </c>
      <c r="AB139" s="7">
        <f>IF($E139="","",W139-AA139)</f>
        <v/>
      </c>
      <c r="AC139" s="7">
        <f>IF($E139="","",AB139-O139)</f>
        <v/>
      </c>
      <c r="AG139" s="7" t="n"/>
      <c r="AJ139" s="11" t="n"/>
      <c r="AL139">
        <f>IF($E139="","",IF(COUNTIF($E$2:$E139,$E139)=1,1,0))</f>
        <v/>
      </c>
      <c r="AM139">
        <f>IF($AL139=1,SUMPRODUCT(--($AP$2:$AP$301&lt;$AP139))+1,"")</f>
        <v/>
      </c>
      <c r="AN139">
        <f>IF($E139="","",IF(OR($S139=TRUE(),$S139="TRUE"),1,0))</f>
        <v/>
      </c>
      <c r="AO139">
        <f>IF($E139="","",IF($Y139="Yes",1,0))</f>
        <v/>
      </c>
      <c r="AP139">
        <f>IF($AL139=1,IFERROR(IF(VALUE($E139)&lt;100000000,VALUE($E139),1000000000),IFERROR(IF(VALUE(MID($E139,2,20))&lt;100000000,VALUE(MID($E139,2,20)),1000000000),1000000000))+ROW()/100000,"")</f>
        <v/>
      </c>
    </row>
    <row r="140">
      <c r="G140" s="11" t="n"/>
      <c r="O140" s="7">
        <f>IF($E140="","",N140*W140/100)</f>
        <v/>
      </c>
      <c r="P140" s="7" t="n"/>
      <c r="V140" s="7" t="n"/>
      <c r="W140" s="7" t="n"/>
      <c r="Z140">
        <f>IF($E140="","",IF($AO140=1,0,IF($AN140=1,Settings!$C$6,Settings!$C$7))*100)</f>
        <v/>
      </c>
      <c r="AA140" s="7">
        <f>IF($E140="","",W140*Z140/100)</f>
        <v/>
      </c>
      <c r="AB140" s="7">
        <f>IF($E140="","",W140-AA140)</f>
        <v/>
      </c>
      <c r="AC140" s="7">
        <f>IF($E140="","",AB140-O140)</f>
        <v/>
      </c>
      <c r="AG140" s="7" t="n"/>
      <c r="AJ140" s="11" t="n"/>
      <c r="AL140">
        <f>IF($E140="","",IF(COUNTIF($E$2:$E140,$E140)=1,1,0))</f>
        <v/>
      </c>
      <c r="AM140">
        <f>IF($AL140=1,SUMPRODUCT(--($AP$2:$AP$301&lt;$AP140))+1,"")</f>
        <v/>
      </c>
      <c r="AN140">
        <f>IF($E140="","",IF(OR($S140=TRUE(),$S140="TRUE"),1,0))</f>
        <v/>
      </c>
      <c r="AO140">
        <f>IF($E140="","",IF($Y140="Yes",1,0))</f>
        <v/>
      </c>
      <c r="AP140">
        <f>IF($AL140=1,IFERROR(IF(VALUE($E140)&lt;100000000,VALUE($E140),1000000000),IFERROR(IF(VALUE(MID($E140,2,20))&lt;100000000,VALUE(MID($E140,2,20)),1000000000),1000000000))+ROW()/100000,"")</f>
        <v/>
      </c>
    </row>
    <row r="141">
      <c r="G141" s="11" t="n"/>
      <c r="O141" s="7">
        <f>IF($E141="","",N141*W141/100)</f>
        <v/>
      </c>
      <c r="P141" s="7" t="n"/>
      <c r="V141" s="7" t="n"/>
      <c r="W141" s="7" t="n"/>
      <c r="Z141">
        <f>IF($E141="","",IF($AO141=1,0,IF($AN141=1,Settings!$C$6,Settings!$C$7))*100)</f>
        <v/>
      </c>
      <c r="AA141" s="7">
        <f>IF($E141="","",W141*Z141/100)</f>
        <v/>
      </c>
      <c r="AB141" s="7">
        <f>IF($E141="","",W141-AA141)</f>
        <v/>
      </c>
      <c r="AC141" s="7">
        <f>IF($E141="","",AB141-O141)</f>
        <v/>
      </c>
      <c r="AG141" s="7" t="n"/>
      <c r="AJ141" s="11" t="n"/>
      <c r="AL141">
        <f>IF($E141="","",IF(COUNTIF($E$2:$E141,$E141)=1,1,0))</f>
        <v/>
      </c>
      <c r="AM141">
        <f>IF($AL141=1,SUMPRODUCT(--($AP$2:$AP$301&lt;$AP141))+1,"")</f>
        <v/>
      </c>
      <c r="AN141">
        <f>IF($E141="","",IF(OR($S141=TRUE(),$S141="TRUE"),1,0))</f>
        <v/>
      </c>
      <c r="AO141">
        <f>IF($E141="","",IF($Y141="Yes",1,0))</f>
        <v/>
      </c>
      <c r="AP141">
        <f>IF($AL141=1,IFERROR(IF(VALUE($E141)&lt;100000000,VALUE($E141),1000000000),IFERROR(IF(VALUE(MID($E141,2,20))&lt;100000000,VALUE(MID($E141,2,20)),1000000000),1000000000))+ROW()/100000,"")</f>
        <v/>
      </c>
    </row>
    <row r="142">
      <c r="G142" s="11" t="n"/>
      <c r="O142" s="7">
        <f>IF($E142="","",N142*W142/100)</f>
        <v/>
      </c>
      <c r="P142" s="7" t="n"/>
      <c r="V142" s="7" t="n"/>
      <c r="W142" s="7" t="n"/>
      <c r="Z142">
        <f>IF($E142="","",IF($AO142=1,0,IF($AN142=1,Settings!$C$6,Settings!$C$7))*100)</f>
        <v/>
      </c>
      <c r="AA142" s="7">
        <f>IF($E142="","",W142*Z142/100)</f>
        <v/>
      </c>
      <c r="AB142" s="7">
        <f>IF($E142="","",W142-AA142)</f>
        <v/>
      </c>
      <c r="AC142" s="7">
        <f>IF($E142="","",AB142-O142)</f>
        <v/>
      </c>
      <c r="AG142" s="7" t="n"/>
      <c r="AJ142" s="11" t="n"/>
      <c r="AL142">
        <f>IF($E142="","",IF(COUNTIF($E$2:$E142,$E142)=1,1,0))</f>
        <v/>
      </c>
      <c r="AM142">
        <f>IF($AL142=1,SUMPRODUCT(--($AP$2:$AP$301&lt;$AP142))+1,"")</f>
        <v/>
      </c>
      <c r="AN142">
        <f>IF($E142="","",IF(OR($S142=TRUE(),$S142="TRUE"),1,0))</f>
        <v/>
      </c>
      <c r="AO142">
        <f>IF($E142="","",IF($Y142="Yes",1,0))</f>
        <v/>
      </c>
      <c r="AP142">
        <f>IF($AL142=1,IFERROR(IF(VALUE($E142)&lt;100000000,VALUE($E142),1000000000),IFERROR(IF(VALUE(MID($E142,2,20))&lt;100000000,VALUE(MID($E142,2,20)),1000000000),1000000000))+ROW()/100000,"")</f>
        <v/>
      </c>
    </row>
    <row r="143">
      <c r="G143" s="11" t="n"/>
      <c r="O143" s="7">
        <f>IF($E143="","",N143*W143/100)</f>
        <v/>
      </c>
      <c r="P143" s="7" t="n"/>
      <c r="V143" s="7" t="n"/>
      <c r="W143" s="7" t="n"/>
      <c r="Z143">
        <f>IF($E143="","",IF($AO143=1,0,IF($AN143=1,Settings!$C$6,Settings!$C$7))*100)</f>
        <v/>
      </c>
      <c r="AA143" s="7">
        <f>IF($E143="","",W143*Z143/100)</f>
        <v/>
      </c>
      <c r="AB143" s="7">
        <f>IF($E143="","",W143-AA143)</f>
        <v/>
      </c>
      <c r="AC143" s="7">
        <f>IF($E143="","",AB143-O143)</f>
        <v/>
      </c>
      <c r="AG143" s="7" t="n"/>
      <c r="AJ143" s="11" t="n"/>
      <c r="AL143">
        <f>IF($E143="","",IF(COUNTIF($E$2:$E143,$E143)=1,1,0))</f>
        <v/>
      </c>
      <c r="AM143">
        <f>IF($AL143=1,SUMPRODUCT(--($AP$2:$AP$301&lt;$AP143))+1,"")</f>
        <v/>
      </c>
      <c r="AN143">
        <f>IF($E143="","",IF(OR($S143=TRUE(),$S143="TRUE"),1,0))</f>
        <v/>
      </c>
      <c r="AO143">
        <f>IF($E143="","",IF($Y143="Yes",1,0))</f>
        <v/>
      </c>
      <c r="AP143">
        <f>IF($AL143=1,IFERROR(IF(VALUE($E143)&lt;100000000,VALUE($E143),1000000000),IFERROR(IF(VALUE(MID($E143,2,20))&lt;100000000,VALUE(MID($E143,2,20)),1000000000),1000000000))+ROW()/100000,"")</f>
        <v/>
      </c>
    </row>
    <row r="144">
      <c r="G144" s="11" t="n"/>
      <c r="O144" s="7">
        <f>IF($E144="","",N144*W144/100)</f>
        <v/>
      </c>
      <c r="P144" s="7" t="n"/>
      <c r="V144" s="7" t="n"/>
      <c r="W144" s="7" t="n"/>
      <c r="Z144">
        <f>IF($E144="","",IF($AO144=1,0,IF($AN144=1,Settings!$C$6,Settings!$C$7))*100)</f>
        <v/>
      </c>
      <c r="AA144" s="7">
        <f>IF($E144="","",W144*Z144/100)</f>
        <v/>
      </c>
      <c r="AB144" s="7">
        <f>IF($E144="","",W144-AA144)</f>
        <v/>
      </c>
      <c r="AC144" s="7">
        <f>IF($E144="","",AB144-O144)</f>
        <v/>
      </c>
      <c r="AG144" s="7" t="n"/>
      <c r="AJ144" s="11" t="n"/>
      <c r="AL144">
        <f>IF($E144="","",IF(COUNTIF($E$2:$E144,$E144)=1,1,0))</f>
        <v/>
      </c>
      <c r="AM144">
        <f>IF($AL144=1,SUMPRODUCT(--($AP$2:$AP$301&lt;$AP144))+1,"")</f>
        <v/>
      </c>
      <c r="AN144">
        <f>IF($E144="","",IF(OR($S144=TRUE(),$S144="TRUE"),1,0))</f>
        <v/>
      </c>
      <c r="AO144">
        <f>IF($E144="","",IF($Y144="Yes",1,0))</f>
        <v/>
      </c>
      <c r="AP144">
        <f>IF($AL144=1,IFERROR(IF(VALUE($E144)&lt;100000000,VALUE($E144),1000000000),IFERROR(IF(VALUE(MID($E144,2,20))&lt;100000000,VALUE(MID($E144,2,20)),1000000000),1000000000))+ROW()/100000,"")</f>
        <v/>
      </c>
    </row>
    <row r="145">
      <c r="G145" s="11" t="n"/>
      <c r="O145" s="7">
        <f>IF($E145="","",N145*W145/100)</f>
        <v/>
      </c>
      <c r="P145" s="7" t="n"/>
      <c r="V145" s="7" t="n"/>
      <c r="W145" s="7" t="n"/>
      <c r="Z145">
        <f>IF($E145="","",IF($AO145=1,0,IF($AN145=1,Settings!$C$6,Settings!$C$7))*100)</f>
        <v/>
      </c>
      <c r="AA145" s="7">
        <f>IF($E145="","",W145*Z145/100)</f>
        <v/>
      </c>
      <c r="AB145" s="7">
        <f>IF($E145="","",W145-AA145)</f>
        <v/>
      </c>
      <c r="AC145" s="7">
        <f>IF($E145="","",AB145-O145)</f>
        <v/>
      </c>
      <c r="AG145" s="7" t="n"/>
      <c r="AJ145" s="11" t="n"/>
      <c r="AL145">
        <f>IF($E145="","",IF(COUNTIF($E$2:$E145,$E145)=1,1,0))</f>
        <v/>
      </c>
      <c r="AM145">
        <f>IF($AL145=1,SUMPRODUCT(--($AP$2:$AP$301&lt;$AP145))+1,"")</f>
        <v/>
      </c>
      <c r="AN145">
        <f>IF($E145="","",IF(OR($S145=TRUE(),$S145="TRUE"),1,0))</f>
        <v/>
      </c>
      <c r="AO145">
        <f>IF($E145="","",IF($Y145="Yes",1,0))</f>
        <v/>
      </c>
      <c r="AP145">
        <f>IF($AL145=1,IFERROR(IF(VALUE($E145)&lt;100000000,VALUE($E145),1000000000),IFERROR(IF(VALUE(MID($E145,2,20))&lt;100000000,VALUE(MID($E145,2,20)),1000000000),1000000000))+ROW()/100000,"")</f>
        <v/>
      </c>
    </row>
    <row r="146">
      <c r="G146" s="11" t="n"/>
      <c r="O146" s="7">
        <f>IF($E146="","",N146*W146/100)</f>
        <v/>
      </c>
      <c r="P146" s="7" t="n"/>
      <c r="V146" s="7" t="n"/>
      <c r="W146" s="7" t="n"/>
      <c r="Z146">
        <f>IF($E146="","",IF($AO146=1,0,IF($AN146=1,Settings!$C$6,Settings!$C$7))*100)</f>
        <v/>
      </c>
      <c r="AA146" s="7">
        <f>IF($E146="","",W146*Z146/100)</f>
        <v/>
      </c>
      <c r="AB146" s="7">
        <f>IF($E146="","",W146-AA146)</f>
        <v/>
      </c>
      <c r="AC146" s="7">
        <f>IF($E146="","",AB146-O146)</f>
        <v/>
      </c>
      <c r="AG146" s="7" t="n"/>
      <c r="AJ146" s="11" t="n"/>
      <c r="AL146">
        <f>IF($E146="","",IF(COUNTIF($E$2:$E146,$E146)=1,1,0))</f>
        <v/>
      </c>
      <c r="AM146">
        <f>IF($AL146=1,SUMPRODUCT(--($AP$2:$AP$301&lt;$AP146))+1,"")</f>
        <v/>
      </c>
      <c r="AN146">
        <f>IF($E146="","",IF(OR($S146=TRUE(),$S146="TRUE"),1,0))</f>
        <v/>
      </c>
      <c r="AO146">
        <f>IF($E146="","",IF($Y146="Yes",1,0))</f>
        <v/>
      </c>
      <c r="AP146">
        <f>IF($AL146=1,IFERROR(IF(VALUE($E146)&lt;100000000,VALUE($E146),1000000000),IFERROR(IF(VALUE(MID($E146,2,20))&lt;100000000,VALUE(MID($E146,2,20)),1000000000),1000000000))+ROW()/100000,"")</f>
        <v/>
      </c>
    </row>
    <row r="147">
      <c r="G147" s="11" t="n"/>
      <c r="O147" s="7">
        <f>IF($E147="","",N147*W147/100)</f>
        <v/>
      </c>
      <c r="P147" s="7" t="n"/>
      <c r="V147" s="7" t="n"/>
      <c r="W147" s="7" t="n"/>
      <c r="Z147">
        <f>IF($E147="","",IF($AO147=1,0,IF($AN147=1,Settings!$C$6,Settings!$C$7))*100)</f>
        <v/>
      </c>
      <c r="AA147" s="7">
        <f>IF($E147="","",W147*Z147/100)</f>
        <v/>
      </c>
      <c r="AB147" s="7">
        <f>IF($E147="","",W147-AA147)</f>
        <v/>
      </c>
      <c r="AC147" s="7">
        <f>IF($E147="","",AB147-O147)</f>
        <v/>
      </c>
      <c r="AG147" s="7" t="n"/>
      <c r="AJ147" s="11" t="n"/>
      <c r="AL147">
        <f>IF($E147="","",IF(COUNTIF($E$2:$E147,$E147)=1,1,0))</f>
        <v/>
      </c>
      <c r="AM147">
        <f>IF($AL147=1,SUMPRODUCT(--($AP$2:$AP$301&lt;$AP147))+1,"")</f>
        <v/>
      </c>
      <c r="AN147">
        <f>IF($E147="","",IF(OR($S147=TRUE(),$S147="TRUE"),1,0))</f>
        <v/>
      </c>
      <c r="AO147">
        <f>IF($E147="","",IF($Y147="Yes",1,0))</f>
        <v/>
      </c>
      <c r="AP147">
        <f>IF($AL147=1,IFERROR(IF(VALUE($E147)&lt;100000000,VALUE($E147),1000000000),IFERROR(IF(VALUE(MID($E147,2,20))&lt;100000000,VALUE(MID($E147,2,20)),1000000000),1000000000))+ROW()/100000,"")</f>
        <v/>
      </c>
    </row>
    <row r="148">
      <c r="G148" s="11" t="n"/>
      <c r="O148" s="7">
        <f>IF($E148="","",N148*W148/100)</f>
        <v/>
      </c>
      <c r="P148" s="7" t="n"/>
      <c r="V148" s="7" t="n"/>
      <c r="W148" s="7" t="n"/>
      <c r="Z148">
        <f>IF($E148="","",IF($AO148=1,0,IF($AN148=1,Settings!$C$6,Settings!$C$7))*100)</f>
        <v/>
      </c>
      <c r="AA148" s="7">
        <f>IF($E148="","",W148*Z148/100)</f>
        <v/>
      </c>
      <c r="AB148" s="7">
        <f>IF($E148="","",W148-AA148)</f>
        <v/>
      </c>
      <c r="AC148" s="7">
        <f>IF($E148="","",AB148-O148)</f>
        <v/>
      </c>
      <c r="AG148" s="7" t="n"/>
      <c r="AJ148" s="11" t="n"/>
      <c r="AL148">
        <f>IF($E148="","",IF(COUNTIF($E$2:$E148,$E148)=1,1,0))</f>
        <v/>
      </c>
      <c r="AM148">
        <f>IF($AL148=1,SUMPRODUCT(--($AP$2:$AP$301&lt;$AP148))+1,"")</f>
        <v/>
      </c>
      <c r="AN148">
        <f>IF($E148="","",IF(OR($S148=TRUE(),$S148="TRUE"),1,0))</f>
        <v/>
      </c>
      <c r="AO148">
        <f>IF($E148="","",IF($Y148="Yes",1,0))</f>
        <v/>
      </c>
      <c r="AP148">
        <f>IF($AL148=1,IFERROR(IF(VALUE($E148)&lt;100000000,VALUE($E148),1000000000),IFERROR(IF(VALUE(MID($E148,2,20))&lt;100000000,VALUE(MID($E148,2,20)),1000000000),1000000000))+ROW()/100000,"")</f>
        <v/>
      </c>
    </row>
    <row r="149">
      <c r="G149" s="11" t="n"/>
      <c r="O149" s="7">
        <f>IF($E149="","",N149*W149/100)</f>
        <v/>
      </c>
      <c r="P149" s="7" t="n"/>
      <c r="V149" s="7" t="n"/>
      <c r="W149" s="7" t="n"/>
      <c r="Z149">
        <f>IF($E149="","",IF($AO149=1,0,IF($AN149=1,Settings!$C$6,Settings!$C$7))*100)</f>
        <v/>
      </c>
      <c r="AA149" s="7">
        <f>IF($E149="","",W149*Z149/100)</f>
        <v/>
      </c>
      <c r="AB149" s="7">
        <f>IF($E149="","",W149-AA149)</f>
        <v/>
      </c>
      <c r="AC149" s="7">
        <f>IF($E149="","",AB149-O149)</f>
        <v/>
      </c>
      <c r="AG149" s="7" t="n"/>
      <c r="AJ149" s="11" t="n"/>
      <c r="AL149">
        <f>IF($E149="","",IF(COUNTIF($E$2:$E149,$E149)=1,1,0))</f>
        <v/>
      </c>
      <c r="AM149">
        <f>IF($AL149=1,SUMPRODUCT(--($AP$2:$AP$301&lt;$AP149))+1,"")</f>
        <v/>
      </c>
      <c r="AN149">
        <f>IF($E149="","",IF(OR($S149=TRUE(),$S149="TRUE"),1,0))</f>
        <v/>
      </c>
      <c r="AO149">
        <f>IF($E149="","",IF($Y149="Yes",1,0))</f>
        <v/>
      </c>
      <c r="AP149">
        <f>IF($AL149=1,IFERROR(IF(VALUE($E149)&lt;100000000,VALUE($E149),1000000000),IFERROR(IF(VALUE(MID($E149,2,20))&lt;100000000,VALUE(MID($E149,2,20)),1000000000),1000000000))+ROW()/100000,"")</f>
        <v/>
      </c>
    </row>
    <row r="150">
      <c r="G150" s="11" t="n"/>
      <c r="O150" s="7">
        <f>IF($E150="","",N150*W150/100)</f>
        <v/>
      </c>
      <c r="P150" s="7" t="n"/>
      <c r="V150" s="7" t="n"/>
      <c r="W150" s="7" t="n"/>
      <c r="Z150">
        <f>IF($E150="","",IF($AO150=1,0,IF($AN150=1,Settings!$C$6,Settings!$C$7))*100)</f>
        <v/>
      </c>
      <c r="AA150" s="7">
        <f>IF($E150="","",W150*Z150/100)</f>
        <v/>
      </c>
      <c r="AB150" s="7">
        <f>IF($E150="","",W150-AA150)</f>
        <v/>
      </c>
      <c r="AC150" s="7">
        <f>IF($E150="","",AB150-O150)</f>
        <v/>
      </c>
      <c r="AG150" s="7" t="n"/>
      <c r="AJ150" s="11" t="n"/>
      <c r="AL150">
        <f>IF($E150="","",IF(COUNTIF($E$2:$E150,$E150)=1,1,0))</f>
        <v/>
      </c>
      <c r="AM150">
        <f>IF($AL150=1,SUMPRODUCT(--($AP$2:$AP$301&lt;$AP150))+1,"")</f>
        <v/>
      </c>
      <c r="AN150">
        <f>IF($E150="","",IF(OR($S150=TRUE(),$S150="TRUE"),1,0))</f>
        <v/>
      </c>
      <c r="AO150">
        <f>IF($E150="","",IF($Y150="Yes",1,0))</f>
        <v/>
      </c>
      <c r="AP150">
        <f>IF($AL150=1,IFERROR(IF(VALUE($E150)&lt;100000000,VALUE($E150),1000000000),IFERROR(IF(VALUE(MID($E150,2,20))&lt;100000000,VALUE(MID($E150,2,20)),1000000000),1000000000))+ROW()/100000,"")</f>
        <v/>
      </c>
    </row>
    <row r="151">
      <c r="G151" s="11" t="n"/>
      <c r="O151" s="7">
        <f>IF($E151="","",N151*W151/100)</f>
        <v/>
      </c>
      <c r="P151" s="7" t="n"/>
      <c r="V151" s="7" t="n"/>
      <c r="W151" s="7" t="n"/>
      <c r="Z151">
        <f>IF($E151="","",IF($AO151=1,0,IF($AN151=1,Settings!$C$6,Settings!$C$7))*100)</f>
        <v/>
      </c>
      <c r="AA151" s="7">
        <f>IF($E151="","",W151*Z151/100)</f>
        <v/>
      </c>
      <c r="AB151" s="7">
        <f>IF($E151="","",W151-AA151)</f>
        <v/>
      </c>
      <c r="AC151" s="7">
        <f>IF($E151="","",AB151-O151)</f>
        <v/>
      </c>
      <c r="AG151" s="7" t="n"/>
      <c r="AJ151" s="11" t="n"/>
      <c r="AL151">
        <f>IF($E151="","",IF(COUNTIF($E$2:$E151,$E151)=1,1,0))</f>
        <v/>
      </c>
      <c r="AM151">
        <f>IF($AL151=1,SUMPRODUCT(--($AP$2:$AP$301&lt;$AP151))+1,"")</f>
        <v/>
      </c>
      <c r="AN151">
        <f>IF($E151="","",IF(OR($S151=TRUE(),$S151="TRUE"),1,0))</f>
        <v/>
      </c>
      <c r="AO151">
        <f>IF($E151="","",IF($Y151="Yes",1,0))</f>
        <v/>
      </c>
      <c r="AP151">
        <f>IF($AL151=1,IFERROR(IF(VALUE($E151)&lt;100000000,VALUE($E151),1000000000),IFERROR(IF(VALUE(MID($E151,2,20))&lt;100000000,VALUE(MID($E151,2,20)),1000000000),1000000000))+ROW()/100000,"")</f>
        <v/>
      </c>
    </row>
    <row r="152">
      <c r="G152" s="11" t="n"/>
      <c r="O152" s="7">
        <f>IF($E152="","",N152*W152/100)</f>
        <v/>
      </c>
      <c r="P152" s="7" t="n"/>
      <c r="V152" s="7" t="n"/>
      <c r="W152" s="7" t="n"/>
      <c r="Z152">
        <f>IF($E152="","",IF($AO152=1,0,IF($AN152=1,Settings!$C$6,Settings!$C$7))*100)</f>
        <v/>
      </c>
      <c r="AA152" s="7">
        <f>IF($E152="","",W152*Z152/100)</f>
        <v/>
      </c>
      <c r="AB152" s="7">
        <f>IF($E152="","",W152-AA152)</f>
        <v/>
      </c>
      <c r="AC152" s="7">
        <f>IF($E152="","",AB152-O152)</f>
        <v/>
      </c>
      <c r="AG152" s="7" t="n"/>
      <c r="AJ152" s="11" t="n"/>
      <c r="AL152">
        <f>IF($E152="","",IF(COUNTIF($E$2:$E152,$E152)=1,1,0))</f>
        <v/>
      </c>
      <c r="AM152">
        <f>IF($AL152=1,SUMPRODUCT(--($AP$2:$AP$301&lt;$AP152))+1,"")</f>
        <v/>
      </c>
      <c r="AN152">
        <f>IF($E152="","",IF(OR($S152=TRUE(),$S152="TRUE"),1,0))</f>
        <v/>
      </c>
      <c r="AO152">
        <f>IF($E152="","",IF($Y152="Yes",1,0))</f>
        <v/>
      </c>
      <c r="AP152">
        <f>IF($AL152=1,IFERROR(IF(VALUE($E152)&lt;100000000,VALUE($E152),1000000000),IFERROR(IF(VALUE(MID($E152,2,20))&lt;100000000,VALUE(MID($E152,2,20)),1000000000),1000000000))+ROW()/100000,"")</f>
        <v/>
      </c>
    </row>
    <row r="153">
      <c r="G153" s="11" t="n"/>
      <c r="O153" s="7">
        <f>IF($E153="","",N153*W153/100)</f>
        <v/>
      </c>
      <c r="P153" s="7" t="n"/>
      <c r="V153" s="7" t="n"/>
      <c r="W153" s="7" t="n"/>
      <c r="Z153">
        <f>IF($E153="","",IF($AO153=1,0,IF($AN153=1,Settings!$C$6,Settings!$C$7))*100)</f>
        <v/>
      </c>
      <c r="AA153" s="7">
        <f>IF($E153="","",W153*Z153/100)</f>
        <v/>
      </c>
      <c r="AB153" s="7">
        <f>IF($E153="","",W153-AA153)</f>
        <v/>
      </c>
      <c r="AC153" s="7">
        <f>IF($E153="","",AB153-O153)</f>
        <v/>
      </c>
      <c r="AG153" s="7" t="n"/>
      <c r="AJ153" s="11" t="n"/>
      <c r="AL153">
        <f>IF($E153="","",IF(COUNTIF($E$2:$E153,$E153)=1,1,0))</f>
        <v/>
      </c>
      <c r="AM153">
        <f>IF($AL153=1,SUMPRODUCT(--($AP$2:$AP$301&lt;$AP153))+1,"")</f>
        <v/>
      </c>
      <c r="AN153">
        <f>IF($E153="","",IF(OR($S153=TRUE(),$S153="TRUE"),1,0))</f>
        <v/>
      </c>
      <c r="AO153">
        <f>IF($E153="","",IF($Y153="Yes",1,0))</f>
        <v/>
      </c>
      <c r="AP153">
        <f>IF($AL153=1,IFERROR(IF(VALUE($E153)&lt;100000000,VALUE($E153),1000000000),IFERROR(IF(VALUE(MID($E153,2,20))&lt;100000000,VALUE(MID($E153,2,20)),1000000000),1000000000))+ROW()/100000,"")</f>
        <v/>
      </c>
    </row>
    <row r="154">
      <c r="G154" s="11" t="n"/>
      <c r="O154" s="7">
        <f>IF($E154="","",N154*W154/100)</f>
        <v/>
      </c>
      <c r="P154" s="7" t="n"/>
      <c r="V154" s="7" t="n"/>
      <c r="W154" s="7" t="n"/>
      <c r="Z154">
        <f>IF($E154="","",IF($AO154=1,0,IF($AN154=1,Settings!$C$6,Settings!$C$7))*100)</f>
        <v/>
      </c>
      <c r="AA154" s="7">
        <f>IF($E154="","",W154*Z154/100)</f>
        <v/>
      </c>
      <c r="AB154" s="7">
        <f>IF($E154="","",W154-AA154)</f>
        <v/>
      </c>
      <c r="AC154" s="7">
        <f>IF($E154="","",AB154-O154)</f>
        <v/>
      </c>
      <c r="AG154" s="7" t="n"/>
      <c r="AJ154" s="11" t="n"/>
      <c r="AL154">
        <f>IF($E154="","",IF(COUNTIF($E$2:$E154,$E154)=1,1,0))</f>
        <v/>
      </c>
      <c r="AM154">
        <f>IF($AL154=1,SUMPRODUCT(--($AP$2:$AP$301&lt;$AP154))+1,"")</f>
        <v/>
      </c>
      <c r="AN154">
        <f>IF($E154="","",IF(OR($S154=TRUE(),$S154="TRUE"),1,0))</f>
        <v/>
      </c>
      <c r="AO154">
        <f>IF($E154="","",IF($Y154="Yes",1,0))</f>
        <v/>
      </c>
      <c r="AP154">
        <f>IF($AL154=1,IFERROR(IF(VALUE($E154)&lt;100000000,VALUE($E154),1000000000),IFERROR(IF(VALUE(MID($E154,2,20))&lt;100000000,VALUE(MID($E154,2,20)),1000000000),1000000000))+ROW()/100000,"")</f>
        <v/>
      </c>
    </row>
    <row r="155">
      <c r="G155" s="11" t="n"/>
      <c r="O155" s="7">
        <f>IF($E155="","",N155*W155/100)</f>
        <v/>
      </c>
      <c r="P155" s="7" t="n"/>
      <c r="V155" s="7" t="n"/>
      <c r="W155" s="7" t="n"/>
      <c r="Z155">
        <f>IF($E155="","",IF($AO155=1,0,IF($AN155=1,Settings!$C$6,Settings!$C$7))*100)</f>
        <v/>
      </c>
      <c r="AA155" s="7">
        <f>IF($E155="","",W155*Z155/100)</f>
        <v/>
      </c>
      <c r="AB155" s="7">
        <f>IF($E155="","",W155-AA155)</f>
        <v/>
      </c>
      <c r="AC155" s="7">
        <f>IF($E155="","",AB155-O155)</f>
        <v/>
      </c>
      <c r="AG155" s="7" t="n"/>
      <c r="AJ155" s="11" t="n"/>
      <c r="AL155">
        <f>IF($E155="","",IF(COUNTIF($E$2:$E155,$E155)=1,1,0))</f>
        <v/>
      </c>
      <c r="AM155">
        <f>IF($AL155=1,SUMPRODUCT(--($AP$2:$AP$301&lt;$AP155))+1,"")</f>
        <v/>
      </c>
      <c r="AN155">
        <f>IF($E155="","",IF(OR($S155=TRUE(),$S155="TRUE"),1,0))</f>
        <v/>
      </c>
      <c r="AO155">
        <f>IF($E155="","",IF($Y155="Yes",1,0))</f>
        <v/>
      </c>
      <c r="AP155">
        <f>IF($AL155=1,IFERROR(IF(VALUE($E155)&lt;100000000,VALUE($E155),1000000000),IFERROR(IF(VALUE(MID($E155,2,20))&lt;100000000,VALUE(MID($E155,2,20)),1000000000),1000000000))+ROW()/100000,"")</f>
        <v/>
      </c>
    </row>
    <row r="156">
      <c r="G156" s="11" t="n"/>
      <c r="O156" s="7">
        <f>IF($E156="","",N156*W156/100)</f>
        <v/>
      </c>
      <c r="P156" s="7" t="n"/>
      <c r="V156" s="7" t="n"/>
      <c r="W156" s="7" t="n"/>
      <c r="Z156">
        <f>IF($E156="","",IF($AO156=1,0,IF($AN156=1,Settings!$C$6,Settings!$C$7))*100)</f>
        <v/>
      </c>
      <c r="AA156" s="7">
        <f>IF($E156="","",W156*Z156/100)</f>
        <v/>
      </c>
      <c r="AB156" s="7">
        <f>IF($E156="","",W156-AA156)</f>
        <v/>
      </c>
      <c r="AC156" s="7">
        <f>IF($E156="","",AB156-O156)</f>
        <v/>
      </c>
      <c r="AG156" s="7" t="n"/>
      <c r="AJ156" s="11" t="n"/>
      <c r="AL156">
        <f>IF($E156="","",IF(COUNTIF($E$2:$E156,$E156)=1,1,0))</f>
        <v/>
      </c>
      <c r="AM156">
        <f>IF($AL156=1,SUMPRODUCT(--($AP$2:$AP$301&lt;$AP156))+1,"")</f>
        <v/>
      </c>
      <c r="AN156">
        <f>IF($E156="","",IF(OR($S156=TRUE(),$S156="TRUE"),1,0))</f>
        <v/>
      </c>
      <c r="AO156">
        <f>IF($E156="","",IF($Y156="Yes",1,0))</f>
        <v/>
      </c>
      <c r="AP156">
        <f>IF($AL156=1,IFERROR(IF(VALUE($E156)&lt;100000000,VALUE($E156),1000000000),IFERROR(IF(VALUE(MID($E156,2,20))&lt;100000000,VALUE(MID($E156,2,20)),1000000000),1000000000))+ROW()/100000,"")</f>
        <v/>
      </c>
    </row>
    <row r="157">
      <c r="G157" s="11" t="n"/>
      <c r="O157" s="7">
        <f>IF($E157="","",N157*W157/100)</f>
        <v/>
      </c>
      <c r="P157" s="7" t="n"/>
      <c r="V157" s="7" t="n"/>
      <c r="W157" s="7" t="n"/>
      <c r="Z157">
        <f>IF($E157="","",IF($AO157=1,0,IF($AN157=1,Settings!$C$6,Settings!$C$7))*100)</f>
        <v/>
      </c>
      <c r="AA157" s="7">
        <f>IF($E157="","",W157*Z157/100)</f>
        <v/>
      </c>
      <c r="AB157" s="7">
        <f>IF($E157="","",W157-AA157)</f>
        <v/>
      </c>
      <c r="AC157" s="7">
        <f>IF($E157="","",AB157-O157)</f>
        <v/>
      </c>
      <c r="AG157" s="7" t="n"/>
      <c r="AJ157" s="11" t="n"/>
      <c r="AL157">
        <f>IF($E157="","",IF(COUNTIF($E$2:$E157,$E157)=1,1,0))</f>
        <v/>
      </c>
      <c r="AM157">
        <f>IF($AL157=1,SUMPRODUCT(--($AP$2:$AP$301&lt;$AP157))+1,"")</f>
        <v/>
      </c>
      <c r="AN157">
        <f>IF($E157="","",IF(OR($S157=TRUE(),$S157="TRUE"),1,0))</f>
        <v/>
      </c>
      <c r="AO157">
        <f>IF($E157="","",IF($Y157="Yes",1,0))</f>
        <v/>
      </c>
      <c r="AP157">
        <f>IF($AL157=1,IFERROR(IF(VALUE($E157)&lt;100000000,VALUE($E157),1000000000),IFERROR(IF(VALUE(MID($E157,2,20))&lt;100000000,VALUE(MID($E157,2,20)),1000000000),1000000000))+ROW()/100000,"")</f>
        <v/>
      </c>
    </row>
    <row r="158">
      <c r="G158" s="11" t="n"/>
      <c r="O158" s="7">
        <f>IF($E158="","",N158*W158/100)</f>
        <v/>
      </c>
      <c r="P158" s="7" t="n"/>
      <c r="V158" s="7" t="n"/>
      <c r="W158" s="7" t="n"/>
      <c r="Z158">
        <f>IF($E158="","",IF($AO158=1,0,IF($AN158=1,Settings!$C$6,Settings!$C$7))*100)</f>
        <v/>
      </c>
      <c r="AA158" s="7">
        <f>IF($E158="","",W158*Z158/100)</f>
        <v/>
      </c>
      <c r="AB158" s="7">
        <f>IF($E158="","",W158-AA158)</f>
        <v/>
      </c>
      <c r="AC158" s="7">
        <f>IF($E158="","",AB158-O158)</f>
        <v/>
      </c>
      <c r="AG158" s="7" t="n"/>
      <c r="AJ158" s="11" t="n"/>
      <c r="AL158">
        <f>IF($E158="","",IF(COUNTIF($E$2:$E158,$E158)=1,1,0))</f>
        <v/>
      </c>
      <c r="AM158">
        <f>IF($AL158=1,SUMPRODUCT(--($AP$2:$AP$301&lt;$AP158))+1,"")</f>
        <v/>
      </c>
      <c r="AN158">
        <f>IF($E158="","",IF(OR($S158=TRUE(),$S158="TRUE"),1,0))</f>
        <v/>
      </c>
      <c r="AO158">
        <f>IF($E158="","",IF($Y158="Yes",1,0))</f>
        <v/>
      </c>
      <c r="AP158">
        <f>IF($AL158=1,IFERROR(IF(VALUE($E158)&lt;100000000,VALUE($E158),1000000000),IFERROR(IF(VALUE(MID($E158,2,20))&lt;100000000,VALUE(MID($E158,2,20)),1000000000),1000000000))+ROW()/100000,"")</f>
        <v/>
      </c>
    </row>
    <row r="159">
      <c r="G159" s="11" t="n"/>
      <c r="O159" s="7">
        <f>IF($E159="","",N159*W159/100)</f>
        <v/>
      </c>
      <c r="P159" s="7" t="n"/>
      <c r="V159" s="7" t="n"/>
      <c r="W159" s="7" t="n"/>
      <c r="Z159">
        <f>IF($E159="","",IF($AO159=1,0,IF($AN159=1,Settings!$C$6,Settings!$C$7))*100)</f>
        <v/>
      </c>
      <c r="AA159" s="7">
        <f>IF($E159="","",W159*Z159/100)</f>
        <v/>
      </c>
      <c r="AB159" s="7">
        <f>IF($E159="","",W159-AA159)</f>
        <v/>
      </c>
      <c r="AC159" s="7">
        <f>IF($E159="","",AB159-O159)</f>
        <v/>
      </c>
      <c r="AG159" s="7" t="n"/>
      <c r="AJ159" s="11" t="n"/>
      <c r="AL159">
        <f>IF($E159="","",IF(COUNTIF($E$2:$E159,$E159)=1,1,0))</f>
        <v/>
      </c>
      <c r="AM159">
        <f>IF($AL159=1,SUMPRODUCT(--($AP$2:$AP$301&lt;$AP159))+1,"")</f>
        <v/>
      </c>
      <c r="AN159">
        <f>IF($E159="","",IF(OR($S159=TRUE(),$S159="TRUE"),1,0))</f>
        <v/>
      </c>
      <c r="AO159">
        <f>IF($E159="","",IF($Y159="Yes",1,0))</f>
        <v/>
      </c>
      <c r="AP159">
        <f>IF($AL159=1,IFERROR(IF(VALUE($E159)&lt;100000000,VALUE($E159),1000000000),IFERROR(IF(VALUE(MID($E159,2,20))&lt;100000000,VALUE(MID($E159,2,20)),1000000000),1000000000))+ROW()/100000,"")</f>
        <v/>
      </c>
    </row>
    <row r="160">
      <c r="G160" s="11" t="n"/>
      <c r="O160" s="7">
        <f>IF($E160="","",N160*W160/100)</f>
        <v/>
      </c>
      <c r="P160" s="7" t="n"/>
      <c r="V160" s="7" t="n"/>
      <c r="W160" s="7" t="n"/>
      <c r="Z160">
        <f>IF($E160="","",IF($AO160=1,0,IF($AN160=1,Settings!$C$6,Settings!$C$7))*100)</f>
        <v/>
      </c>
      <c r="AA160" s="7">
        <f>IF($E160="","",W160*Z160/100)</f>
        <v/>
      </c>
      <c r="AB160" s="7">
        <f>IF($E160="","",W160-AA160)</f>
        <v/>
      </c>
      <c r="AC160" s="7">
        <f>IF($E160="","",AB160-O160)</f>
        <v/>
      </c>
      <c r="AG160" s="7" t="n"/>
      <c r="AJ160" s="11" t="n"/>
      <c r="AL160">
        <f>IF($E160="","",IF(COUNTIF($E$2:$E160,$E160)=1,1,0))</f>
        <v/>
      </c>
      <c r="AM160">
        <f>IF($AL160=1,SUMPRODUCT(--($AP$2:$AP$301&lt;$AP160))+1,"")</f>
        <v/>
      </c>
      <c r="AN160">
        <f>IF($E160="","",IF(OR($S160=TRUE(),$S160="TRUE"),1,0))</f>
        <v/>
      </c>
      <c r="AO160">
        <f>IF($E160="","",IF($Y160="Yes",1,0))</f>
        <v/>
      </c>
      <c r="AP160">
        <f>IF($AL160=1,IFERROR(IF(VALUE($E160)&lt;100000000,VALUE($E160),1000000000),IFERROR(IF(VALUE(MID($E160,2,20))&lt;100000000,VALUE(MID($E160,2,20)),1000000000),1000000000))+ROW()/100000,"")</f>
        <v/>
      </c>
    </row>
    <row r="161">
      <c r="G161" s="11" t="n"/>
      <c r="O161" s="7">
        <f>IF($E161="","",N161*W161/100)</f>
        <v/>
      </c>
      <c r="P161" s="7" t="n"/>
      <c r="V161" s="7" t="n"/>
      <c r="W161" s="7" t="n"/>
      <c r="Z161">
        <f>IF($E161="","",IF($AO161=1,0,IF($AN161=1,Settings!$C$6,Settings!$C$7))*100)</f>
        <v/>
      </c>
      <c r="AA161" s="7">
        <f>IF($E161="","",W161*Z161/100)</f>
        <v/>
      </c>
      <c r="AB161" s="7">
        <f>IF($E161="","",W161-AA161)</f>
        <v/>
      </c>
      <c r="AC161" s="7">
        <f>IF($E161="","",AB161-O161)</f>
        <v/>
      </c>
      <c r="AG161" s="7" t="n"/>
      <c r="AJ161" s="11" t="n"/>
      <c r="AL161">
        <f>IF($E161="","",IF(COUNTIF($E$2:$E161,$E161)=1,1,0))</f>
        <v/>
      </c>
      <c r="AM161">
        <f>IF($AL161=1,SUMPRODUCT(--($AP$2:$AP$301&lt;$AP161))+1,"")</f>
        <v/>
      </c>
      <c r="AN161">
        <f>IF($E161="","",IF(OR($S161=TRUE(),$S161="TRUE"),1,0))</f>
        <v/>
      </c>
      <c r="AO161">
        <f>IF($E161="","",IF($Y161="Yes",1,0))</f>
        <v/>
      </c>
      <c r="AP161">
        <f>IF($AL161=1,IFERROR(IF(VALUE($E161)&lt;100000000,VALUE($E161),1000000000),IFERROR(IF(VALUE(MID($E161,2,20))&lt;100000000,VALUE(MID($E161,2,20)),1000000000),1000000000))+ROW()/100000,"")</f>
        <v/>
      </c>
    </row>
    <row r="162">
      <c r="G162" s="11" t="n"/>
      <c r="O162" s="7">
        <f>IF($E162="","",N162*W162/100)</f>
        <v/>
      </c>
      <c r="P162" s="7" t="n"/>
      <c r="V162" s="7" t="n"/>
      <c r="W162" s="7" t="n"/>
      <c r="Z162">
        <f>IF($E162="","",IF($AO162=1,0,IF($AN162=1,Settings!$C$6,Settings!$C$7))*100)</f>
        <v/>
      </c>
      <c r="AA162" s="7">
        <f>IF($E162="","",W162*Z162/100)</f>
        <v/>
      </c>
      <c r="AB162" s="7">
        <f>IF($E162="","",W162-AA162)</f>
        <v/>
      </c>
      <c r="AC162" s="7">
        <f>IF($E162="","",AB162-O162)</f>
        <v/>
      </c>
      <c r="AG162" s="7" t="n"/>
      <c r="AJ162" s="11" t="n"/>
      <c r="AL162">
        <f>IF($E162="","",IF(COUNTIF($E$2:$E162,$E162)=1,1,0))</f>
        <v/>
      </c>
      <c r="AM162">
        <f>IF($AL162=1,SUMPRODUCT(--($AP$2:$AP$301&lt;$AP162))+1,"")</f>
        <v/>
      </c>
      <c r="AN162">
        <f>IF($E162="","",IF(OR($S162=TRUE(),$S162="TRUE"),1,0))</f>
        <v/>
      </c>
      <c r="AO162">
        <f>IF($E162="","",IF($Y162="Yes",1,0))</f>
        <v/>
      </c>
      <c r="AP162">
        <f>IF($AL162=1,IFERROR(IF(VALUE($E162)&lt;100000000,VALUE($E162),1000000000),IFERROR(IF(VALUE(MID($E162,2,20))&lt;100000000,VALUE(MID($E162,2,20)),1000000000),1000000000))+ROW()/100000,"")</f>
        <v/>
      </c>
    </row>
    <row r="163">
      <c r="G163" s="11" t="n"/>
      <c r="O163" s="7">
        <f>IF($E163="","",N163*W163/100)</f>
        <v/>
      </c>
      <c r="P163" s="7" t="n"/>
      <c r="V163" s="7" t="n"/>
      <c r="W163" s="7" t="n"/>
      <c r="Z163">
        <f>IF($E163="","",IF($AO163=1,0,IF($AN163=1,Settings!$C$6,Settings!$C$7))*100)</f>
        <v/>
      </c>
      <c r="AA163" s="7">
        <f>IF($E163="","",W163*Z163/100)</f>
        <v/>
      </c>
      <c r="AB163" s="7">
        <f>IF($E163="","",W163-AA163)</f>
        <v/>
      </c>
      <c r="AC163" s="7">
        <f>IF($E163="","",AB163-O163)</f>
        <v/>
      </c>
      <c r="AG163" s="7" t="n"/>
      <c r="AJ163" s="11" t="n"/>
      <c r="AL163">
        <f>IF($E163="","",IF(COUNTIF($E$2:$E163,$E163)=1,1,0))</f>
        <v/>
      </c>
      <c r="AM163">
        <f>IF($AL163=1,SUMPRODUCT(--($AP$2:$AP$301&lt;$AP163))+1,"")</f>
        <v/>
      </c>
      <c r="AN163">
        <f>IF($E163="","",IF(OR($S163=TRUE(),$S163="TRUE"),1,0))</f>
        <v/>
      </c>
      <c r="AO163">
        <f>IF($E163="","",IF($Y163="Yes",1,0))</f>
        <v/>
      </c>
      <c r="AP163">
        <f>IF($AL163=1,IFERROR(IF(VALUE($E163)&lt;100000000,VALUE($E163),1000000000),IFERROR(IF(VALUE(MID($E163,2,20))&lt;100000000,VALUE(MID($E163,2,20)),1000000000),1000000000))+ROW()/100000,"")</f>
        <v/>
      </c>
    </row>
    <row r="164">
      <c r="G164" s="11" t="n"/>
      <c r="O164" s="7">
        <f>IF($E164="","",N164*W164/100)</f>
        <v/>
      </c>
      <c r="P164" s="7" t="n"/>
      <c r="V164" s="7" t="n"/>
      <c r="W164" s="7" t="n"/>
      <c r="Z164">
        <f>IF($E164="","",IF($AO164=1,0,IF($AN164=1,Settings!$C$6,Settings!$C$7))*100)</f>
        <v/>
      </c>
      <c r="AA164" s="7">
        <f>IF($E164="","",W164*Z164/100)</f>
        <v/>
      </c>
      <c r="AB164" s="7">
        <f>IF($E164="","",W164-AA164)</f>
        <v/>
      </c>
      <c r="AC164" s="7">
        <f>IF($E164="","",AB164-O164)</f>
        <v/>
      </c>
      <c r="AG164" s="7" t="n"/>
      <c r="AJ164" s="11" t="n"/>
      <c r="AL164">
        <f>IF($E164="","",IF(COUNTIF($E$2:$E164,$E164)=1,1,0))</f>
        <v/>
      </c>
      <c r="AM164">
        <f>IF($AL164=1,SUMPRODUCT(--($AP$2:$AP$301&lt;$AP164))+1,"")</f>
        <v/>
      </c>
      <c r="AN164">
        <f>IF($E164="","",IF(OR($S164=TRUE(),$S164="TRUE"),1,0))</f>
        <v/>
      </c>
      <c r="AO164">
        <f>IF($E164="","",IF($Y164="Yes",1,0))</f>
        <v/>
      </c>
      <c r="AP164">
        <f>IF($AL164=1,IFERROR(IF(VALUE($E164)&lt;100000000,VALUE($E164),1000000000),IFERROR(IF(VALUE(MID($E164,2,20))&lt;100000000,VALUE(MID($E164,2,20)),1000000000),1000000000))+ROW()/100000,"")</f>
        <v/>
      </c>
    </row>
    <row r="165">
      <c r="G165" s="11" t="n"/>
      <c r="O165" s="7">
        <f>IF($E165="","",N165*W165/100)</f>
        <v/>
      </c>
      <c r="P165" s="7" t="n"/>
      <c r="V165" s="7" t="n"/>
      <c r="W165" s="7" t="n"/>
      <c r="Z165">
        <f>IF($E165="","",IF($AO165=1,0,IF($AN165=1,Settings!$C$6,Settings!$C$7))*100)</f>
        <v/>
      </c>
      <c r="AA165" s="7">
        <f>IF($E165="","",W165*Z165/100)</f>
        <v/>
      </c>
      <c r="AB165" s="7">
        <f>IF($E165="","",W165-AA165)</f>
        <v/>
      </c>
      <c r="AC165" s="7">
        <f>IF($E165="","",AB165-O165)</f>
        <v/>
      </c>
      <c r="AG165" s="7" t="n"/>
      <c r="AJ165" s="11" t="n"/>
      <c r="AL165">
        <f>IF($E165="","",IF(COUNTIF($E$2:$E165,$E165)=1,1,0))</f>
        <v/>
      </c>
      <c r="AM165">
        <f>IF($AL165=1,SUMPRODUCT(--($AP$2:$AP$301&lt;$AP165))+1,"")</f>
        <v/>
      </c>
      <c r="AN165">
        <f>IF($E165="","",IF(OR($S165=TRUE(),$S165="TRUE"),1,0))</f>
        <v/>
      </c>
      <c r="AO165">
        <f>IF($E165="","",IF($Y165="Yes",1,0))</f>
        <v/>
      </c>
      <c r="AP165">
        <f>IF($AL165=1,IFERROR(IF(VALUE($E165)&lt;100000000,VALUE($E165),1000000000),IFERROR(IF(VALUE(MID($E165,2,20))&lt;100000000,VALUE(MID($E165,2,20)),1000000000),1000000000))+ROW()/100000,"")</f>
        <v/>
      </c>
    </row>
    <row r="166">
      <c r="G166" s="11" t="n"/>
      <c r="O166" s="7">
        <f>IF($E166="","",N166*W166/100)</f>
        <v/>
      </c>
      <c r="P166" s="7" t="n"/>
      <c r="V166" s="7" t="n"/>
      <c r="W166" s="7" t="n"/>
      <c r="Z166">
        <f>IF($E166="","",IF($AO166=1,0,IF($AN166=1,Settings!$C$6,Settings!$C$7))*100)</f>
        <v/>
      </c>
      <c r="AA166" s="7">
        <f>IF($E166="","",W166*Z166/100)</f>
        <v/>
      </c>
      <c r="AB166" s="7">
        <f>IF($E166="","",W166-AA166)</f>
        <v/>
      </c>
      <c r="AC166" s="7">
        <f>IF($E166="","",AB166-O166)</f>
        <v/>
      </c>
      <c r="AG166" s="7" t="n"/>
      <c r="AJ166" s="11" t="n"/>
      <c r="AL166">
        <f>IF($E166="","",IF(COUNTIF($E$2:$E166,$E166)=1,1,0))</f>
        <v/>
      </c>
      <c r="AM166">
        <f>IF($AL166=1,SUMPRODUCT(--($AP$2:$AP$301&lt;$AP166))+1,"")</f>
        <v/>
      </c>
      <c r="AN166">
        <f>IF($E166="","",IF(OR($S166=TRUE(),$S166="TRUE"),1,0))</f>
        <v/>
      </c>
      <c r="AO166">
        <f>IF($E166="","",IF($Y166="Yes",1,0))</f>
        <v/>
      </c>
      <c r="AP166">
        <f>IF($AL166=1,IFERROR(IF(VALUE($E166)&lt;100000000,VALUE($E166),1000000000),IFERROR(IF(VALUE(MID($E166,2,20))&lt;100000000,VALUE(MID($E166,2,20)),1000000000),1000000000))+ROW()/100000,"")</f>
        <v/>
      </c>
    </row>
    <row r="167">
      <c r="G167" s="11" t="n"/>
      <c r="O167" s="7">
        <f>IF($E167="","",N167*W167/100)</f>
        <v/>
      </c>
      <c r="P167" s="7" t="n"/>
      <c r="V167" s="7" t="n"/>
      <c r="W167" s="7" t="n"/>
      <c r="Z167">
        <f>IF($E167="","",IF($AO167=1,0,IF($AN167=1,Settings!$C$6,Settings!$C$7))*100)</f>
        <v/>
      </c>
      <c r="AA167" s="7">
        <f>IF($E167="","",W167*Z167/100)</f>
        <v/>
      </c>
      <c r="AB167" s="7">
        <f>IF($E167="","",W167-AA167)</f>
        <v/>
      </c>
      <c r="AC167" s="7">
        <f>IF($E167="","",AB167-O167)</f>
        <v/>
      </c>
      <c r="AG167" s="7" t="n"/>
      <c r="AJ167" s="11" t="n"/>
      <c r="AL167">
        <f>IF($E167="","",IF(COUNTIF($E$2:$E167,$E167)=1,1,0))</f>
        <v/>
      </c>
      <c r="AM167">
        <f>IF($AL167=1,SUMPRODUCT(--($AP$2:$AP$301&lt;$AP167))+1,"")</f>
        <v/>
      </c>
      <c r="AN167">
        <f>IF($E167="","",IF(OR($S167=TRUE(),$S167="TRUE"),1,0))</f>
        <v/>
      </c>
      <c r="AO167">
        <f>IF($E167="","",IF($Y167="Yes",1,0))</f>
        <v/>
      </c>
      <c r="AP167">
        <f>IF($AL167=1,IFERROR(IF(VALUE($E167)&lt;100000000,VALUE($E167),1000000000),IFERROR(IF(VALUE(MID($E167,2,20))&lt;100000000,VALUE(MID($E167,2,20)),1000000000),1000000000))+ROW()/100000,"")</f>
        <v/>
      </c>
    </row>
    <row r="168">
      <c r="G168" s="11" t="n"/>
      <c r="O168" s="7">
        <f>IF($E168="","",N168*W168/100)</f>
        <v/>
      </c>
      <c r="P168" s="7" t="n"/>
      <c r="V168" s="7" t="n"/>
      <c r="W168" s="7" t="n"/>
      <c r="Z168">
        <f>IF($E168="","",IF($AO168=1,0,IF($AN168=1,Settings!$C$6,Settings!$C$7))*100)</f>
        <v/>
      </c>
      <c r="AA168" s="7">
        <f>IF($E168="","",W168*Z168/100)</f>
        <v/>
      </c>
      <c r="AB168" s="7">
        <f>IF($E168="","",W168-AA168)</f>
        <v/>
      </c>
      <c r="AC168" s="7">
        <f>IF($E168="","",AB168-O168)</f>
        <v/>
      </c>
      <c r="AG168" s="7" t="n"/>
      <c r="AJ168" s="11" t="n"/>
      <c r="AL168">
        <f>IF($E168="","",IF(COUNTIF($E$2:$E168,$E168)=1,1,0))</f>
        <v/>
      </c>
      <c r="AM168">
        <f>IF($AL168=1,SUMPRODUCT(--($AP$2:$AP$301&lt;$AP168))+1,"")</f>
        <v/>
      </c>
      <c r="AN168">
        <f>IF($E168="","",IF(OR($S168=TRUE(),$S168="TRUE"),1,0))</f>
        <v/>
      </c>
      <c r="AO168">
        <f>IF($E168="","",IF($Y168="Yes",1,0))</f>
        <v/>
      </c>
      <c r="AP168">
        <f>IF($AL168=1,IFERROR(IF(VALUE($E168)&lt;100000000,VALUE($E168),1000000000),IFERROR(IF(VALUE(MID($E168,2,20))&lt;100000000,VALUE(MID($E168,2,20)),1000000000),1000000000))+ROW()/100000,"")</f>
        <v/>
      </c>
    </row>
    <row r="169">
      <c r="G169" s="11" t="n"/>
      <c r="O169" s="7">
        <f>IF($E169="","",N169*W169/100)</f>
        <v/>
      </c>
      <c r="P169" s="7" t="n"/>
      <c r="V169" s="7" t="n"/>
      <c r="W169" s="7" t="n"/>
      <c r="Z169">
        <f>IF($E169="","",IF($AO169=1,0,IF($AN169=1,Settings!$C$6,Settings!$C$7))*100)</f>
        <v/>
      </c>
      <c r="AA169" s="7">
        <f>IF($E169="","",W169*Z169/100)</f>
        <v/>
      </c>
      <c r="AB169" s="7">
        <f>IF($E169="","",W169-AA169)</f>
        <v/>
      </c>
      <c r="AC169" s="7">
        <f>IF($E169="","",AB169-O169)</f>
        <v/>
      </c>
      <c r="AG169" s="7" t="n"/>
      <c r="AJ169" s="11" t="n"/>
      <c r="AL169">
        <f>IF($E169="","",IF(COUNTIF($E$2:$E169,$E169)=1,1,0))</f>
        <v/>
      </c>
      <c r="AM169">
        <f>IF($AL169=1,SUMPRODUCT(--($AP$2:$AP$301&lt;$AP169))+1,"")</f>
        <v/>
      </c>
      <c r="AN169">
        <f>IF($E169="","",IF(OR($S169=TRUE(),$S169="TRUE"),1,0))</f>
        <v/>
      </c>
      <c r="AO169">
        <f>IF($E169="","",IF($Y169="Yes",1,0))</f>
        <v/>
      </c>
      <c r="AP169">
        <f>IF($AL169=1,IFERROR(IF(VALUE($E169)&lt;100000000,VALUE($E169),1000000000),IFERROR(IF(VALUE(MID($E169,2,20))&lt;100000000,VALUE(MID($E169,2,20)),1000000000),1000000000))+ROW()/100000,"")</f>
        <v/>
      </c>
    </row>
    <row r="170">
      <c r="G170" s="11" t="n"/>
      <c r="O170" s="7">
        <f>IF($E170="","",N170*W170/100)</f>
        <v/>
      </c>
      <c r="P170" s="7" t="n"/>
      <c r="V170" s="7" t="n"/>
      <c r="W170" s="7" t="n"/>
      <c r="Z170">
        <f>IF($E170="","",IF($AO170=1,0,IF($AN170=1,Settings!$C$6,Settings!$C$7))*100)</f>
        <v/>
      </c>
      <c r="AA170" s="7">
        <f>IF($E170="","",W170*Z170/100)</f>
        <v/>
      </c>
      <c r="AB170" s="7">
        <f>IF($E170="","",W170-AA170)</f>
        <v/>
      </c>
      <c r="AC170" s="7">
        <f>IF($E170="","",AB170-O170)</f>
        <v/>
      </c>
      <c r="AG170" s="7" t="n"/>
      <c r="AJ170" s="11" t="n"/>
      <c r="AL170">
        <f>IF($E170="","",IF(COUNTIF($E$2:$E170,$E170)=1,1,0))</f>
        <v/>
      </c>
      <c r="AM170">
        <f>IF($AL170=1,SUMPRODUCT(--($AP$2:$AP$301&lt;$AP170))+1,"")</f>
        <v/>
      </c>
      <c r="AN170">
        <f>IF($E170="","",IF(OR($S170=TRUE(),$S170="TRUE"),1,0))</f>
        <v/>
      </c>
      <c r="AO170">
        <f>IF($E170="","",IF($Y170="Yes",1,0))</f>
        <v/>
      </c>
      <c r="AP170">
        <f>IF($AL170=1,IFERROR(IF(VALUE($E170)&lt;100000000,VALUE($E170),1000000000),IFERROR(IF(VALUE(MID($E170,2,20))&lt;100000000,VALUE(MID($E170,2,20)),1000000000),1000000000))+ROW()/100000,"")</f>
        <v/>
      </c>
    </row>
    <row r="171">
      <c r="G171" s="11" t="n"/>
      <c r="O171" s="7">
        <f>IF($E171="","",N171*W171/100)</f>
        <v/>
      </c>
      <c r="P171" s="7" t="n"/>
      <c r="V171" s="7" t="n"/>
      <c r="W171" s="7" t="n"/>
      <c r="Z171">
        <f>IF($E171="","",IF($AO171=1,0,IF($AN171=1,Settings!$C$6,Settings!$C$7))*100)</f>
        <v/>
      </c>
      <c r="AA171" s="7">
        <f>IF($E171="","",W171*Z171/100)</f>
        <v/>
      </c>
      <c r="AB171" s="7">
        <f>IF($E171="","",W171-AA171)</f>
        <v/>
      </c>
      <c r="AC171" s="7">
        <f>IF($E171="","",AB171-O171)</f>
        <v/>
      </c>
      <c r="AG171" s="7" t="n"/>
      <c r="AJ171" s="11" t="n"/>
      <c r="AL171">
        <f>IF($E171="","",IF(COUNTIF($E$2:$E171,$E171)=1,1,0))</f>
        <v/>
      </c>
      <c r="AM171">
        <f>IF($AL171=1,SUMPRODUCT(--($AP$2:$AP$301&lt;$AP171))+1,"")</f>
        <v/>
      </c>
      <c r="AN171">
        <f>IF($E171="","",IF(OR($S171=TRUE(),$S171="TRUE"),1,0))</f>
        <v/>
      </c>
      <c r="AO171">
        <f>IF($E171="","",IF($Y171="Yes",1,0))</f>
        <v/>
      </c>
      <c r="AP171">
        <f>IF($AL171=1,IFERROR(IF(VALUE($E171)&lt;100000000,VALUE($E171),1000000000),IFERROR(IF(VALUE(MID($E171,2,20))&lt;100000000,VALUE(MID($E171,2,20)),1000000000),1000000000))+ROW()/100000,"")</f>
        <v/>
      </c>
    </row>
    <row r="172">
      <c r="G172" s="11" t="n"/>
      <c r="O172" s="7">
        <f>IF($E172="","",N172*W172/100)</f>
        <v/>
      </c>
      <c r="P172" s="7" t="n"/>
      <c r="V172" s="7" t="n"/>
      <c r="W172" s="7" t="n"/>
      <c r="Z172">
        <f>IF($E172="","",IF($AO172=1,0,IF($AN172=1,Settings!$C$6,Settings!$C$7))*100)</f>
        <v/>
      </c>
      <c r="AA172" s="7">
        <f>IF($E172="","",W172*Z172/100)</f>
        <v/>
      </c>
      <c r="AB172" s="7">
        <f>IF($E172="","",W172-AA172)</f>
        <v/>
      </c>
      <c r="AC172" s="7">
        <f>IF($E172="","",AB172-O172)</f>
        <v/>
      </c>
      <c r="AG172" s="7" t="n"/>
      <c r="AJ172" s="11" t="n"/>
      <c r="AL172">
        <f>IF($E172="","",IF(COUNTIF($E$2:$E172,$E172)=1,1,0))</f>
        <v/>
      </c>
      <c r="AM172">
        <f>IF($AL172=1,SUMPRODUCT(--($AP$2:$AP$301&lt;$AP172))+1,"")</f>
        <v/>
      </c>
      <c r="AN172">
        <f>IF($E172="","",IF(OR($S172=TRUE(),$S172="TRUE"),1,0))</f>
        <v/>
      </c>
      <c r="AO172">
        <f>IF($E172="","",IF($Y172="Yes",1,0))</f>
        <v/>
      </c>
      <c r="AP172">
        <f>IF($AL172=1,IFERROR(IF(VALUE($E172)&lt;100000000,VALUE($E172),1000000000),IFERROR(IF(VALUE(MID($E172,2,20))&lt;100000000,VALUE(MID($E172,2,20)),1000000000),1000000000))+ROW()/100000,"")</f>
        <v/>
      </c>
    </row>
    <row r="173">
      <c r="G173" s="11" t="n"/>
      <c r="O173" s="7">
        <f>IF($E173="","",N173*W173/100)</f>
        <v/>
      </c>
      <c r="P173" s="7" t="n"/>
      <c r="V173" s="7" t="n"/>
      <c r="W173" s="7" t="n"/>
      <c r="Z173">
        <f>IF($E173="","",IF($AO173=1,0,IF($AN173=1,Settings!$C$6,Settings!$C$7))*100)</f>
        <v/>
      </c>
      <c r="AA173" s="7">
        <f>IF($E173="","",W173*Z173/100)</f>
        <v/>
      </c>
      <c r="AB173" s="7">
        <f>IF($E173="","",W173-AA173)</f>
        <v/>
      </c>
      <c r="AC173" s="7">
        <f>IF($E173="","",AB173-O173)</f>
        <v/>
      </c>
      <c r="AG173" s="7" t="n"/>
      <c r="AJ173" s="11" t="n"/>
      <c r="AL173">
        <f>IF($E173="","",IF(COUNTIF($E$2:$E173,$E173)=1,1,0))</f>
        <v/>
      </c>
      <c r="AM173">
        <f>IF($AL173=1,SUMPRODUCT(--($AP$2:$AP$301&lt;$AP173))+1,"")</f>
        <v/>
      </c>
      <c r="AN173">
        <f>IF($E173="","",IF(OR($S173=TRUE(),$S173="TRUE"),1,0))</f>
        <v/>
      </c>
      <c r="AO173">
        <f>IF($E173="","",IF($Y173="Yes",1,0))</f>
        <v/>
      </c>
      <c r="AP173">
        <f>IF($AL173=1,IFERROR(IF(VALUE($E173)&lt;100000000,VALUE($E173),1000000000),IFERROR(IF(VALUE(MID($E173,2,20))&lt;100000000,VALUE(MID($E173,2,20)),1000000000),1000000000))+ROW()/100000,"")</f>
        <v/>
      </c>
    </row>
    <row r="174">
      <c r="G174" s="11" t="n"/>
      <c r="O174" s="7">
        <f>IF($E174="","",N174*W174/100)</f>
        <v/>
      </c>
      <c r="P174" s="7" t="n"/>
      <c r="V174" s="7" t="n"/>
      <c r="W174" s="7" t="n"/>
      <c r="Z174">
        <f>IF($E174="","",IF($AO174=1,0,IF($AN174=1,Settings!$C$6,Settings!$C$7))*100)</f>
        <v/>
      </c>
      <c r="AA174" s="7">
        <f>IF($E174="","",W174*Z174/100)</f>
        <v/>
      </c>
      <c r="AB174" s="7">
        <f>IF($E174="","",W174-AA174)</f>
        <v/>
      </c>
      <c r="AC174" s="7">
        <f>IF($E174="","",AB174-O174)</f>
        <v/>
      </c>
      <c r="AG174" s="7" t="n"/>
      <c r="AJ174" s="11" t="n"/>
      <c r="AL174">
        <f>IF($E174="","",IF(COUNTIF($E$2:$E174,$E174)=1,1,0))</f>
        <v/>
      </c>
      <c r="AM174">
        <f>IF($AL174=1,SUMPRODUCT(--($AP$2:$AP$301&lt;$AP174))+1,"")</f>
        <v/>
      </c>
      <c r="AN174">
        <f>IF($E174="","",IF(OR($S174=TRUE(),$S174="TRUE"),1,0))</f>
        <v/>
      </c>
      <c r="AO174">
        <f>IF($E174="","",IF($Y174="Yes",1,0))</f>
        <v/>
      </c>
      <c r="AP174">
        <f>IF($AL174=1,IFERROR(IF(VALUE($E174)&lt;100000000,VALUE($E174),1000000000),IFERROR(IF(VALUE(MID($E174,2,20))&lt;100000000,VALUE(MID($E174,2,20)),1000000000),1000000000))+ROW()/100000,"")</f>
        <v/>
      </c>
    </row>
    <row r="175">
      <c r="G175" s="11" t="n"/>
      <c r="O175" s="7">
        <f>IF($E175="","",N175*W175/100)</f>
        <v/>
      </c>
      <c r="P175" s="7" t="n"/>
      <c r="V175" s="7" t="n"/>
      <c r="W175" s="7" t="n"/>
      <c r="Z175">
        <f>IF($E175="","",IF($AO175=1,0,IF($AN175=1,Settings!$C$6,Settings!$C$7))*100)</f>
        <v/>
      </c>
      <c r="AA175" s="7">
        <f>IF($E175="","",W175*Z175/100)</f>
        <v/>
      </c>
      <c r="AB175" s="7">
        <f>IF($E175="","",W175-AA175)</f>
        <v/>
      </c>
      <c r="AC175" s="7">
        <f>IF($E175="","",AB175-O175)</f>
        <v/>
      </c>
      <c r="AG175" s="7" t="n"/>
      <c r="AJ175" s="11" t="n"/>
      <c r="AL175">
        <f>IF($E175="","",IF(COUNTIF($E$2:$E175,$E175)=1,1,0))</f>
        <v/>
      </c>
      <c r="AM175">
        <f>IF($AL175=1,SUMPRODUCT(--($AP$2:$AP$301&lt;$AP175))+1,"")</f>
        <v/>
      </c>
      <c r="AN175">
        <f>IF($E175="","",IF(OR($S175=TRUE(),$S175="TRUE"),1,0))</f>
        <v/>
      </c>
      <c r="AO175">
        <f>IF($E175="","",IF($Y175="Yes",1,0))</f>
        <v/>
      </c>
      <c r="AP175">
        <f>IF($AL175=1,IFERROR(IF(VALUE($E175)&lt;100000000,VALUE($E175),1000000000),IFERROR(IF(VALUE(MID($E175,2,20))&lt;100000000,VALUE(MID($E175,2,20)),1000000000),1000000000))+ROW()/100000,"")</f>
        <v/>
      </c>
    </row>
    <row r="176">
      <c r="G176" s="11" t="n"/>
      <c r="O176" s="7">
        <f>IF($E176="","",N176*W176/100)</f>
        <v/>
      </c>
      <c r="P176" s="7" t="n"/>
      <c r="V176" s="7" t="n"/>
      <c r="W176" s="7" t="n"/>
      <c r="Z176">
        <f>IF($E176="","",IF($AO176=1,0,IF($AN176=1,Settings!$C$6,Settings!$C$7))*100)</f>
        <v/>
      </c>
      <c r="AA176" s="7">
        <f>IF($E176="","",W176*Z176/100)</f>
        <v/>
      </c>
      <c r="AB176" s="7">
        <f>IF($E176="","",W176-AA176)</f>
        <v/>
      </c>
      <c r="AC176" s="7">
        <f>IF($E176="","",AB176-O176)</f>
        <v/>
      </c>
      <c r="AG176" s="7" t="n"/>
      <c r="AJ176" s="11" t="n"/>
      <c r="AL176">
        <f>IF($E176="","",IF(COUNTIF($E$2:$E176,$E176)=1,1,0))</f>
        <v/>
      </c>
      <c r="AM176">
        <f>IF($AL176=1,SUMPRODUCT(--($AP$2:$AP$301&lt;$AP176))+1,"")</f>
        <v/>
      </c>
      <c r="AN176">
        <f>IF($E176="","",IF(OR($S176=TRUE(),$S176="TRUE"),1,0))</f>
        <v/>
      </c>
      <c r="AO176">
        <f>IF($E176="","",IF($Y176="Yes",1,0))</f>
        <v/>
      </c>
      <c r="AP176">
        <f>IF($AL176=1,IFERROR(IF(VALUE($E176)&lt;100000000,VALUE($E176),1000000000),IFERROR(IF(VALUE(MID($E176,2,20))&lt;100000000,VALUE(MID($E176,2,20)),1000000000),1000000000))+ROW()/100000,"")</f>
        <v/>
      </c>
    </row>
    <row r="177">
      <c r="G177" s="11" t="n"/>
      <c r="O177" s="7">
        <f>IF($E177="","",N177*W177/100)</f>
        <v/>
      </c>
      <c r="P177" s="7" t="n"/>
      <c r="V177" s="7" t="n"/>
      <c r="W177" s="7" t="n"/>
      <c r="Z177">
        <f>IF($E177="","",IF($AO177=1,0,IF($AN177=1,Settings!$C$6,Settings!$C$7))*100)</f>
        <v/>
      </c>
      <c r="AA177" s="7">
        <f>IF($E177="","",W177*Z177/100)</f>
        <v/>
      </c>
      <c r="AB177" s="7">
        <f>IF($E177="","",W177-AA177)</f>
        <v/>
      </c>
      <c r="AC177" s="7">
        <f>IF($E177="","",AB177-O177)</f>
        <v/>
      </c>
      <c r="AG177" s="7" t="n"/>
      <c r="AJ177" s="11" t="n"/>
      <c r="AL177">
        <f>IF($E177="","",IF(COUNTIF($E$2:$E177,$E177)=1,1,0))</f>
        <v/>
      </c>
      <c r="AM177">
        <f>IF($AL177=1,SUMPRODUCT(--($AP$2:$AP$301&lt;$AP177))+1,"")</f>
        <v/>
      </c>
      <c r="AN177">
        <f>IF($E177="","",IF(OR($S177=TRUE(),$S177="TRUE"),1,0))</f>
        <v/>
      </c>
      <c r="AO177">
        <f>IF($E177="","",IF($Y177="Yes",1,0))</f>
        <v/>
      </c>
      <c r="AP177">
        <f>IF($AL177=1,IFERROR(IF(VALUE($E177)&lt;100000000,VALUE($E177),1000000000),IFERROR(IF(VALUE(MID($E177,2,20))&lt;100000000,VALUE(MID($E177,2,20)),1000000000),1000000000))+ROW()/100000,"")</f>
        <v/>
      </c>
    </row>
    <row r="178">
      <c r="G178" s="11" t="n"/>
      <c r="O178" s="7">
        <f>IF($E178="","",N178*W178/100)</f>
        <v/>
      </c>
      <c r="P178" s="7" t="n"/>
      <c r="V178" s="7" t="n"/>
      <c r="W178" s="7" t="n"/>
      <c r="Z178">
        <f>IF($E178="","",IF($AO178=1,0,IF($AN178=1,Settings!$C$6,Settings!$C$7))*100)</f>
        <v/>
      </c>
      <c r="AA178" s="7">
        <f>IF($E178="","",W178*Z178/100)</f>
        <v/>
      </c>
      <c r="AB178" s="7">
        <f>IF($E178="","",W178-AA178)</f>
        <v/>
      </c>
      <c r="AC178" s="7">
        <f>IF($E178="","",AB178-O178)</f>
        <v/>
      </c>
      <c r="AG178" s="7" t="n"/>
      <c r="AJ178" s="11" t="n"/>
      <c r="AL178">
        <f>IF($E178="","",IF(COUNTIF($E$2:$E178,$E178)=1,1,0))</f>
        <v/>
      </c>
      <c r="AM178">
        <f>IF($AL178=1,SUMPRODUCT(--($AP$2:$AP$301&lt;$AP178))+1,"")</f>
        <v/>
      </c>
      <c r="AN178">
        <f>IF($E178="","",IF(OR($S178=TRUE(),$S178="TRUE"),1,0))</f>
        <v/>
      </c>
      <c r="AO178">
        <f>IF($E178="","",IF($Y178="Yes",1,0))</f>
        <v/>
      </c>
      <c r="AP178">
        <f>IF($AL178=1,IFERROR(IF(VALUE($E178)&lt;100000000,VALUE($E178),1000000000),IFERROR(IF(VALUE(MID($E178,2,20))&lt;100000000,VALUE(MID($E178,2,20)),1000000000),1000000000))+ROW()/100000,"")</f>
        <v/>
      </c>
    </row>
    <row r="179">
      <c r="G179" s="11" t="n"/>
      <c r="O179" s="7">
        <f>IF($E179="","",N179*W179/100)</f>
        <v/>
      </c>
      <c r="P179" s="7" t="n"/>
      <c r="V179" s="7" t="n"/>
      <c r="W179" s="7" t="n"/>
      <c r="Z179">
        <f>IF($E179="","",IF($AO179=1,0,IF($AN179=1,Settings!$C$6,Settings!$C$7))*100)</f>
        <v/>
      </c>
      <c r="AA179" s="7">
        <f>IF($E179="","",W179*Z179/100)</f>
        <v/>
      </c>
      <c r="AB179" s="7">
        <f>IF($E179="","",W179-AA179)</f>
        <v/>
      </c>
      <c r="AC179" s="7">
        <f>IF($E179="","",AB179-O179)</f>
        <v/>
      </c>
      <c r="AG179" s="7" t="n"/>
      <c r="AJ179" s="11" t="n"/>
      <c r="AL179">
        <f>IF($E179="","",IF(COUNTIF($E$2:$E179,$E179)=1,1,0))</f>
        <v/>
      </c>
      <c r="AM179">
        <f>IF($AL179=1,SUMPRODUCT(--($AP$2:$AP$301&lt;$AP179))+1,"")</f>
        <v/>
      </c>
      <c r="AN179">
        <f>IF($E179="","",IF(OR($S179=TRUE(),$S179="TRUE"),1,0))</f>
        <v/>
      </c>
      <c r="AO179">
        <f>IF($E179="","",IF($Y179="Yes",1,0))</f>
        <v/>
      </c>
      <c r="AP179">
        <f>IF($AL179=1,IFERROR(IF(VALUE($E179)&lt;100000000,VALUE($E179),1000000000),IFERROR(IF(VALUE(MID($E179,2,20))&lt;100000000,VALUE(MID($E179,2,20)),1000000000),1000000000))+ROW()/100000,"")</f>
        <v/>
      </c>
    </row>
    <row r="180">
      <c r="G180" s="11" t="n"/>
      <c r="O180" s="7">
        <f>IF($E180="","",N180*W180/100)</f>
        <v/>
      </c>
      <c r="P180" s="7" t="n"/>
      <c r="V180" s="7" t="n"/>
      <c r="W180" s="7" t="n"/>
      <c r="Z180">
        <f>IF($E180="","",IF($AO180=1,0,IF($AN180=1,Settings!$C$6,Settings!$C$7))*100)</f>
        <v/>
      </c>
      <c r="AA180" s="7">
        <f>IF($E180="","",W180*Z180/100)</f>
        <v/>
      </c>
      <c r="AB180" s="7">
        <f>IF($E180="","",W180-AA180)</f>
        <v/>
      </c>
      <c r="AC180" s="7">
        <f>IF($E180="","",AB180-O180)</f>
        <v/>
      </c>
      <c r="AG180" s="7" t="n"/>
      <c r="AJ180" s="11" t="n"/>
      <c r="AL180">
        <f>IF($E180="","",IF(COUNTIF($E$2:$E180,$E180)=1,1,0))</f>
        <v/>
      </c>
      <c r="AM180">
        <f>IF($AL180=1,SUMPRODUCT(--($AP$2:$AP$301&lt;$AP180))+1,"")</f>
        <v/>
      </c>
      <c r="AN180">
        <f>IF($E180="","",IF(OR($S180=TRUE(),$S180="TRUE"),1,0))</f>
        <v/>
      </c>
      <c r="AO180">
        <f>IF($E180="","",IF($Y180="Yes",1,0))</f>
        <v/>
      </c>
      <c r="AP180">
        <f>IF($AL180=1,IFERROR(IF(VALUE($E180)&lt;100000000,VALUE($E180),1000000000),IFERROR(IF(VALUE(MID($E180,2,20))&lt;100000000,VALUE(MID($E180,2,20)),1000000000),1000000000))+ROW()/100000,"")</f>
        <v/>
      </c>
    </row>
    <row r="181">
      <c r="G181" s="11" t="n"/>
      <c r="O181" s="7">
        <f>IF($E181="","",N181*W181/100)</f>
        <v/>
      </c>
      <c r="P181" s="7" t="n"/>
      <c r="V181" s="7" t="n"/>
      <c r="W181" s="7" t="n"/>
      <c r="Z181">
        <f>IF($E181="","",IF($AO181=1,0,IF($AN181=1,Settings!$C$6,Settings!$C$7))*100)</f>
        <v/>
      </c>
      <c r="AA181" s="7">
        <f>IF($E181="","",W181*Z181/100)</f>
        <v/>
      </c>
      <c r="AB181" s="7">
        <f>IF($E181="","",W181-AA181)</f>
        <v/>
      </c>
      <c r="AC181" s="7">
        <f>IF($E181="","",AB181-O181)</f>
        <v/>
      </c>
      <c r="AG181" s="7" t="n"/>
      <c r="AJ181" s="11" t="n"/>
      <c r="AL181">
        <f>IF($E181="","",IF(COUNTIF($E$2:$E181,$E181)=1,1,0))</f>
        <v/>
      </c>
      <c r="AM181">
        <f>IF($AL181=1,SUMPRODUCT(--($AP$2:$AP$301&lt;$AP181))+1,"")</f>
        <v/>
      </c>
      <c r="AN181">
        <f>IF($E181="","",IF(OR($S181=TRUE(),$S181="TRUE"),1,0))</f>
        <v/>
      </c>
      <c r="AO181">
        <f>IF($E181="","",IF($Y181="Yes",1,0))</f>
        <v/>
      </c>
      <c r="AP181">
        <f>IF($AL181=1,IFERROR(IF(VALUE($E181)&lt;100000000,VALUE($E181),1000000000),IFERROR(IF(VALUE(MID($E181,2,20))&lt;100000000,VALUE(MID($E181,2,20)),1000000000),1000000000))+ROW()/100000,"")</f>
        <v/>
      </c>
    </row>
    <row r="182">
      <c r="G182" s="11" t="n"/>
      <c r="O182" s="7">
        <f>IF($E182="","",N182*W182/100)</f>
        <v/>
      </c>
      <c r="P182" s="7" t="n"/>
      <c r="V182" s="7" t="n"/>
      <c r="W182" s="7" t="n"/>
      <c r="Z182">
        <f>IF($E182="","",IF($AO182=1,0,IF($AN182=1,Settings!$C$6,Settings!$C$7))*100)</f>
        <v/>
      </c>
      <c r="AA182" s="7">
        <f>IF($E182="","",W182*Z182/100)</f>
        <v/>
      </c>
      <c r="AB182" s="7">
        <f>IF($E182="","",W182-AA182)</f>
        <v/>
      </c>
      <c r="AC182" s="7">
        <f>IF($E182="","",AB182-O182)</f>
        <v/>
      </c>
      <c r="AG182" s="7" t="n"/>
      <c r="AJ182" s="11" t="n"/>
      <c r="AL182">
        <f>IF($E182="","",IF(COUNTIF($E$2:$E182,$E182)=1,1,0))</f>
        <v/>
      </c>
      <c r="AM182">
        <f>IF($AL182=1,SUMPRODUCT(--($AP$2:$AP$301&lt;$AP182))+1,"")</f>
        <v/>
      </c>
      <c r="AN182">
        <f>IF($E182="","",IF(OR($S182=TRUE(),$S182="TRUE"),1,0))</f>
        <v/>
      </c>
      <c r="AO182">
        <f>IF($E182="","",IF($Y182="Yes",1,0))</f>
        <v/>
      </c>
      <c r="AP182">
        <f>IF($AL182=1,IFERROR(IF(VALUE($E182)&lt;100000000,VALUE($E182),1000000000),IFERROR(IF(VALUE(MID($E182,2,20))&lt;100000000,VALUE(MID($E182,2,20)),1000000000),1000000000))+ROW()/100000,"")</f>
        <v/>
      </c>
    </row>
    <row r="183">
      <c r="G183" s="11" t="n"/>
      <c r="O183" s="7">
        <f>IF($E183="","",N183*W183/100)</f>
        <v/>
      </c>
      <c r="P183" s="7" t="n"/>
      <c r="V183" s="7" t="n"/>
      <c r="W183" s="7" t="n"/>
      <c r="Z183">
        <f>IF($E183="","",IF($AO183=1,0,IF($AN183=1,Settings!$C$6,Settings!$C$7))*100)</f>
        <v/>
      </c>
      <c r="AA183" s="7">
        <f>IF($E183="","",W183*Z183/100)</f>
        <v/>
      </c>
      <c r="AB183" s="7">
        <f>IF($E183="","",W183-AA183)</f>
        <v/>
      </c>
      <c r="AC183" s="7">
        <f>IF($E183="","",AB183-O183)</f>
        <v/>
      </c>
      <c r="AG183" s="7" t="n"/>
      <c r="AJ183" s="11" t="n"/>
      <c r="AL183">
        <f>IF($E183="","",IF(COUNTIF($E$2:$E183,$E183)=1,1,0))</f>
        <v/>
      </c>
      <c r="AM183">
        <f>IF($AL183=1,SUMPRODUCT(--($AP$2:$AP$301&lt;$AP183))+1,"")</f>
        <v/>
      </c>
      <c r="AN183">
        <f>IF($E183="","",IF(OR($S183=TRUE(),$S183="TRUE"),1,0))</f>
        <v/>
      </c>
      <c r="AO183">
        <f>IF($E183="","",IF($Y183="Yes",1,0))</f>
        <v/>
      </c>
      <c r="AP183">
        <f>IF($AL183=1,IFERROR(IF(VALUE($E183)&lt;100000000,VALUE($E183),1000000000),IFERROR(IF(VALUE(MID($E183,2,20))&lt;100000000,VALUE(MID($E183,2,20)),1000000000),1000000000))+ROW()/100000,"")</f>
        <v/>
      </c>
    </row>
    <row r="184">
      <c r="G184" s="11" t="n"/>
      <c r="O184" s="7">
        <f>IF($E184="","",N184*W184/100)</f>
        <v/>
      </c>
      <c r="P184" s="7" t="n"/>
      <c r="V184" s="7" t="n"/>
      <c r="W184" s="7" t="n"/>
      <c r="Z184">
        <f>IF($E184="","",IF($AO184=1,0,IF($AN184=1,Settings!$C$6,Settings!$C$7))*100)</f>
        <v/>
      </c>
      <c r="AA184" s="7">
        <f>IF($E184="","",W184*Z184/100)</f>
        <v/>
      </c>
      <c r="AB184" s="7">
        <f>IF($E184="","",W184-AA184)</f>
        <v/>
      </c>
      <c r="AC184" s="7">
        <f>IF($E184="","",AB184-O184)</f>
        <v/>
      </c>
      <c r="AG184" s="7" t="n"/>
      <c r="AJ184" s="11" t="n"/>
      <c r="AL184">
        <f>IF($E184="","",IF(COUNTIF($E$2:$E184,$E184)=1,1,0))</f>
        <v/>
      </c>
      <c r="AM184">
        <f>IF($AL184=1,SUMPRODUCT(--($AP$2:$AP$301&lt;$AP184))+1,"")</f>
        <v/>
      </c>
      <c r="AN184">
        <f>IF($E184="","",IF(OR($S184=TRUE(),$S184="TRUE"),1,0))</f>
        <v/>
      </c>
      <c r="AO184">
        <f>IF($E184="","",IF($Y184="Yes",1,0))</f>
        <v/>
      </c>
      <c r="AP184">
        <f>IF($AL184=1,IFERROR(IF(VALUE($E184)&lt;100000000,VALUE($E184),1000000000),IFERROR(IF(VALUE(MID($E184,2,20))&lt;100000000,VALUE(MID($E184,2,20)),1000000000),1000000000))+ROW()/100000,"")</f>
        <v/>
      </c>
    </row>
    <row r="185">
      <c r="G185" s="11" t="n"/>
      <c r="O185" s="7">
        <f>IF($E185="","",N185*W185/100)</f>
        <v/>
      </c>
      <c r="P185" s="7" t="n"/>
      <c r="V185" s="7" t="n"/>
      <c r="W185" s="7" t="n"/>
      <c r="Z185">
        <f>IF($E185="","",IF($AO185=1,0,IF($AN185=1,Settings!$C$6,Settings!$C$7))*100)</f>
        <v/>
      </c>
      <c r="AA185" s="7">
        <f>IF($E185="","",W185*Z185/100)</f>
        <v/>
      </c>
      <c r="AB185" s="7">
        <f>IF($E185="","",W185-AA185)</f>
        <v/>
      </c>
      <c r="AC185" s="7">
        <f>IF($E185="","",AB185-O185)</f>
        <v/>
      </c>
      <c r="AG185" s="7" t="n"/>
      <c r="AJ185" s="11" t="n"/>
      <c r="AL185">
        <f>IF($E185="","",IF(COUNTIF($E$2:$E185,$E185)=1,1,0))</f>
        <v/>
      </c>
      <c r="AM185">
        <f>IF($AL185=1,SUMPRODUCT(--($AP$2:$AP$301&lt;$AP185))+1,"")</f>
        <v/>
      </c>
      <c r="AN185">
        <f>IF($E185="","",IF(OR($S185=TRUE(),$S185="TRUE"),1,0))</f>
        <v/>
      </c>
      <c r="AO185">
        <f>IF($E185="","",IF($Y185="Yes",1,0))</f>
        <v/>
      </c>
      <c r="AP185">
        <f>IF($AL185=1,IFERROR(IF(VALUE($E185)&lt;100000000,VALUE($E185),1000000000),IFERROR(IF(VALUE(MID($E185,2,20))&lt;100000000,VALUE(MID($E185,2,20)),1000000000),1000000000))+ROW()/100000,"")</f>
        <v/>
      </c>
    </row>
    <row r="186">
      <c r="G186" s="11" t="n"/>
      <c r="O186" s="7">
        <f>IF($E186="","",N186*W186/100)</f>
        <v/>
      </c>
      <c r="P186" s="7" t="n"/>
      <c r="V186" s="7" t="n"/>
      <c r="W186" s="7" t="n"/>
      <c r="Z186">
        <f>IF($E186="","",IF($AO186=1,0,IF($AN186=1,Settings!$C$6,Settings!$C$7))*100)</f>
        <v/>
      </c>
      <c r="AA186" s="7">
        <f>IF($E186="","",W186*Z186/100)</f>
        <v/>
      </c>
      <c r="AB186" s="7">
        <f>IF($E186="","",W186-AA186)</f>
        <v/>
      </c>
      <c r="AC186" s="7">
        <f>IF($E186="","",AB186-O186)</f>
        <v/>
      </c>
      <c r="AG186" s="7" t="n"/>
      <c r="AJ186" s="11" t="n"/>
      <c r="AL186">
        <f>IF($E186="","",IF(COUNTIF($E$2:$E186,$E186)=1,1,0))</f>
        <v/>
      </c>
      <c r="AM186">
        <f>IF($AL186=1,SUMPRODUCT(--($AP$2:$AP$301&lt;$AP186))+1,"")</f>
        <v/>
      </c>
      <c r="AN186">
        <f>IF($E186="","",IF(OR($S186=TRUE(),$S186="TRUE"),1,0))</f>
        <v/>
      </c>
      <c r="AO186">
        <f>IF($E186="","",IF($Y186="Yes",1,0))</f>
        <v/>
      </c>
      <c r="AP186">
        <f>IF($AL186=1,IFERROR(IF(VALUE($E186)&lt;100000000,VALUE($E186),1000000000),IFERROR(IF(VALUE(MID($E186,2,20))&lt;100000000,VALUE(MID($E186,2,20)),1000000000),1000000000))+ROW()/100000,"")</f>
        <v/>
      </c>
    </row>
    <row r="187">
      <c r="G187" s="11" t="n"/>
      <c r="O187" s="7">
        <f>IF($E187="","",N187*W187/100)</f>
        <v/>
      </c>
      <c r="P187" s="7" t="n"/>
      <c r="V187" s="7" t="n"/>
      <c r="W187" s="7" t="n"/>
      <c r="Z187">
        <f>IF($E187="","",IF($AO187=1,0,IF($AN187=1,Settings!$C$6,Settings!$C$7))*100)</f>
        <v/>
      </c>
      <c r="AA187" s="7">
        <f>IF($E187="","",W187*Z187/100)</f>
        <v/>
      </c>
      <c r="AB187" s="7">
        <f>IF($E187="","",W187-AA187)</f>
        <v/>
      </c>
      <c r="AC187" s="7">
        <f>IF($E187="","",AB187-O187)</f>
        <v/>
      </c>
      <c r="AG187" s="7" t="n"/>
      <c r="AJ187" s="11" t="n"/>
      <c r="AL187">
        <f>IF($E187="","",IF(COUNTIF($E$2:$E187,$E187)=1,1,0))</f>
        <v/>
      </c>
      <c r="AM187">
        <f>IF($AL187=1,SUMPRODUCT(--($AP$2:$AP$301&lt;$AP187))+1,"")</f>
        <v/>
      </c>
      <c r="AN187">
        <f>IF($E187="","",IF(OR($S187=TRUE(),$S187="TRUE"),1,0))</f>
        <v/>
      </c>
      <c r="AO187">
        <f>IF($E187="","",IF($Y187="Yes",1,0))</f>
        <v/>
      </c>
      <c r="AP187">
        <f>IF($AL187=1,IFERROR(IF(VALUE($E187)&lt;100000000,VALUE($E187),1000000000),IFERROR(IF(VALUE(MID($E187,2,20))&lt;100000000,VALUE(MID($E187,2,20)),1000000000),1000000000))+ROW()/100000,"")</f>
        <v/>
      </c>
    </row>
    <row r="188">
      <c r="G188" s="11" t="n"/>
      <c r="O188" s="7">
        <f>IF($E188="","",N188*W188/100)</f>
        <v/>
      </c>
      <c r="P188" s="7" t="n"/>
      <c r="V188" s="7" t="n"/>
      <c r="W188" s="7" t="n"/>
      <c r="Z188">
        <f>IF($E188="","",IF($AO188=1,0,IF($AN188=1,Settings!$C$6,Settings!$C$7))*100)</f>
        <v/>
      </c>
      <c r="AA188" s="7">
        <f>IF($E188="","",W188*Z188/100)</f>
        <v/>
      </c>
      <c r="AB188" s="7">
        <f>IF($E188="","",W188-AA188)</f>
        <v/>
      </c>
      <c r="AC188" s="7">
        <f>IF($E188="","",AB188-O188)</f>
        <v/>
      </c>
      <c r="AG188" s="7" t="n"/>
      <c r="AJ188" s="11" t="n"/>
      <c r="AL188">
        <f>IF($E188="","",IF(COUNTIF($E$2:$E188,$E188)=1,1,0))</f>
        <v/>
      </c>
      <c r="AM188">
        <f>IF($AL188=1,SUMPRODUCT(--($AP$2:$AP$301&lt;$AP188))+1,"")</f>
        <v/>
      </c>
      <c r="AN188">
        <f>IF($E188="","",IF(OR($S188=TRUE(),$S188="TRUE"),1,0))</f>
        <v/>
      </c>
      <c r="AO188">
        <f>IF($E188="","",IF($Y188="Yes",1,0))</f>
        <v/>
      </c>
      <c r="AP188">
        <f>IF($AL188=1,IFERROR(IF(VALUE($E188)&lt;100000000,VALUE($E188),1000000000),IFERROR(IF(VALUE(MID($E188,2,20))&lt;100000000,VALUE(MID($E188,2,20)),1000000000),1000000000))+ROW()/100000,"")</f>
        <v/>
      </c>
    </row>
    <row r="189">
      <c r="G189" s="11" t="n"/>
      <c r="O189" s="7">
        <f>IF($E189="","",N189*W189/100)</f>
        <v/>
      </c>
      <c r="P189" s="7" t="n"/>
      <c r="V189" s="7" t="n"/>
      <c r="W189" s="7" t="n"/>
      <c r="Z189">
        <f>IF($E189="","",IF($AO189=1,0,IF($AN189=1,Settings!$C$6,Settings!$C$7))*100)</f>
        <v/>
      </c>
      <c r="AA189" s="7">
        <f>IF($E189="","",W189*Z189/100)</f>
        <v/>
      </c>
      <c r="AB189" s="7">
        <f>IF($E189="","",W189-AA189)</f>
        <v/>
      </c>
      <c r="AC189" s="7">
        <f>IF($E189="","",AB189-O189)</f>
        <v/>
      </c>
      <c r="AG189" s="7" t="n"/>
      <c r="AJ189" s="11" t="n"/>
      <c r="AL189">
        <f>IF($E189="","",IF(COUNTIF($E$2:$E189,$E189)=1,1,0))</f>
        <v/>
      </c>
      <c r="AM189">
        <f>IF($AL189=1,SUMPRODUCT(--($AP$2:$AP$301&lt;$AP189))+1,"")</f>
        <v/>
      </c>
      <c r="AN189">
        <f>IF($E189="","",IF(OR($S189=TRUE(),$S189="TRUE"),1,0))</f>
        <v/>
      </c>
      <c r="AO189">
        <f>IF($E189="","",IF($Y189="Yes",1,0))</f>
        <v/>
      </c>
      <c r="AP189">
        <f>IF($AL189=1,IFERROR(IF(VALUE($E189)&lt;100000000,VALUE($E189),1000000000),IFERROR(IF(VALUE(MID($E189,2,20))&lt;100000000,VALUE(MID($E189,2,20)),1000000000),1000000000))+ROW()/100000,"")</f>
        <v/>
      </c>
    </row>
    <row r="190">
      <c r="G190" s="11" t="n"/>
      <c r="O190" s="7">
        <f>IF($E190="","",N190*W190/100)</f>
        <v/>
      </c>
      <c r="P190" s="7" t="n"/>
      <c r="V190" s="7" t="n"/>
      <c r="W190" s="7" t="n"/>
      <c r="Z190">
        <f>IF($E190="","",IF($AO190=1,0,IF($AN190=1,Settings!$C$6,Settings!$C$7))*100)</f>
        <v/>
      </c>
      <c r="AA190" s="7">
        <f>IF($E190="","",W190*Z190/100)</f>
        <v/>
      </c>
      <c r="AB190" s="7">
        <f>IF($E190="","",W190-AA190)</f>
        <v/>
      </c>
      <c r="AC190" s="7">
        <f>IF($E190="","",AB190-O190)</f>
        <v/>
      </c>
      <c r="AG190" s="7" t="n"/>
      <c r="AJ190" s="11" t="n"/>
      <c r="AL190">
        <f>IF($E190="","",IF(COUNTIF($E$2:$E190,$E190)=1,1,0))</f>
        <v/>
      </c>
      <c r="AM190">
        <f>IF($AL190=1,SUMPRODUCT(--($AP$2:$AP$301&lt;$AP190))+1,"")</f>
        <v/>
      </c>
      <c r="AN190">
        <f>IF($E190="","",IF(OR($S190=TRUE(),$S190="TRUE"),1,0))</f>
        <v/>
      </c>
      <c r="AO190">
        <f>IF($E190="","",IF($Y190="Yes",1,0))</f>
        <v/>
      </c>
      <c r="AP190">
        <f>IF($AL190=1,IFERROR(IF(VALUE($E190)&lt;100000000,VALUE($E190),1000000000),IFERROR(IF(VALUE(MID($E190,2,20))&lt;100000000,VALUE(MID($E190,2,20)),1000000000),1000000000))+ROW()/100000,"")</f>
        <v/>
      </c>
    </row>
    <row r="191">
      <c r="G191" s="11" t="n"/>
      <c r="O191" s="7">
        <f>IF($E191="","",N191*W191/100)</f>
        <v/>
      </c>
      <c r="P191" s="7" t="n"/>
      <c r="V191" s="7" t="n"/>
      <c r="W191" s="7" t="n"/>
      <c r="Z191">
        <f>IF($E191="","",IF($AO191=1,0,IF($AN191=1,Settings!$C$6,Settings!$C$7))*100)</f>
        <v/>
      </c>
      <c r="AA191" s="7">
        <f>IF($E191="","",W191*Z191/100)</f>
        <v/>
      </c>
      <c r="AB191" s="7">
        <f>IF($E191="","",W191-AA191)</f>
        <v/>
      </c>
      <c r="AC191" s="7">
        <f>IF($E191="","",AB191-O191)</f>
        <v/>
      </c>
      <c r="AG191" s="7" t="n"/>
      <c r="AJ191" s="11" t="n"/>
      <c r="AL191">
        <f>IF($E191="","",IF(COUNTIF($E$2:$E191,$E191)=1,1,0))</f>
        <v/>
      </c>
      <c r="AM191">
        <f>IF($AL191=1,SUMPRODUCT(--($AP$2:$AP$301&lt;$AP191))+1,"")</f>
        <v/>
      </c>
      <c r="AN191">
        <f>IF($E191="","",IF(OR($S191=TRUE(),$S191="TRUE"),1,0))</f>
        <v/>
      </c>
      <c r="AO191">
        <f>IF($E191="","",IF($Y191="Yes",1,0))</f>
        <v/>
      </c>
      <c r="AP191">
        <f>IF($AL191=1,IFERROR(IF(VALUE($E191)&lt;100000000,VALUE($E191),1000000000),IFERROR(IF(VALUE(MID($E191,2,20))&lt;100000000,VALUE(MID($E191,2,20)),1000000000),1000000000))+ROW()/100000,"")</f>
        <v/>
      </c>
    </row>
    <row r="192">
      <c r="G192" s="11" t="n"/>
      <c r="O192" s="7">
        <f>IF($E192="","",N192*W192/100)</f>
        <v/>
      </c>
      <c r="P192" s="7" t="n"/>
      <c r="V192" s="7" t="n"/>
      <c r="W192" s="7" t="n"/>
      <c r="Z192">
        <f>IF($E192="","",IF($AO192=1,0,IF($AN192=1,Settings!$C$6,Settings!$C$7))*100)</f>
        <v/>
      </c>
      <c r="AA192" s="7">
        <f>IF($E192="","",W192*Z192/100)</f>
        <v/>
      </c>
      <c r="AB192" s="7">
        <f>IF($E192="","",W192-AA192)</f>
        <v/>
      </c>
      <c r="AC192" s="7">
        <f>IF($E192="","",AB192-O192)</f>
        <v/>
      </c>
      <c r="AG192" s="7" t="n"/>
      <c r="AJ192" s="11" t="n"/>
      <c r="AL192">
        <f>IF($E192="","",IF(COUNTIF($E$2:$E192,$E192)=1,1,0))</f>
        <v/>
      </c>
      <c r="AM192">
        <f>IF($AL192=1,SUMPRODUCT(--($AP$2:$AP$301&lt;$AP192))+1,"")</f>
        <v/>
      </c>
      <c r="AN192">
        <f>IF($E192="","",IF(OR($S192=TRUE(),$S192="TRUE"),1,0))</f>
        <v/>
      </c>
      <c r="AO192">
        <f>IF($E192="","",IF($Y192="Yes",1,0))</f>
        <v/>
      </c>
      <c r="AP192">
        <f>IF($AL192=1,IFERROR(IF(VALUE($E192)&lt;100000000,VALUE($E192),1000000000),IFERROR(IF(VALUE(MID($E192,2,20))&lt;100000000,VALUE(MID($E192,2,20)),1000000000),1000000000))+ROW()/100000,"")</f>
        <v/>
      </c>
    </row>
    <row r="193">
      <c r="G193" s="11" t="n"/>
      <c r="O193" s="7">
        <f>IF($E193="","",N193*W193/100)</f>
        <v/>
      </c>
      <c r="P193" s="7" t="n"/>
      <c r="V193" s="7" t="n"/>
      <c r="W193" s="7" t="n"/>
      <c r="Z193">
        <f>IF($E193="","",IF($AO193=1,0,IF($AN193=1,Settings!$C$6,Settings!$C$7))*100)</f>
        <v/>
      </c>
      <c r="AA193" s="7">
        <f>IF($E193="","",W193*Z193/100)</f>
        <v/>
      </c>
      <c r="AB193" s="7">
        <f>IF($E193="","",W193-AA193)</f>
        <v/>
      </c>
      <c r="AC193" s="7">
        <f>IF($E193="","",AB193-O193)</f>
        <v/>
      </c>
      <c r="AG193" s="7" t="n"/>
      <c r="AJ193" s="11" t="n"/>
      <c r="AL193">
        <f>IF($E193="","",IF(COUNTIF($E$2:$E193,$E193)=1,1,0))</f>
        <v/>
      </c>
      <c r="AM193">
        <f>IF($AL193=1,SUMPRODUCT(--($AP$2:$AP$301&lt;$AP193))+1,"")</f>
        <v/>
      </c>
      <c r="AN193">
        <f>IF($E193="","",IF(OR($S193=TRUE(),$S193="TRUE"),1,0))</f>
        <v/>
      </c>
      <c r="AO193">
        <f>IF($E193="","",IF($Y193="Yes",1,0))</f>
        <v/>
      </c>
      <c r="AP193">
        <f>IF($AL193=1,IFERROR(IF(VALUE($E193)&lt;100000000,VALUE($E193),1000000000),IFERROR(IF(VALUE(MID($E193,2,20))&lt;100000000,VALUE(MID($E193,2,20)),1000000000),1000000000))+ROW()/100000,"")</f>
        <v/>
      </c>
    </row>
    <row r="194">
      <c r="G194" s="11" t="n"/>
      <c r="O194" s="7">
        <f>IF($E194="","",N194*W194/100)</f>
        <v/>
      </c>
      <c r="P194" s="7" t="n"/>
      <c r="V194" s="7" t="n"/>
      <c r="W194" s="7" t="n"/>
      <c r="Z194">
        <f>IF($E194="","",IF($AO194=1,0,IF($AN194=1,Settings!$C$6,Settings!$C$7))*100)</f>
        <v/>
      </c>
      <c r="AA194" s="7">
        <f>IF($E194="","",W194*Z194/100)</f>
        <v/>
      </c>
      <c r="AB194" s="7">
        <f>IF($E194="","",W194-AA194)</f>
        <v/>
      </c>
      <c r="AC194" s="7">
        <f>IF($E194="","",AB194-O194)</f>
        <v/>
      </c>
      <c r="AG194" s="7" t="n"/>
      <c r="AJ194" s="11" t="n"/>
      <c r="AL194">
        <f>IF($E194="","",IF(COUNTIF($E$2:$E194,$E194)=1,1,0))</f>
        <v/>
      </c>
      <c r="AM194">
        <f>IF($AL194=1,SUMPRODUCT(--($AP$2:$AP$301&lt;$AP194))+1,"")</f>
        <v/>
      </c>
      <c r="AN194">
        <f>IF($E194="","",IF(OR($S194=TRUE(),$S194="TRUE"),1,0))</f>
        <v/>
      </c>
      <c r="AO194">
        <f>IF($E194="","",IF($Y194="Yes",1,0))</f>
        <v/>
      </c>
      <c r="AP194">
        <f>IF($AL194=1,IFERROR(IF(VALUE($E194)&lt;100000000,VALUE($E194),1000000000),IFERROR(IF(VALUE(MID($E194,2,20))&lt;100000000,VALUE(MID($E194,2,20)),1000000000),1000000000))+ROW()/100000,"")</f>
        <v/>
      </c>
    </row>
    <row r="195">
      <c r="G195" s="11" t="n"/>
      <c r="O195" s="7">
        <f>IF($E195="","",N195*W195/100)</f>
        <v/>
      </c>
      <c r="P195" s="7" t="n"/>
      <c r="V195" s="7" t="n"/>
      <c r="W195" s="7" t="n"/>
      <c r="Z195">
        <f>IF($E195="","",IF($AO195=1,0,IF($AN195=1,Settings!$C$6,Settings!$C$7))*100)</f>
        <v/>
      </c>
      <c r="AA195" s="7">
        <f>IF($E195="","",W195*Z195/100)</f>
        <v/>
      </c>
      <c r="AB195" s="7">
        <f>IF($E195="","",W195-AA195)</f>
        <v/>
      </c>
      <c r="AC195" s="7">
        <f>IF($E195="","",AB195-O195)</f>
        <v/>
      </c>
      <c r="AG195" s="7" t="n"/>
      <c r="AJ195" s="11" t="n"/>
      <c r="AL195">
        <f>IF($E195="","",IF(COUNTIF($E$2:$E195,$E195)=1,1,0))</f>
        <v/>
      </c>
      <c r="AM195">
        <f>IF($AL195=1,SUMPRODUCT(--($AP$2:$AP$301&lt;$AP195))+1,"")</f>
        <v/>
      </c>
      <c r="AN195">
        <f>IF($E195="","",IF(OR($S195=TRUE(),$S195="TRUE"),1,0))</f>
        <v/>
      </c>
      <c r="AO195">
        <f>IF($E195="","",IF($Y195="Yes",1,0))</f>
        <v/>
      </c>
      <c r="AP195">
        <f>IF($AL195=1,IFERROR(IF(VALUE($E195)&lt;100000000,VALUE($E195),1000000000),IFERROR(IF(VALUE(MID($E195,2,20))&lt;100000000,VALUE(MID($E195,2,20)),1000000000),1000000000))+ROW()/100000,"")</f>
        <v/>
      </c>
    </row>
    <row r="196">
      <c r="G196" s="11" t="n"/>
      <c r="O196" s="7">
        <f>IF($E196="","",N196*W196/100)</f>
        <v/>
      </c>
      <c r="P196" s="7" t="n"/>
      <c r="V196" s="7" t="n"/>
      <c r="W196" s="7" t="n"/>
      <c r="Z196">
        <f>IF($E196="","",IF($AO196=1,0,IF($AN196=1,Settings!$C$6,Settings!$C$7))*100)</f>
        <v/>
      </c>
      <c r="AA196" s="7">
        <f>IF($E196="","",W196*Z196/100)</f>
        <v/>
      </c>
      <c r="AB196" s="7">
        <f>IF($E196="","",W196-AA196)</f>
        <v/>
      </c>
      <c r="AC196" s="7">
        <f>IF($E196="","",AB196-O196)</f>
        <v/>
      </c>
      <c r="AG196" s="7" t="n"/>
      <c r="AJ196" s="11" t="n"/>
      <c r="AL196">
        <f>IF($E196="","",IF(COUNTIF($E$2:$E196,$E196)=1,1,0))</f>
        <v/>
      </c>
      <c r="AM196">
        <f>IF($AL196=1,SUMPRODUCT(--($AP$2:$AP$301&lt;$AP196))+1,"")</f>
        <v/>
      </c>
      <c r="AN196">
        <f>IF($E196="","",IF(OR($S196=TRUE(),$S196="TRUE"),1,0))</f>
        <v/>
      </c>
      <c r="AO196">
        <f>IF($E196="","",IF($Y196="Yes",1,0))</f>
        <v/>
      </c>
      <c r="AP196">
        <f>IF($AL196=1,IFERROR(IF(VALUE($E196)&lt;100000000,VALUE($E196),1000000000),IFERROR(IF(VALUE(MID($E196,2,20))&lt;100000000,VALUE(MID($E196,2,20)),1000000000),1000000000))+ROW()/100000,"")</f>
        <v/>
      </c>
    </row>
    <row r="197">
      <c r="G197" s="11" t="n"/>
      <c r="O197" s="7">
        <f>IF($E197="","",N197*W197/100)</f>
        <v/>
      </c>
      <c r="P197" s="7" t="n"/>
      <c r="V197" s="7" t="n"/>
      <c r="W197" s="7" t="n"/>
      <c r="Z197">
        <f>IF($E197="","",IF($AO197=1,0,IF($AN197=1,Settings!$C$6,Settings!$C$7))*100)</f>
        <v/>
      </c>
      <c r="AA197" s="7">
        <f>IF($E197="","",W197*Z197/100)</f>
        <v/>
      </c>
      <c r="AB197" s="7">
        <f>IF($E197="","",W197-AA197)</f>
        <v/>
      </c>
      <c r="AC197" s="7">
        <f>IF($E197="","",AB197-O197)</f>
        <v/>
      </c>
      <c r="AG197" s="7" t="n"/>
      <c r="AJ197" s="11" t="n"/>
      <c r="AL197">
        <f>IF($E197="","",IF(COUNTIF($E$2:$E197,$E197)=1,1,0))</f>
        <v/>
      </c>
      <c r="AM197">
        <f>IF($AL197=1,SUMPRODUCT(--($AP$2:$AP$301&lt;$AP197))+1,"")</f>
        <v/>
      </c>
      <c r="AN197">
        <f>IF($E197="","",IF(OR($S197=TRUE(),$S197="TRUE"),1,0))</f>
        <v/>
      </c>
      <c r="AO197">
        <f>IF($E197="","",IF($Y197="Yes",1,0))</f>
        <v/>
      </c>
      <c r="AP197">
        <f>IF($AL197=1,IFERROR(IF(VALUE($E197)&lt;100000000,VALUE($E197),1000000000),IFERROR(IF(VALUE(MID($E197,2,20))&lt;100000000,VALUE(MID($E197,2,20)),1000000000),1000000000))+ROW()/100000,"")</f>
        <v/>
      </c>
    </row>
    <row r="198">
      <c r="G198" s="11" t="n"/>
      <c r="O198" s="7">
        <f>IF($E198="","",N198*W198/100)</f>
        <v/>
      </c>
      <c r="P198" s="7" t="n"/>
      <c r="V198" s="7" t="n"/>
      <c r="W198" s="7" t="n"/>
      <c r="Z198">
        <f>IF($E198="","",IF($AO198=1,0,IF($AN198=1,Settings!$C$6,Settings!$C$7))*100)</f>
        <v/>
      </c>
      <c r="AA198" s="7">
        <f>IF($E198="","",W198*Z198/100)</f>
        <v/>
      </c>
      <c r="AB198" s="7">
        <f>IF($E198="","",W198-AA198)</f>
        <v/>
      </c>
      <c r="AC198" s="7">
        <f>IF($E198="","",AB198-O198)</f>
        <v/>
      </c>
      <c r="AG198" s="7" t="n"/>
      <c r="AJ198" s="11" t="n"/>
      <c r="AL198">
        <f>IF($E198="","",IF(COUNTIF($E$2:$E198,$E198)=1,1,0))</f>
        <v/>
      </c>
      <c r="AM198">
        <f>IF($AL198=1,SUMPRODUCT(--($AP$2:$AP$301&lt;$AP198))+1,"")</f>
        <v/>
      </c>
      <c r="AN198">
        <f>IF($E198="","",IF(OR($S198=TRUE(),$S198="TRUE"),1,0))</f>
        <v/>
      </c>
      <c r="AO198">
        <f>IF($E198="","",IF($Y198="Yes",1,0))</f>
        <v/>
      </c>
      <c r="AP198">
        <f>IF($AL198=1,IFERROR(IF(VALUE($E198)&lt;100000000,VALUE($E198),1000000000),IFERROR(IF(VALUE(MID($E198,2,20))&lt;100000000,VALUE(MID($E198,2,20)),1000000000),1000000000))+ROW()/100000,"")</f>
        <v/>
      </c>
    </row>
    <row r="199">
      <c r="G199" s="11" t="n"/>
      <c r="O199" s="7">
        <f>IF($E199="","",N199*W199/100)</f>
        <v/>
      </c>
      <c r="P199" s="7" t="n"/>
      <c r="V199" s="7" t="n"/>
      <c r="W199" s="7" t="n"/>
      <c r="Z199">
        <f>IF($E199="","",IF($AO199=1,0,IF($AN199=1,Settings!$C$6,Settings!$C$7))*100)</f>
        <v/>
      </c>
      <c r="AA199" s="7">
        <f>IF($E199="","",W199*Z199/100)</f>
        <v/>
      </c>
      <c r="AB199" s="7">
        <f>IF($E199="","",W199-AA199)</f>
        <v/>
      </c>
      <c r="AC199" s="7">
        <f>IF($E199="","",AB199-O199)</f>
        <v/>
      </c>
      <c r="AG199" s="7" t="n"/>
      <c r="AJ199" s="11" t="n"/>
      <c r="AL199">
        <f>IF($E199="","",IF(COUNTIF($E$2:$E199,$E199)=1,1,0))</f>
        <v/>
      </c>
      <c r="AM199">
        <f>IF($AL199=1,SUMPRODUCT(--($AP$2:$AP$301&lt;$AP199))+1,"")</f>
        <v/>
      </c>
      <c r="AN199">
        <f>IF($E199="","",IF(OR($S199=TRUE(),$S199="TRUE"),1,0))</f>
        <v/>
      </c>
      <c r="AO199">
        <f>IF($E199="","",IF($Y199="Yes",1,0))</f>
        <v/>
      </c>
      <c r="AP199">
        <f>IF($AL199=1,IFERROR(IF(VALUE($E199)&lt;100000000,VALUE($E199),1000000000),IFERROR(IF(VALUE(MID($E199,2,20))&lt;100000000,VALUE(MID($E199,2,20)),1000000000),1000000000))+ROW()/100000,"")</f>
        <v/>
      </c>
    </row>
    <row r="200">
      <c r="G200" s="11" t="n"/>
      <c r="O200" s="7">
        <f>IF($E200="","",N200*W200/100)</f>
        <v/>
      </c>
      <c r="P200" s="7" t="n"/>
      <c r="V200" s="7" t="n"/>
      <c r="W200" s="7" t="n"/>
      <c r="Z200">
        <f>IF($E200="","",IF($AO200=1,0,IF($AN200=1,Settings!$C$6,Settings!$C$7))*100)</f>
        <v/>
      </c>
      <c r="AA200" s="7">
        <f>IF($E200="","",W200*Z200/100)</f>
        <v/>
      </c>
      <c r="AB200" s="7">
        <f>IF($E200="","",W200-AA200)</f>
        <v/>
      </c>
      <c r="AC200" s="7">
        <f>IF($E200="","",AB200-O200)</f>
        <v/>
      </c>
      <c r="AG200" s="7" t="n"/>
      <c r="AJ200" s="11" t="n"/>
      <c r="AL200">
        <f>IF($E200="","",IF(COUNTIF($E$2:$E200,$E200)=1,1,0))</f>
        <v/>
      </c>
      <c r="AM200">
        <f>IF($AL200=1,SUMPRODUCT(--($AP$2:$AP$301&lt;$AP200))+1,"")</f>
        <v/>
      </c>
      <c r="AN200">
        <f>IF($E200="","",IF(OR($S200=TRUE(),$S200="TRUE"),1,0))</f>
        <v/>
      </c>
      <c r="AO200">
        <f>IF($E200="","",IF($Y200="Yes",1,0))</f>
        <v/>
      </c>
      <c r="AP200">
        <f>IF($AL200=1,IFERROR(IF(VALUE($E200)&lt;100000000,VALUE($E200),1000000000),IFERROR(IF(VALUE(MID($E200,2,20))&lt;100000000,VALUE(MID($E200,2,20)),1000000000),1000000000))+ROW()/100000,"")</f>
        <v/>
      </c>
    </row>
    <row r="201">
      <c r="G201" s="11" t="n"/>
      <c r="O201" s="7">
        <f>IF($E201="","",N201*W201/100)</f>
        <v/>
      </c>
      <c r="P201" s="7" t="n"/>
      <c r="V201" s="7" t="n"/>
      <c r="W201" s="7" t="n"/>
      <c r="Z201">
        <f>IF($E201="","",IF($AO201=1,0,IF($AN201=1,Settings!$C$6,Settings!$C$7))*100)</f>
        <v/>
      </c>
      <c r="AA201" s="7">
        <f>IF($E201="","",W201*Z201/100)</f>
        <v/>
      </c>
      <c r="AB201" s="7">
        <f>IF($E201="","",W201-AA201)</f>
        <v/>
      </c>
      <c r="AC201" s="7">
        <f>IF($E201="","",AB201-O201)</f>
        <v/>
      </c>
      <c r="AG201" s="7" t="n"/>
      <c r="AJ201" s="11" t="n"/>
      <c r="AL201">
        <f>IF($E201="","",IF(COUNTIF($E$2:$E201,$E201)=1,1,0))</f>
        <v/>
      </c>
      <c r="AM201">
        <f>IF($AL201=1,SUMPRODUCT(--($AP$2:$AP$301&lt;$AP201))+1,"")</f>
        <v/>
      </c>
      <c r="AN201">
        <f>IF($E201="","",IF(OR($S201=TRUE(),$S201="TRUE"),1,0))</f>
        <v/>
      </c>
      <c r="AO201">
        <f>IF($E201="","",IF($Y201="Yes",1,0))</f>
        <v/>
      </c>
      <c r="AP201">
        <f>IF($AL201=1,IFERROR(IF(VALUE($E201)&lt;100000000,VALUE($E201),1000000000),IFERROR(IF(VALUE(MID($E201,2,20))&lt;100000000,VALUE(MID($E201,2,20)),1000000000),1000000000))+ROW()/100000,"")</f>
        <v/>
      </c>
    </row>
    <row r="202">
      <c r="G202" s="11" t="n"/>
      <c r="O202" s="7">
        <f>IF($E202="","",N202*W202/100)</f>
        <v/>
      </c>
      <c r="P202" s="7" t="n"/>
      <c r="V202" s="7" t="n"/>
      <c r="W202" s="7" t="n"/>
      <c r="Z202">
        <f>IF($E202="","",IF($AO202=1,0,IF($AN202=1,Settings!$C$6,Settings!$C$7))*100)</f>
        <v/>
      </c>
      <c r="AA202" s="7">
        <f>IF($E202="","",W202*Z202/100)</f>
        <v/>
      </c>
      <c r="AB202" s="7">
        <f>IF($E202="","",W202-AA202)</f>
        <v/>
      </c>
      <c r="AC202" s="7">
        <f>IF($E202="","",AB202-O202)</f>
        <v/>
      </c>
      <c r="AG202" s="7" t="n"/>
      <c r="AJ202" s="11" t="n"/>
      <c r="AL202">
        <f>IF($E202="","",IF(COUNTIF($E$2:$E202,$E202)=1,1,0))</f>
        <v/>
      </c>
      <c r="AM202">
        <f>IF($AL202=1,SUMPRODUCT(--($AP$2:$AP$301&lt;$AP202))+1,"")</f>
        <v/>
      </c>
      <c r="AN202">
        <f>IF($E202="","",IF(OR($S202=TRUE(),$S202="TRUE"),1,0))</f>
        <v/>
      </c>
      <c r="AO202">
        <f>IF($E202="","",IF($Y202="Yes",1,0))</f>
        <v/>
      </c>
      <c r="AP202">
        <f>IF($AL202=1,IFERROR(IF(VALUE($E202)&lt;100000000,VALUE($E202),1000000000),IFERROR(IF(VALUE(MID($E202,2,20))&lt;100000000,VALUE(MID($E202,2,20)),1000000000),1000000000))+ROW()/100000,"")</f>
        <v/>
      </c>
    </row>
    <row r="203">
      <c r="G203" s="11" t="n"/>
      <c r="O203" s="7">
        <f>IF($E203="","",N203*W203/100)</f>
        <v/>
      </c>
      <c r="P203" s="7" t="n"/>
      <c r="V203" s="7" t="n"/>
      <c r="W203" s="7" t="n"/>
      <c r="Z203">
        <f>IF($E203="","",IF($AO203=1,0,IF($AN203=1,Settings!$C$6,Settings!$C$7))*100)</f>
        <v/>
      </c>
      <c r="AA203" s="7">
        <f>IF($E203="","",W203*Z203/100)</f>
        <v/>
      </c>
      <c r="AB203" s="7">
        <f>IF($E203="","",W203-AA203)</f>
        <v/>
      </c>
      <c r="AC203" s="7">
        <f>IF($E203="","",AB203-O203)</f>
        <v/>
      </c>
      <c r="AG203" s="7" t="n"/>
      <c r="AJ203" s="11" t="n"/>
      <c r="AL203">
        <f>IF($E203="","",IF(COUNTIF($E$2:$E203,$E203)=1,1,0))</f>
        <v/>
      </c>
      <c r="AM203">
        <f>IF($AL203=1,SUMPRODUCT(--($AP$2:$AP$301&lt;$AP203))+1,"")</f>
        <v/>
      </c>
      <c r="AN203">
        <f>IF($E203="","",IF(OR($S203=TRUE(),$S203="TRUE"),1,0))</f>
        <v/>
      </c>
      <c r="AO203">
        <f>IF($E203="","",IF($Y203="Yes",1,0))</f>
        <v/>
      </c>
      <c r="AP203">
        <f>IF($AL203=1,IFERROR(IF(VALUE($E203)&lt;100000000,VALUE($E203),1000000000),IFERROR(IF(VALUE(MID($E203,2,20))&lt;100000000,VALUE(MID($E203,2,20)),1000000000),1000000000))+ROW()/100000,"")</f>
        <v/>
      </c>
    </row>
    <row r="204">
      <c r="G204" s="11" t="n"/>
      <c r="O204" s="7">
        <f>IF($E204="","",N204*W204/100)</f>
        <v/>
      </c>
      <c r="P204" s="7" t="n"/>
      <c r="V204" s="7" t="n"/>
      <c r="W204" s="7" t="n"/>
      <c r="Z204">
        <f>IF($E204="","",IF($AO204=1,0,IF($AN204=1,Settings!$C$6,Settings!$C$7))*100)</f>
        <v/>
      </c>
      <c r="AA204" s="7">
        <f>IF($E204="","",W204*Z204/100)</f>
        <v/>
      </c>
      <c r="AB204" s="7">
        <f>IF($E204="","",W204-AA204)</f>
        <v/>
      </c>
      <c r="AC204" s="7">
        <f>IF($E204="","",AB204-O204)</f>
        <v/>
      </c>
      <c r="AG204" s="7" t="n"/>
      <c r="AJ204" s="11" t="n"/>
      <c r="AL204">
        <f>IF($E204="","",IF(COUNTIF($E$2:$E204,$E204)=1,1,0))</f>
        <v/>
      </c>
      <c r="AM204">
        <f>IF($AL204=1,SUMPRODUCT(--($AP$2:$AP$301&lt;$AP204))+1,"")</f>
        <v/>
      </c>
      <c r="AN204">
        <f>IF($E204="","",IF(OR($S204=TRUE(),$S204="TRUE"),1,0))</f>
        <v/>
      </c>
      <c r="AO204">
        <f>IF($E204="","",IF($Y204="Yes",1,0))</f>
        <v/>
      </c>
      <c r="AP204">
        <f>IF($AL204=1,IFERROR(IF(VALUE($E204)&lt;100000000,VALUE($E204),1000000000),IFERROR(IF(VALUE(MID($E204,2,20))&lt;100000000,VALUE(MID($E204,2,20)),1000000000),1000000000))+ROW()/100000,"")</f>
        <v/>
      </c>
    </row>
    <row r="205">
      <c r="G205" s="11" t="n"/>
      <c r="O205" s="7">
        <f>IF($E205="","",N205*W205/100)</f>
        <v/>
      </c>
      <c r="P205" s="7" t="n"/>
      <c r="V205" s="7" t="n"/>
      <c r="W205" s="7" t="n"/>
      <c r="Z205">
        <f>IF($E205="","",IF($AO205=1,0,IF($AN205=1,Settings!$C$6,Settings!$C$7))*100)</f>
        <v/>
      </c>
      <c r="AA205" s="7">
        <f>IF($E205="","",W205*Z205/100)</f>
        <v/>
      </c>
      <c r="AB205" s="7">
        <f>IF($E205="","",W205-AA205)</f>
        <v/>
      </c>
      <c r="AC205" s="7">
        <f>IF($E205="","",AB205-O205)</f>
        <v/>
      </c>
      <c r="AG205" s="7" t="n"/>
      <c r="AJ205" s="11" t="n"/>
      <c r="AL205">
        <f>IF($E205="","",IF(COUNTIF($E$2:$E205,$E205)=1,1,0))</f>
        <v/>
      </c>
      <c r="AM205">
        <f>IF($AL205=1,SUMPRODUCT(--($AP$2:$AP$301&lt;$AP205))+1,"")</f>
        <v/>
      </c>
      <c r="AN205">
        <f>IF($E205="","",IF(OR($S205=TRUE(),$S205="TRUE"),1,0))</f>
        <v/>
      </c>
      <c r="AO205">
        <f>IF($E205="","",IF($Y205="Yes",1,0))</f>
        <v/>
      </c>
      <c r="AP205">
        <f>IF($AL205=1,IFERROR(IF(VALUE($E205)&lt;100000000,VALUE($E205),1000000000),IFERROR(IF(VALUE(MID($E205,2,20))&lt;100000000,VALUE(MID($E205,2,20)),1000000000),1000000000))+ROW()/100000,"")</f>
        <v/>
      </c>
    </row>
    <row r="206">
      <c r="G206" s="11" t="n"/>
      <c r="O206" s="7">
        <f>IF($E206="","",N206*W206/100)</f>
        <v/>
      </c>
      <c r="P206" s="7" t="n"/>
      <c r="V206" s="7" t="n"/>
      <c r="W206" s="7" t="n"/>
      <c r="Z206">
        <f>IF($E206="","",IF($AO206=1,0,IF($AN206=1,Settings!$C$6,Settings!$C$7))*100)</f>
        <v/>
      </c>
      <c r="AA206" s="7">
        <f>IF($E206="","",W206*Z206/100)</f>
        <v/>
      </c>
      <c r="AB206" s="7">
        <f>IF($E206="","",W206-AA206)</f>
        <v/>
      </c>
      <c r="AC206" s="7">
        <f>IF($E206="","",AB206-O206)</f>
        <v/>
      </c>
      <c r="AG206" s="7" t="n"/>
      <c r="AJ206" s="11" t="n"/>
      <c r="AL206">
        <f>IF($E206="","",IF(COUNTIF($E$2:$E206,$E206)=1,1,0))</f>
        <v/>
      </c>
      <c r="AM206">
        <f>IF($AL206=1,SUMPRODUCT(--($AP$2:$AP$301&lt;$AP206))+1,"")</f>
        <v/>
      </c>
      <c r="AN206">
        <f>IF($E206="","",IF(OR($S206=TRUE(),$S206="TRUE"),1,0))</f>
        <v/>
      </c>
      <c r="AO206">
        <f>IF($E206="","",IF($Y206="Yes",1,0))</f>
        <v/>
      </c>
      <c r="AP206">
        <f>IF($AL206=1,IFERROR(IF(VALUE($E206)&lt;100000000,VALUE($E206),1000000000),IFERROR(IF(VALUE(MID($E206,2,20))&lt;100000000,VALUE(MID($E206,2,20)),1000000000),1000000000))+ROW()/100000,"")</f>
        <v/>
      </c>
    </row>
    <row r="207">
      <c r="G207" s="11" t="n"/>
      <c r="O207" s="7">
        <f>IF($E207="","",N207*W207/100)</f>
        <v/>
      </c>
      <c r="P207" s="7" t="n"/>
      <c r="V207" s="7" t="n"/>
      <c r="W207" s="7" t="n"/>
      <c r="Z207">
        <f>IF($E207="","",IF($AO207=1,0,IF($AN207=1,Settings!$C$6,Settings!$C$7))*100)</f>
        <v/>
      </c>
      <c r="AA207" s="7">
        <f>IF($E207="","",W207*Z207/100)</f>
        <v/>
      </c>
      <c r="AB207" s="7">
        <f>IF($E207="","",W207-AA207)</f>
        <v/>
      </c>
      <c r="AC207" s="7">
        <f>IF($E207="","",AB207-O207)</f>
        <v/>
      </c>
      <c r="AG207" s="7" t="n"/>
      <c r="AJ207" s="11" t="n"/>
      <c r="AL207">
        <f>IF($E207="","",IF(COUNTIF($E$2:$E207,$E207)=1,1,0))</f>
        <v/>
      </c>
      <c r="AM207">
        <f>IF($AL207=1,SUMPRODUCT(--($AP$2:$AP$301&lt;$AP207))+1,"")</f>
        <v/>
      </c>
      <c r="AN207">
        <f>IF($E207="","",IF(OR($S207=TRUE(),$S207="TRUE"),1,0))</f>
        <v/>
      </c>
      <c r="AO207">
        <f>IF($E207="","",IF($Y207="Yes",1,0))</f>
        <v/>
      </c>
      <c r="AP207">
        <f>IF($AL207=1,IFERROR(IF(VALUE($E207)&lt;100000000,VALUE($E207),1000000000),IFERROR(IF(VALUE(MID($E207,2,20))&lt;100000000,VALUE(MID($E207,2,20)),1000000000),1000000000))+ROW()/100000,"")</f>
        <v/>
      </c>
    </row>
    <row r="208">
      <c r="G208" s="11" t="n"/>
      <c r="O208" s="7">
        <f>IF($E208="","",N208*W208/100)</f>
        <v/>
      </c>
      <c r="P208" s="7" t="n"/>
      <c r="V208" s="7" t="n"/>
      <c r="W208" s="7" t="n"/>
      <c r="Z208">
        <f>IF($E208="","",IF($AO208=1,0,IF($AN208=1,Settings!$C$6,Settings!$C$7))*100)</f>
        <v/>
      </c>
      <c r="AA208" s="7">
        <f>IF($E208="","",W208*Z208/100)</f>
        <v/>
      </c>
      <c r="AB208" s="7">
        <f>IF($E208="","",W208-AA208)</f>
        <v/>
      </c>
      <c r="AC208" s="7">
        <f>IF($E208="","",AB208-O208)</f>
        <v/>
      </c>
      <c r="AG208" s="7" t="n"/>
      <c r="AJ208" s="11" t="n"/>
      <c r="AL208">
        <f>IF($E208="","",IF(COUNTIF($E$2:$E208,$E208)=1,1,0))</f>
        <v/>
      </c>
      <c r="AM208">
        <f>IF($AL208=1,SUMPRODUCT(--($AP$2:$AP$301&lt;$AP208))+1,"")</f>
        <v/>
      </c>
      <c r="AN208">
        <f>IF($E208="","",IF(OR($S208=TRUE(),$S208="TRUE"),1,0))</f>
        <v/>
      </c>
      <c r="AO208">
        <f>IF($E208="","",IF($Y208="Yes",1,0))</f>
        <v/>
      </c>
      <c r="AP208">
        <f>IF($AL208=1,IFERROR(IF(VALUE($E208)&lt;100000000,VALUE($E208),1000000000),IFERROR(IF(VALUE(MID($E208,2,20))&lt;100000000,VALUE(MID($E208,2,20)),1000000000),1000000000))+ROW()/100000,"")</f>
        <v/>
      </c>
    </row>
    <row r="209">
      <c r="G209" s="11" t="n"/>
      <c r="O209" s="7">
        <f>IF($E209="","",N209*W209/100)</f>
        <v/>
      </c>
      <c r="P209" s="7" t="n"/>
      <c r="V209" s="7" t="n"/>
      <c r="W209" s="7" t="n"/>
      <c r="Z209">
        <f>IF($E209="","",IF($AO209=1,0,IF($AN209=1,Settings!$C$6,Settings!$C$7))*100)</f>
        <v/>
      </c>
      <c r="AA209" s="7">
        <f>IF($E209="","",W209*Z209/100)</f>
        <v/>
      </c>
      <c r="AB209" s="7">
        <f>IF($E209="","",W209-AA209)</f>
        <v/>
      </c>
      <c r="AC209" s="7">
        <f>IF($E209="","",AB209-O209)</f>
        <v/>
      </c>
      <c r="AG209" s="7" t="n"/>
      <c r="AJ209" s="11" t="n"/>
      <c r="AL209">
        <f>IF($E209="","",IF(COUNTIF($E$2:$E209,$E209)=1,1,0))</f>
        <v/>
      </c>
      <c r="AM209">
        <f>IF($AL209=1,SUMPRODUCT(--($AP$2:$AP$301&lt;$AP209))+1,"")</f>
        <v/>
      </c>
      <c r="AN209">
        <f>IF($E209="","",IF(OR($S209=TRUE(),$S209="TRUE"),1,0))</f>
        <v/>
      </c>
      <c r="AO209">
        <f>IF($E209="","",IF($Y209="Yes",1,0))</f>
        <v/>
      </c>
      <c r="AP209">
        <f>IF($AL209=1,IFERROR(IF(VALUE($E209)&lt;100000000,VALUE($E209),1000000000),IFERROR(IF(VALUE(MID($E209,2,20))&lt;100000000,VALUE(MID($E209,2,20)),1000000000),1000000000))+ROW()/100000,"")</f>
        <v/>
      </c>
    </row>
    <row r="210">
      <c r="G210" s="11" t="n"/>
      <c r="O210" s="7">
        <f>IF($E210="","",N210*W210/100)</f>
        <v/>
      </c>
      <c r="P210" s="7" t="n"/>
      <c r="V210" s="7" t="n"/>
      <c r="W210" s="7" t="n"/>
      <c r="Z210">
        <f>IF($E210="","",IF($AO210=1,0,IF($AN210=1,Settings!$C$6,Settings!$C$7))*100)</f>
        <v/>
      </c>
      <c r="AA210" s="7">
        <f>IF($E210="","",W210*Z210/100)</f>
        <v/>
      </c>
      <c r="AB210" s="7">
        <f>IF($E210="","",W210-AA210)</f>
        <v/>
      </c>
      <c r="AC210" s="7">
        <f>IF($E210="","",AB210-O210)</f>
        <v/>
      </c>
      <c r="AG210" s="7" t="n"/>
      <c r="AJ210" s="11" t="n"/>
      <c r="AL210">
        <f>IF($E210="","",IF(COUNTIF($E$2:$E210,$E210)=1,1,0))</f>
        <v/>
      </c>
      <c r="AM210">
        <f>IF($AL210=1,SUMPRODUCT(--($AP$2:$AP$301&lt;$AP210))+1,"")</f>
        <v/>
      </c>
      <c r="AN210">
        <f>IF($E210="","",IF(OR($S210=TRUE(),$S210="TRUE"),1,0))</f>
        <v/>
      </c>
      <c r="AO210">
        <f>IF($E210="","",IF($Y210="Yes",1,0))</f>
        <v/>
      </c>
      <c r="AP210">
        <f>IF($AL210=1,IFERROR(IF(VALUE($E210)&lt;100000000,VALUE($E210),1000000000),IFERROR(IF(VALUE(MID($E210,2,20))&lt;100000000,VALUE(MID($E210,2,20)),1000000000),1000000000))+ROW()/100000,"")</f>
        <v/>
      </c>
    </row>
    <row r="211">
      <c r="G211" s="11" t="n"/>
      <c r="O211" s="7">
        <f>IF($E211="","",N211*W211/100)</f>
        <v/>
      </c>
      <c r="P211" s="7" t="n"/>
      <c r="V211" s="7" t="n"/>
      <c r="W211" s="7" t="n"/>
      <c r="Z211">
        <f>IF($E211="","",IF($AO211=1,0,IF($AN211=1,Settings!$C$6,Settings!$C$7))*100)</f>
        <v/>
      </c>
      <c r="AA211" s="7">
        <f>IF($E211="","",W211*Z211/100)</f>
        <v/>
      </c>
      <c r="AB211" s="7">
        <f>IF($E211="","",W211-AA211)</f>
        <v/>
      </c>
      <c r="AC211" s="7">
        <f>IF($E211="","",AB211-O211)</f>
        <v/>
      </c>
      <c r="AG211" s="7" t="n"/>
      <c r="AJ211" s="11" t="n"/>
      <c r="AL211">
        <f>IF($E211="","",IF(COUNTIF($E$2:$E211,$E211)=1,1,0))</f>
        <v/>
      </c>
      <c r="AM211">
        <f>IF($AL211=1,SUMPRODUCT(--($AP$2:$AP$301&lt;$AP211))+1,"")</f>
        <v/>
      </c>
      <c r="AN211">
        <f>IF($E211="","",IF(OR($S211=TRUE(),$S211="TRUE"),1,0))</f>
        <v/>
      </c>
      <c r="AO211">
        <f>IF($E211="","",IF($Y211="Yes",1,0))</f>
        <v/>
      </c>
      <c r="AP211">
        <f>IF($AL211=1,IFERROR(IF(VALUE($E211)&lt;100000000,VALUE($E211),1000000000),IFERROR(IF(VALUE(MID($E211,2,20))&lt;100000000,VALUE(MID($E211,2,20)),1000000000),1000000000))+ROW()/100000,"")</f>
        <v/>
      </c>
    </row>
    <row r="212">
      <c r="G212" s="11" t="n"/>
      <c r="O212" s="7">
        <f>IF($E212="","",N212*W212/100)</f>
        <v/>
      </c>
      <c r="P212" s="7" t="n"/>
      <c r="V212" s="7" t="n"/>
      <c r="W212" s="7" t="n"/>
      <c r="Z212">
        <f>IF($E212="","",IF($AO212=1,0,IF($AN212=1,Settings!$C$6,Settings!$C$7))*100)</f>
        <v/>
      </c>
      <c r="AA212" s="7">
        <f>IF($E212="","",W212*Z212/100)</f>
        <v/>
      </c>
      <c r="AB212" s="7">
        <f>IF($E212="","",W212-AA212)</f>
        <v/>
      </c>
      <c r="AC212" s="7">
        <f>IF($E212="","",AB212-O212)</f>
        <v/>
      </c>
      <c r="AG212" s="7" t="n"/>
      <c r="AJ212" s="11" t="n"/>
      <c r="AL212">
        <f>IF($E212="","",IF(COUNTIF($E$2:$E212,$E212)=1,1,0))</f>
        <v/>
      </c>
      <c r="AM212">
        <f>IF($AL212=1,SUMPRODUCT(--($AP$2:$AP$301&lt;$AP212))+1,"")</f>
        <v/>
      </c>
      <c r="AN212">
        <f>IF($E212="","",IF(OR($S212=TRUE(),$S212="TRUE"),1,0))</f>
        <v/>
      </c>
      <c r="AO212">
        <f>IF($E212="","",IF($Y212="Yes",1,0))</f>
        <v/>
      </c>
      <c r="AP212">
        <f>IF($AL212=1,IFERROR(IF(VALUE($E212)&lt;100000000,VALUE($E212),1000000000),IFERROR(IF(VALUE(MID($E212,2,20))&lt;100000000,VALUE(MID($E212,2,20)),1000000000),1000000000))+ROW()/100000,"")</f>
        <v/>
      </c>
    </row>
    <row r="213">
      <c r="G213" s="11" t="n"/>
      <c r="O213" s="7">
        <f>IF($E213="","",N213*W213/100)</f>
        <v/>
      </c>
      <c r="P213" s="7" t="n"/>
      <c r="V213" s="7" t="n"/>
      <c r="W213" s="7" t="n"/>
      <c r="Z213">
        <f>IF($E213="","",IF($AO213=1,0,IF($AN213=1,Settings!$C$6,Settings!$C$7))*100)</f>
        <v/>
      </c>
      <c r="AA213" s="7">
        <f>IF($E213="","",W213*Z213/100)</f>
        <v/>
      </c>
      <c r="AB213" s="7">
        <f>IF($E213="","",W213-AA213)</f>
        <v/>
      </c>
      <c r="AC213" s="7">
        <f>IF($E213="","",AB213-O213)</f>
        <v/>
      </c>
      <c r="AG213" s="7" t="n"/>
      <c r="AJ213" s="11" t="n"/>
      <c r="AL213">
        <f>IF($E213="","",IF(COUNTIF($E$2:$E213,$E213)=1,1,0))</f>
        <v/>
      </c>
      <c r="AM213">
        <f>IF($AL213=1,SUMPRODUCT(--($AP$2:$AP$301&lt;$AP213))+1,"")</f>
        <v/>
      </c>
      <c r="AN213">
        <f>IF($E213="","",IF(OR($S213=TRUE(),$S213="TRUE"),1,0))</f>
        <v/>
      </c>
      <c r="AO213">
        <f>IF($E213="","",IF($Y213="Yes",1,0))</f>
        <v/>
      </c>
      <c r="AP213">
        <f>IF($AL213=1,IFERROR(IF(VALUE($E213)&lt;100000000,VALUE($E213),1000000000),IFERROR(IF(VALUE(MID($E213,2,20))&lt;100000000,VALUE(MID($E213,2,20)),1000000000),1000000000))+ROW()/100000,"")</f>
        <v/>
      </c>
    </row>
    <row r="214">
      <c r="G214" s="11" t="n"/>
      <c r="O214" s="7">
        <f>IF($E214="","",N214*W214/100)</f>
        <v/>
      </c>
      <c r="P214" s="7" t="n"/>
      <c r="V214" s="7" t="n"/>
      <c r="W214" s="7" t="n"/>
      <c r="Z214">
        <f>IF($E214="","",IF($AO214=1,0,IF($AN214=1,Settings!$C$6,Settings!$C$7))*100)</f>
        <v/>
      </c>
      <c r="AA214" s="7">
        <f>IF($E214="","",W214*Z214/100)</f>
        <v/>
      </c>
      <c r="AB214" s="7">
        <f>IF($E214="","",W214-AA214)</f>
        <v/>
      </c>
      <c r="AC214" s="7">
        <f>IF($E214="","",AB214-O214)</f>
        <v/>
      </c>
      <c r="AG214" s="7" t="n"/>
      <c r="AJ214" s="11" t="n"/>
      <c r="AL214">
        <f>IF($E214="","",IF(COUNTIF($E$2:$E214,$E214)=1,1,0))</f>
        <v/>
      </c>
      <c r="AM214">
        <f>IF($AL214=1,SUMPRODUCT(--($AP$2:$AP$301&lt;$AP214))+1,"")</f>
        <v/>
      </c>
      <c r="AN214">
        <f>IF($E214="","",IF(OR($S214=TRUE(),$S214="TRUE"),1,0))</f>
        <v/>
      </c>
      <c r="AO214">
        <f>IF($E214="","",IF($Y214="Yes",1,0))</f>
        <v/>
      </c>
      <c r="AP214">
        <f>IF($AL214=1,IFERROR(IF(VALUE($E214)&lt;100000000,VALUE($E214),1000000000),IFERROR(IF(VALUE(MID($E214,2,20))&lt;100000000,VALUE(MID($E214,2,20)),1000000000),1000000000))+ROW()/100000,"")</f>
        <v/>
      </c>
    </row>
    <row r="215">
      <c r="G215" s="11" t="n"/>
      <c r="O215" s="7">
        <f>IF($E215="","",N215*W215/100)</f>
        <v/>
      </c>
      <c r="P215" s="7" t="n"/>
      <c r="V215" s="7" t="n"/>
      <c r="W215" s="7" t="n"/>
      <c r="Z215">
        <f>IF($E215="","",IF($AO215=1,0,IF($AN215=1,Settings!$C$6,Settings!$C$7))*100)</f>
        <v/>
      </c>
      <c r="AA215" s="7">
        <f>IF($E215="","",W215*Z215/100)</f>
        <v/>
      </c>
      <c r="AB215" s="7">
        <f>IF($E215="","",W215-AA215)</f>
        <v/>
      </c>
      <c r="AC215" s="7">
        <f>IF($E215="","",AB215-O215)</f>
        <v/>
      </c>
      <c r="AG215" s="7" t="n"/>
      <c r="AJ215" s="11" t="n"/>
      <c r="AL215">
        <f>IF($E215="","",IF(COUNTIF($E$2:$E215,$E215)=1,1,0))</f>
        <v/>
      </c>
      <c r="AM215">
        <f>IF($AL215=1,SUMPRODUCT(--($AP$2:$AP$301&lt;$AP215))+1,"")</f>
        <v/>
      </c>
      <c r="AN215">
        <f>IF($E215="","",IF(OR($S215=TRUE(),$S215="TRUE"),1,0))</f>
        <v/>
      </c>
      <c r="AO215">
        <f>IF($E215="","",IF($Y215="Yes",1,0))</f>
        <v/>
      </c>
      <c r="AP215">
        <f>IF($AL215=1,IFERROR(IF(VALUE($E215)&lt;100000000,VALUE($E215),1000000000),IFERROR(IF(VALUE(MID($E215,2,20))&lt;100000000,VALUE(MID($E215,2,20)),1000000000),1000000000))+ROW()/100000,"")</f>
        <v/>
      </c>
    </row>
    <row r="216">
      <c r="G216" s="11" t="n"/>
      <c r="O216" s="7">
        <f>IF($E216="","",N216*W216/100)</f>
        <v/>
      </c>
      <c r="P216" s="7" t="n"/>
      <c r="V216" s="7" t="n"/>
      <c r="W216" s="7" t="n"/>
      <c r="Z216">
        <f>IF($E216="","",IF($AO216=1,0,IF($AN216=1,Settings!$C$6,Settings!$C$7))*100)</f>
        <v/>
      </c>
      <c r="AA216" s="7">
        <f>IF($E216="","",W216*Z216/100)</f>
        <v/>
      </c>
      <c r="AB216" s="7">
        <f>IF($E216="","",W216-AA216)</f>
        <v/>
      </c>
      <c r="AC216" s="7">
        <f>IF($E216="","",AB216-O216)</f>
        <v/>
      </c>
      <c r="AG216" s="7" t="n"/>
      <c r="AJ216" s="11" t="n"/>
      <c r="AL216">
        <f>IF($E216="","",IF(COUNTIF($E$2:$E216,$E216)=1,1,0))</f>
        <v/>
      </c>
      <c r="AM216">
        <f>IF($AL216=1,SUMPRODUCT(--($AP$2:$AP$301&lt;$AP216))+1,"")</f>
        <v/>
      </c>
      <c r="AN216">
        <f>IF($E216="","",IF(OR($S216=TRUE(),$S216="TRUE"),1,0))</f>
        <v/>
      </c>
      <c r="AO216">
        <f>IF($E216="","",IF($Y216="Yes",1,0))</f>
        <v/>
      </c>
      <c r="AP216">
        <f>IF($AL216=1,IFERROR(IF(VALUE($E216)&lt;100000000,VALUE($E216),1000000000),IFERROR(IF(VALUE(MID($E216,2,20))&lt;100000000,VALUE(MID($E216,2,20)),1000000000),1000000000))+ROW()/100000,"")</f>
        <v/>
      </c>
    </row>
    <row r="217">
      <c r="G217" s="11" t="n"/>
      <c r="O217" s="7">
        <f>IF($E217="","",N217*W217/100)</f>
        <v/>
      </c>
      <c r="P217" s="7" t="n"/>
      <c r="V217" s="7" t="n"/>
      <c r="W217" s="7" t="n"/>
      <c r="Z217">
        <f>IF($E217="","",IF($AO217=1,0,IF($AN217=1,Settings!$C$6,Settings!$C$7))*100)</f>
        <v/>
      </c>
      <c r="AA217" s="7">
        <f>IF($E217="","",W217*Z217/100)</f>
        <v/>
      </c>
      <c r="AB217" s="7">
        <f>IF($E217="","",W217-AA217)</f>
        <v/>
      </c>
      <c r="AC217" s="7">
        <f>IF($E217="","",AB217-O217)</f>
        <v/>
      </c>
      <c r="AG217" s="7" t="n"/>
      <c r="AJ217" s="11" t="n"/>
      <c r="AL217">
        <f>IF($E217="","",IF(COUNTIF($E$2:$E217,$E217)=1,1,0))</f>
        <v/>
      </c>
      <c r="AM217">
        <f>IF($AL217=1,SUMPRODUCT(--($AP$2:$AP$301&lt;$AP217))+1,"")</f>
        <v/>
      </c>
      <c r="AN217">
        <f>IF($E217="","",IF(OR($S217=TRUE(),$S217="TRUE"),1,0))</f>
        <v/>
      </c>
      <c r="AO217">
        <f>IF($E217="","",IF($Y217="Yes",1,0))</f>
        <v/>
      </c>
      <c r="AP217">
        <f>IF($AL217=1,IFERROR(IF(VALUE($E217)&lt;100000000,VALUE($E217),1000000000),IFERROR(IF(VALUE(MID($E217,2,20))&lt;100000000,VALUE(MID($E217,2,20)),1000000000),1000000000))+ROW()/100000,"")</f>
        <v/>
      </c>
    </row>
    <row r="218">
      <c r="G218" s="11" t="n"/>
      <c r="O218" s="7">
        <f>IF($E218="","",N218*W218/100)</f>
        <v/>
      </c>
      <c r="P218" s="7" t="n"/>
      <c r="V218" s="7" t="n"/>
      <c r="W218" s="7" t="n"/>
      <c r="Z218">
        <f>IF($E218="","",IF($AO218=1,0,IF($AN218=1,Settings!$C$6,Settings!$C$7))*100)</f>
        <v/>
      </c>
      <c r="AA218" s="7">
        <f>IF($E218="","",W218*Z218/100)</f>
        <v/>
      </c>
      <c r="AB218" s="7">
        <f>IF($E218="","",W218-AA218)</f>
        <v/>
      </c>
      <c r="AC218" s="7">
        <f>IF($E218="","",AB218-O218)</f>
        <v/>
      </c>
      <c r="AG218" s="7" t="n"/>
      <c r="AJ218" s="11" t="n"/>
      <c r="AL218">
        <f>IF($E218="","",IF(COUNTIF($E$2:$E218,$E218)=1,1,0))</f>
        <v/>
      </c>
      <c r="AM218">
        <f>IF($AL218=1,SUMPRODUCT(--($AP$2:$AP$301&lt;$AP218))+1,"")</f>
        <v/>
      </c>
      <c r="AN218">
        <f>IF($E218="","",IF(OR($S218=TRUE(),$S218="TRUE"),1,0))</f>
        <v/>
      </c>
      <c r="AO218">
        <f>IF($E218="","",IF($Y218="Yes",1,0))</f>
        <v/>
      </c>
      <c r="AP218">
        <f>IF($AL218=1,IFERROR(IF(VALUE($E218)&lt;100000000,VALUE($E218),1000000000),IFERROR(IF(VALUE(MID($E218,2,20))&lt;100000000,VALUE(MID($E218,2,20)),1000000000),1000000000))+ROW()/100000,"")</f>
        <v/>
      </c>
    </row>
    <row r="219">
      <c r="G219" s="11" t="n"/>
      <c r="O219" s="7">
        <f>IF($E219="","",N219*W219/100)</f>
        <v/>
      </c>
      <c r="P219" s="7" t="n"/>
      <c r="V219" s="7" t="n"/>
      <c r="W219" s="7" t="n"/>
      <c r="Z219">
        <f>IF($E219="","",IF($AO219=1,0,IF($AN219=1,Settings!$C$6,Settings!$C$7))*100)</f>
        <v/>
      </c>
      <c r="AA219" s="7">
        <f>IF($E219="","",W219*Z219/100)</f>
        <v/>
      </c>
      <c r="AB219" s="7">
        <f>IF($E219="","",W219-AA219)</f>
        <v/>
      </c>
      <c r="AC219" s="7">
        <f>IF($E219="","",AB219-O219)</f>
        <v/>
      </c>
      <c r="AG219" s="7" t="n"/>
      <c r="AJ219" s="11" t="n"/>
      <c r="AL219">
        <f>IF($E219="","",IF(COUNTIF($E$2:$E219,$E219)=1,1,0))</f>
        <v/>
      </c>
      <c r="AM219">
        <f>IF($AL219=1,SUMPRODUCT(--($AP$2:$AP$301&lt;$AP219))+1,"")</f>
        <v/>
      </c>
      <c r="AN219">
        <f>IF($E219="","",IF(OR($S219=TRUE(),$S219="TRUE"),1,0))</f>
        <v/>
      </c>
      <c r="AO219">
        <f>IF($E219="","",IF($Y219="Yes",1,0))</f>
        <v/>
      </c>
      <c r="AP219">
        <f>IF($AL219=1,IFERROR(IF(VALUE($E219)&lt;100000000,VALUE($E219),1000000000),IFERROR(IF(VALUE(MID($E219,2,20))&lt;100000000,VALUE(MID($E219,2,20)),1000000000),1000000000))+ROW()/100000,"")</f>
        <v/>
      </c>
    </row>
    <row r="220">
      <c r="G220" s="11" t="n"/>
      <c r="O220" s="7">
        <f>IF($E220="","",N220*W220/100)</f>
        <v/>
      </c>
      <c r="P220" s="7" t="n"/>
      <c r="V220" s="7" t="n"/>
      <c r="W220" s="7" t="n"/>
      <c r="Z220">
        <f>IF($E220="","",IF($AO220=1,0,IF($AN220=1,Settings!$C$6,Settings!$C$7))*100)</f>
        <v/>
      </c>
      <c r="AA220" s="7">
        <f>IF($E220="","",W220*Z220/100)</f>
        <v/>
      </c>
      <c r="AB220" s="7">
        <f>IF($E220="","",W220-AA220)</f>
        <v/>
      </c>
      <c r="AC220" s="7">
        <f>IF($E220="","",AB220-O220)</f>
        <v/>
      </c>
      <c r="AG220" s="7" t="n"/>
      <c r="AJ220" s="11" t="n"/>
      <c r="AL220">
        <f>IF($E220="","",IF(COUNTIF($E$2:$E220,$E220)=1,1,0))</f>
        <v/>
      </c>
      <c r="AM220">
        <f>IF($AL220=1,SUMPRODUCT(--($AP$2:$AP$301&lt;$AP220))+1,"")</f>
        <v/>
      </c>
      <c r="AN220">
        <f>IF($E220="","",IF(OR($S220=TRUE(),$S220="TRUE"),1,0))</f>
        <v/>
      </c>
      <c r="AO220">
        <f>IF($E220="","",IF($Y220="Yes",1,0))</f>
        <v/>
      </c>
      <c r="AP220">
        <f>IF($AL220=1,IFERROR(IF(VALUE($E220)&lt;100000000,VALUE($E220),1000000000),IFERROR(IF(VALUE(MID($E220,2,20))&lt;100000000,VALUE(MID($E220,2,20)),1000000000),1000000000))+ROW()/100000,"")</f>
        <v/>
      </c>
    </row>
    <row r="221">
      <c r="G221" s="11" t="n"/>
      <c r="O221" s="7">
        <f>IF($E221="","",N221*W221/100)</f>
        <v/>
      </c>
      <c r="P221" s="7" t="n"/>
      <c r="V221" s="7" t="n"/>
      <c r="W221" s="7" t="n"/>
      <c r="Z221">
        <f>IF($E221="","",IF($AO221=1,0,IF($AN221=1,Settings!$C$6,Settings!$C$7))*100)</f>
        <v/>
      </c>
      <c r="AA221" s="7">
        <f>IF($E221="","",W221*Z221/100)</f>
        <v/>
      </c>
      <c r="AB221" s="7">
        <f>IF($E221="","",W221-AA221)</f>
        <v/>
      </c>
      <c r="AC221" s="7">
        <f>IF($E221="","",AB221-O221)</f>
        <v/>
      </c>
      <c r="AG221" s="7" t="n"/>
      <c r="AJ221" s="11" t="n"/>
      <c r="AL221">
        <f>IF($E221="","",IF(COUNTIF($E$2:$E221,$E221)=1,1,0))</f>
        <v/>
      </c>
      <c r="AM221">
        <f>IF($AL221=1,SUMPRODUCT(--($AP$2:$AP$301&lt;$AP221))+1,"")</f>
        <v/>
      </c>
      <c r="AN221">
        <f>IF($E221="","",IF(OR($S221=TRUE(),$S221="TRUE"),1,0))</f>
        <v/>
      </c>
      <c r="AO221">
        <f>IF($E221="","",IF($Y221="Yes",1,0))</f>
        <v/>
      </c>
      <c r="AP221">
        <f>IF($AL221=1,IFERROR(IF(VALUE($E221)&lt;100000000,VALUE($E221),1000000000),IFERROR(IF(VALUE(MID($E221,2,20))&lt;100000000,VALUE(MID($E221,2,20)),1000000000),1000000000))+ROW()/100000,"")</f>
        <v/>
      </c>
    </row>
    <row r="222">
      <c r="G222" s="11" t="n"/>
      <c r="O222" s="7">
        <f>IF($E222="","",N222*W222/100)</f>
        <v/>
      </c>
      <c r="P222" s="7" t="n"/>
      <c r="V222" s="7" t="n"/>
      <c r="W222" s="7" t="n"/>
      <c r="Z222">
        <f>IF($E222="","",IF($AO222=1,0,IF($AN222=1,Settings!$C$6,Settings!$C$7))*100)</f>
        <v/>
      </c>
      <c r="AA222" s="7">
        <f>IF($E222="","",W222*Z222/100)</f>
        <v/>
      </c>
      <c r="AB222" s="7">
        <f>IF($E222="","",W222-AA222)</f>
        <v/>
      </c>
      <c r="AC222" s="7">
        <f>IF($E222="","",AB222-O222)</f>
        <v/>
      </c>
      <c r="AG222" s="7" t="n"/>
      <c r="AJ222" s="11" t="n"/>
      <c r="AL222">
        <f>IF($E222="","",IF(COUNTIF($E$2:$E222,$E222)=1,1,0))</f>
        <v/>
      </c>
      <c r="AM222">
        <f>IF($AL222=1,SUMPRODUCT(--($AP$2:$AP$301&lt;$AP222))+1,"")</f>
        <v/>
      </c>
      <c r="AN222">
        <f>IF($E222="","",IF(OR($S222=TRUE(),$S222="TRUE"),1,0))</f>
        <v/>
      </c>
      <c r="AO222">
        <f>IF($E222="","",IF($Y222="Yes",1,0))</f>
        <v/>
      </c>
      <c r="AP222">
        <f>IF($AL222=1,IFERROR(IF(VALUE($E222)&lt;100000000,VALUE($E222),1000000000),IFERROR(IF(VALUE(MID($E222,2,20))&lt;100000000,VALUE(MID($E222,2,20)),1000000000),1000000000))+ROW()/100000,"")</f>
        <v/>
      </c>
    </row>
    <row r="223">
      <c r="G223" s="11" t="n"/>
      <c r="O223" s="7">
        <f>IF($E223="","",N223*W223/100)</f>
        <v/>
      </c>
      <c r="P223" s="7" t="n"/>
      <c r="V223" s="7" t="n"/>
      <c r="W223" s="7" t="n"/>
      <c r="Z223">
        <f>IF($E223="","",IF($AO223=1,0,IF($AN223=1,Settings!$C$6,Settings!$C$7))*100)</f>
        <v/>
      </c>
      <c r="AA223" s="7">
        <f>IF($E223="","",W223*Z223/100)</f>
        <v/>
      </c>
      <c r="AB223" s="7">
        <f>IF($E223="","",W223-AA223)</f>
        <v/>
      </c>
      <c r="AC223" s="7">
        <f>IF($E223="","",AB223-O223)</f>
        <v/>
      </c>
      <c r="AG223" s="7" t="n"/>
      <c r="AJ223" s="11" t="n"/>
      <c r="AL223">
        <f>IF($E223="","",IF(COUNTIF($E$2:$E223,$E223)=1,1,0))</f>
        <v/>
      </c>
      <c r="AM223">
        <f>IF($AL223=1,SUMPRODUCT(--($AP$2:$AP$301&lt;$AP223))+1,"")</f>
        <v/>
      </c>
      <c r="AN223">
        <f>IF($E223="","",IF(OR($S223=TRUE(),$S223="TRUE"),1,0))</f>
        <v/>
      </c>
      <c r="AO223">
        <f>IF($E223="","",IF($Y223="Yes",1,0))</f>
        <v/>
      </c>
      <c r="AP223">
        <f>IF($AL223=1,IFERROR(IF(VALUE($E223)&lt;100000000,VALUE($E223),1000000000),IFERROR(IF(VALUE(MID($E223,2,20))&lt;100000000,VALUE(MID($E223,2,20)),1000000000),1000000000))+ROW()/100000,"")</f>
        <v/>
      </c>
    </row>
    <row r="224">
      <c r="G224" s="11" t="n"/>
      <c r="O224" s="7">
        <f>IF($E224="","",N224*W224/100)</f>
        <v/>
      </c>
      <c r="P224" s="7" t="n"/>
      <c r="V224" s="7" t="n"/>
      <c r="W224" s="7" t="n"/>
      <c r="Z224">
        <f>IF($E224="","",IF($AO224=1,0,IF($AN224=1,Settings!$C$6,Settings!$C$7))*100)</f>
        <v/>
      </c>
      <c r="AA224" s="7">
        <f>IF($E224="","",W224*Z224/100)</f>
        <v/>
      </c>
      <c r="AB224" s="7">
        <f>IF($E224="","",W224-AA224)</f>
        <v/>
      </c>
      <c r="AC224" s="7">
        <f>IF($E224="","",AB224-O224)</f>
        <v/>
      </c>
      <c r="AG224" s="7" t="n"/>
      <c r="AJ224" s="11" t="n"/>
      <c r="AL224">
        <f>IF($E224="","",IF(COUNTIF($E$2:$E224,$E224)=1,1,0))</f>
        <v/>
      </c>
      <c r="AM224">
        <f>IF($AL224=1,SUMPRODUCT(--($AP$2:$AP$301&lt;$AP224))+1,"")</f>
        <v/>
      </c>
      <c r="AN224">
        <f>IF($E224="","",IF(OR($S224=TRUE(),$S224="TRUE"),1,0))</f>
        <v/>
      </c>
      <c r="AO224">
        <f>IF($E224="","",IF($Y224="Yes",1,0))</f>
        <v/>
      </c>
      <c r="AP224">
        <f>IF($AL224=1,IFERROR(IF(VALUE($E224)&lt;100000000,VALUE($E224),1000000000),IFERROR(IF(VALUE(MID($E224,2,20))&lt;100000000,VALUE(MID($E224,2,20)),1000000000),1000000000))+ROW()/100000,"")</f>
        <v/>
      </c>
    </row>
    <row r="225">
      <c r="G225" s="11" t="n"/>
      <c r="O225" s="7">
        <f>IF($E225="","",N225*W225/100)</f>
        <v/>
      </c>
      <c r="P225" s="7" t="n"/>
      <c r="V225" s="7" t="n"/>
      <c r="W225" s="7" t="n"/>
      <c r="Z225">
        <f>IF($E225="","",IF($AO225=1,0,IF($AN225=1,Settings!$C$6,Settings!$C$7))*100)</f>
        <v/>
      </c>
      <c r="AA225" s="7">
        <f>IF($E225="","",W225*Z225/100)</f>
        <v/>
      </c>
      <c r="AB225" s="7">
        <f>IF($E225="","",W225-AA225)</f>
        <v/>
      </c>
      <c r="AC225" s="7">
        <f>IF($E225="","",AB225-O225)</f>
        <v/>
      </c>
      <c r="AG225" s="7" t="n"/>
      <c r="AJ225" s="11" t="n"/>
      <c r="AL225">
        <f>IF($E225="","",IF(COUNTIF($E$2:$E225,$E225)=1,1,0))</f>
        <v/>
      </c>
      <c r="AM225">
        <f>IF($AL225=1,SUMPRODUCT(--($AP$2:$AP$301&lt;$AP225))+1,"")</f>
        <v/>
      </c>
      <c r="AN225">
        <f>IF($E225="","",IF(OR($S225=TRUE(),$S225="TRUE"),1,0))</f>
        <v/>
      </c>
      <c r="AO225">
        <f>IF($E225="","",IF($Y225="Yes",1,0))</f>
        <v/>
      </c>
      <c r="AP225">
        <f>IF($AL225=1,IFERROR(IF(VALUE($E225)&lt;100000000,VALUE($E225),1000000000),IFERROR(IF(VALUE(MID($E225,2,20))&lt;100000000,VALUE(MID($E225,2,20)),1000000000),1000000000))+ROW()/100000,"")</f>
        <v/>
      </c>
    </row>
    <row r="226">
      <c r="G226" s="11" t="n"/>
      <c r="O226" s="7">
        <f>IF($E226="","",N226*W226/100)</f>
        <v/>
      </c>
      <c r="P226" s="7" t="n"/>
      <c r="V226" s="7" t="n"/>
      <c r="W226" s="7" t="n"/>
      <c r="Z226">
        <f>IF($E226="","",IF($AO226=1,0,IF($AN226=1,Settings!$C$6,Settings!$C$7))*100)</f>
        <v/>
      </c>
      <c r="AA226" s="7">
        <f>IF($E226="","",W226*Z226/100)</f>
        <v/>
      </c>
      <c r="AB226" s="7">
        <f>IF($E226="","",W226-AA226)</f>
        <v/>
      </c>
      <c r="AC226" s="7">
        <f>IF($E226="","",AB226-O226)</f>
        <v/>
      </c>
      <c r="AG226" s="7" t="n"/>
      <c r="AJ226" s="11" t="n"/>
      <c r="AL226">
        <f>IF($E226="","",IF(COUNTIF($E$2:$E226,$E226)=1,1,0))</f>
        <v/>
      </c>
      <c r="AM226">
        <f>IF($AL226=1,SUMPRODUCT(--($AP$2:$AP$301&lt;$AP226))+1,"")</f>
        <v/>
      </c>
      <c r="AN226">
        <f>IF($E226="","",IF(OR($S226=TRUE(),$S226="TRUE"),1,0))</f>
        <v/>
      </c>
      <c r="AO226">
        <f>IF($E226="","",IF($Y226="Yes",1,0))</f>
        <v/>
      </c>
      <c r="AP226">
        <f>IF($AL226=1,IFERROR(IF(VALUE($E226)&lt;100000000,VALUE($E226),1000000000),IFERROR(IF(VALUE(MID($E226,2,20))&lt;100000000,VALUE(MID($E226,2,20)),1000000000),1000000000))+ROW()/100000,"")</f>
        <v/>
      </c>
    </row>
    <row r="227">
      <c r="G227" s="11" t="n"/>
      <c r="O227" s="7">
        <f>IF($E227="","",N227*W227/100)</f>
        <v/>
      </c>
      <c r="P227" s="7" t="n"/>
      <c r="V227" s="7" t="n"/>
      <c r="W227" s="7" t="n"/>
      <c r="Z227">
        <f>IF($E227="","",IF($AO227=1,0,IF($AN227=1,Settings!$C$6,Settings!$C$7))*100)</f>
        <v/>
      </c>
      <c r="AA227" s="7">
        <f>IF($E227="","",W227*Z227/100)</f>
        <v/>
      </c>
      <c r="AB227" s="7">
        <f>IF($E227="","",W227-AA227)</f>
        <v/>
      </c>
      <c r="AC227" s="7">
        <f>IF($E227="","",AB227-O227)</f>
        <v/>
      </c>
      <c r="AG227" s="7" t="n"/>
      <c r="AJ227" s="11" t="n"/>
      <c r="AL227">
        <f>IF($E227="","",IF(COUNTIF($E$2:$E227,$E227)=1,1,0))</f>
        <v/>
      </c>
      <c r="AM227">
        <f>IF($AL227=1,SUMPRODUCT(--($AP$2:$AP$301&lt;$AP227))+1,"")</f>
        <v/>
      </c>
      <c r="AN227">
        <f>IF($E227="","",IF(OR($S227=TRUE(),$S227="TRUE"),1,0))</f>
        <v/>
      </c>
      <c r="AO227">
        <f>IF($E227="","",IF($Y227="Yes",1,0))</f>
        <v/>
      </c>
      <c r="AP227">
        <f>IF($AL227=1,IFERROR(IF(VALUE($E227)&lt;100000000,VALUE($E227),1000000000),IFERROR(IF(VALUE(MID($E227,2,20))&lt;100000000,VALUE(MID($E227,2,20)),1000000000),1000000000))+ROW()/100000,"")</f>
        <v/>
      </c>
    </row>
    <row r="228">
      <c r="G228" s="11" t="n"/>
      <c r="O228" s="7">
        <f>IF($E228="","",N228*W228/100)</f>
        <v/>
      </c>
      <c r="P228" s="7" t="n"/>
      <c r="V228" s="7" t="n"/>
      <c r="W228" s="7" t="n"/>
      <c r="Z228">
        <f>IF($E228="","",IF($AO228=1,0,IF($AN228=1,Settings!$C$6,Settings!$C$7))*100)</f>
        <v/>
      </c>
      <c r="AA228" s="7">
        <f>IF($E228="","",W228*Z228/100)</f>
        <v/>
      </c>
      <c r="AB228" s="7">
        <f>IF($E228="","",W228-AA228)</f>
        <v/>
      </c>
      <c r="AC228" s="7">
        <f>IF($E228="","",AB228-O228)</f>
        <v/>
      </c>
      <c r="AG228" s="7" t="n"/>
      <c r="AJ228" s="11" t="n"/>
      <c r="AL228">
        <f>IF($E228="","",IF(COUNTIF($E$2:$E228,$E228)=1,1,0))</f>
        <v/>
      </c>
      <c r="AM228">
        <f>IF($AL228=1,SUMPRODUCT(--($AP$2:$AP$301&lt;$AP228))+1,"")</f>
        <v/>
      </c>
      <c r="AN228">
        <f>IF($E228="","",IF(OR($S228=TRUE(),$S228="TRUE"),1,0))</f>
        <v/>
      </c>
      <c r="AO228">
        <f>IF($E228="","",IF($Y228="Yes",1,0))</f>
        <v/>
      </c>
      <c r="AP228">
        <f>IF($AL228=1,IFERROR(IF(VALUE($E228)&lt;100000000,VALUE($E228),1000000000),IFERROR(IF(VALUE(MID($E228,2,20))&lt;100000000,VALUE(MID($E228,2,20)),1000000000),1000000000))+ROW()/100000,"")</f>
        <v/>
      </c>
    </row>
    <row r="229">
      <c r="G229" s="11" t="n"/>
      <c r="O229" s="7">
        <f>IF($E229="","",N229*W229/100)</f>
        <v/>
      </c>
      <c r="P229" s="7" t="n"/>
      <c r="V229" s="7" t="n"/>
      <c r="W229" s="7" t="n"/>
      <c r="Z229">
        <f>IF($E229="","",IF($AO229=1,0,IF($AN229=1,Settings!$C$6,Settings!$C$7))*100)</f>
        <v/>
      </c>
      <c r="AA229" s="7">
        <f>IF($E229="","",W229*Z229/100)</f>
        <v/>
      </c>
      <c r="AB229" s="7">
        <f>IF($E229="","",W229-AA229)</f>
        <v/>
      </c>
      <c r="AC229" s="7">
        <f>IF($E229="","",AB229-O229)</f>
        <v/>
      </c>
      <c r="AG229" s="7" t="n"/>
      <c r="AJ229" s="11" t="n"/>
      <c r="AL229">
        <f>IF($E229="","",IF(COUNTIF($E$2:$E229,$E229)=1,1,0))</f>
        <v/>
      </c>
      <c r="AM229">
        <f>IF($AL229=1,SUMPRODUCT(--($AP$2:$AP$301&lt;$AP229))+1,"")</f>
        <v/>
      </c>
      <c r="AN229">
        <f>IF($E229="","",IF(OR($S229=TRUE(),$S229="TRUE"),1,0))</f>
        <v/>
      </c>
      <c r="AO229">
        <f>IF($E229="","",IF($Y229="Yes",1,0))</f>
        <v/>
      </c>
      <c r="AP229">
        <f>IF($AL229=1,IFERROR(IF(VALUE($E229)&lt;100000000,VALUE($E229),1000000000),IFERROR(IF(VALUE(MID($E229,2,20))&lt;100000000,VALUE(MID($E229,2,20)),1000000000),1000000000))+ROW()/100000,"")</f>
        <v/>
      </c>
    </row>
    <row r="230">
      <c r="G230" s="11" t="n"/>
      <c r="O230" s="7">
        <f>IF($E230="","",N230*W230/100)</f>
        <v/>
      </c>
      <c r="P230" s="7" t="n"/>
      <c r="V230" s="7" t="n"/>
      <c r="W230" s="7" t="n"/>
      <c r="Z230">
        <f>IF($E230="","",IF($AO230=1,0,IF($AN230=1,Settings!$C$6,Settings!$C$7))*100)</f>
        <v/>
      </c>
      <c r="AA230" s="7">
        <f>IF($E230="","",W230*Z230/100)</f>
        <v/>
      </c>
      <c r="AB230" s="7">
        <f>IF($E230="","",W230-AA230)</f>
        <v/>
      </c>
      <c r="AC230" s="7">
        <f>IF($E230="","",AB230-O230)</f>
        <v/>
      </c>
      <c r="AG230" s="7" t="n"/>
      <c r="AJ230" s="11" t="n"/>
      <c r="AL230">
        <f>IF($E230="","",IF(COUNTIF($E$2:$E230,$E230)=1,1,0))</f>
        <v/>
      </c>
      <c r="AM230">
        <f>IF($AL230=1,SUMPRODUCT(--($AP$2:$AP$301&lt;$AP230))+1,"")</f>
        <v/>
      </c>
      <c r="AN230">
        <f>IF($E230="","",IF(OR($S230=TRUE(),$S230="TRUE"),1,0))</f>
        <v/>
      </c>
      <c r="AO230">
        <f>IF($E230="","",IF($Y230="Yes",1,0))</f>
        <v/>
      </c>
      <c r="AP230">
        <f>IF($AL230=1,IFERROR(IF(VALUE($E230)&lt;100000000,VALUE($E230),1000000000),IFERROR(IF(VALUE(MID($E230,2,20))&lt;100000000,VALUE(MID($E230,2,20)),1000000000),1000000000))+ROW()/100000,"")</f>
        <v/>
      </c>
    </row>
    <row r="231">
      <c r="G231" s="11" t="n"/>
      <c r="O231" s="7">
        <f>IF($E231="","",N231*W231/100)</f>
        <v/>
      </c>
      <c r="P231" s="7" t="n"/>
      <c r="V231" s="7" t="n"/>
      <c r="W231" s="7" t="n"/>
      <c r="Z231">
        <f>IF($E231="","",IF($AO231=1,0,IF($AN231=1,Settings!$C$6,Settings!$C$7))*100)</f>
        <v/>
      </c>
      <c r="AA231" s="7">
        <f>IF($E231="","",W231*Z231/100)</f>
        <v/>
      </c>
      <c r="AB231" s="7">
        <f>IF($E231="","",W231-AA231)</f>
        <v/>
      </c>
      <c r="AC231" s="7">
        <f>IF($E231="","",AB231-O231)</f>
        <v/>
      </c>
      <c r="AG231" s="7" t="n"/>
      <c r="AJ231" s="11" t="n"/>
      <c r="AL231">
        <f>IF($E231="","",IF(COUNTIF($E$2:$E231,$E231)=1,1,0))</f>
        <v/>
      </c>
      <c r="AM231">
        <f>IF($AL231=1,SUMPRODUCT(--($AP$2:$AP$301&lt;$AP231))+1,"")</f>
        <v/>
      </c>
      <c r="AN231">
        <f>IF($E231="","",IF(OR($S231=TRUE(),$S231="TRUE"),1,0))</f>
        <v/>
      </c>
      <c r="AO231">
        <f>IF($E231="","",IF($Y231="Yes",1,0))</f>
        <v/>
      </c>
      <c r="AP231">
        <f>IF($AL231=1,IFERROR(IF(VALUE($E231)&lt;100000000,VALUE($E231),1000000000),IFERROR(IF(VALUE(MID($E231,2,20))&lt;100000000,VALUE(MID($E231,2,20)),1000000000),1000000000))+ROW()/100000,"")</f>
        <v/>
      </c>
    </row>
    <row r="232">
      <c r="G232" s="11" t="n"/>
      <c r="O232" s="7">
        <f>IF($E232="","",N232*W232/100)</f>
        <v/>
      </c>
      <c r="P232" s="7" t="n"/>
      <c r="V232" s="7" t="n"/>
      <c r="W232" s="7" t="n"/>
      <c r="Z232">
        <f>IF($E232="","",IF($AO232=1,0,IF($AN232=1,Settings!$C$6,Settings!$C$7))*100)</f>
        <v/>
      </c>
      <c r="AA232" s="7">
        <f>IF($E232="","",W232*Z232/100)</f>
        <v/>
      </c>
      <c r="AB232" s="7">
        <f>IF($E232="","",W232-AA232)</f>
        <v/>
      </c>
      <c r="AC232" s="7">
        <f>IF($E232="","",AB232-O232)</f>
        <v/>
      </c>
      <c r="AG232" s="7" t="n"/>
      <c r="AJ232" s="11" t="n"/>
      <c r="AL232">
        <f>IF($E232="","",IF(COUNTIF($E$2:$E232,$E232)=1,1,0))</f>
        <v/>
      </c>
      <c r="AM232">
        <f>IF($AL232=1,SUMPRODUCT(--($AP$2:$AP$301&lt;$AP232))+1,"")</f>
        <v/>
      </c>
      <c r="AN232">
        <f>IF($E232="","",IF(OR($S232=TRUE(),$S232="TRUE"),1,0))</f>
        <v/>
      </c>
      <c r="AO232">
        <f>IF($E232="","",IF($Y232="Yes",1,0))</f>
        <v/>
      </c>
      <c r="AP232">
        <f>IF($AL232=1,IFERROR(IF(VALUE($E232)&lt;100000000,VALUE($E232),1000000000),IFERROR(IF(VALUE(MID($E232,2,20))&lt;100000000,VALUE(MID($E232,2,20)),1000000000),1000000000))+ROW()/100000,"")</f>
        <v/>
      </c>
    </row>
    <row r="233">
      <c r="G233" s="11" t="n"/>
      <c r="O233" s="7">
        <f>IF($E233="","",N233*W233/100)</f>
        <v/>
      </c>
      <c r="P233" s="7" t="n"/>
      <c r="V233" s="7" t="n"/>
      <c r="W233" s="7" t="n"/>
      <c r="Z233">
        <f>IF($E233="","",IF($AO233=1,0,IF($AN233=1,Settings!$C$6,Settings!$C$7))*100)</f>
        <v/>
      </c>
      <c r="AA233" s="7">
        <f>IF($E233="","",W233*Z233/100)</f>
        <v/>
      </c>
      <c r="AB233" s="7">
        <f>IF($E233="","",W233-AA233)</f>
        <v/>
      </c>
      <c r="AC233" s="7">
        <f>IF($E233="","",AB233-O233)</f>
        <v/>
      </c>
      <c r="AG233" s="7" t="n"/>
      <c r="AJ233" s="11" t="n"/>
      <c r="AL233">
        <f>IF($E233="","",IF(COUNTIF($E$2:$E233,$E233)=1,1,0))</f>
        <v/>
      </c>
      <c r="AM233">
        <f>IF($AL233=1,SUMPRODUCT(--($AP$2:$AP$301&lt;$AP233))+1,"")</f>
        <v/>
      </c>
      <c r="AN233">
        <f>IF($E233="","",IF(OR($S233=TRUE(),$S233="TRUE"),1,0))</f>
        <v/>
      </c>
      <c r="AO233">
        <f>IF($E233="","",IF($Y233="Yes",1,0))</f>
        <v/>
      </c>
      <c r="AP233">
        <f>IF($AL233=1,IFERROR(IF(VALUE($E233)&lt;100000000,VALUE($E233),1000000000),IFERROR(IF(VALUE(MID($E233,2,20))&lt;100000000,VALUE(MID($E233,2,20)),1000000000),1000000000))+ROW()/100000,"")</f>
        <v/>
      </c>
    </row>
    <row r="234">
      <c r="G234" s="11" t="n"/>
      <c r="O234" s="7">
        <f>IF($E234="","",N234*W234/100)</f>
        <v/>
      </c>
      <c r="P234" s="7" t="n"/>
      <c r="V234" s="7" t="n"/>
      <c r="W234" s="7" t="n"/>
      <c r="Z234">
        <f>IF($E234="","",IF($AO234=1,0,IF($AN234=1,Settings!$C$6,Settings!$C$7))*100)</f>
        <v/>
      </c>
      <c r="AA234" s="7">
        <f>IF($E234="","",W234*Z234/100)</f>
        <v/>
      </c>
      <c r="AB234" s="7">
        <f>IF($E234="","",W234-AA234)</f>
        <v/>
      </c>
      <c r="AC234" s="7">
        <f>IF($E234="","",AB234-O234)</f>
        <v/>
      </c>
      <c r="AG234" s="7" t="n"/>
      <c r="AJ234" s="11" t="n"/>
      <c r="AL234">
        <f>IF($E234="","",IF(COUNTIF($E$2:$E234,$E234)=1,1,0))</f>
        <v/>
      </c>
      <c r="AM234">
        <f>IF($AL234=1,SUMPRODUCT(--($AP$2:$AP$301&lt;$AP234))+1,"")</f>
        <v/>
      </c>
      <c r="AN234">
        <f>IF($E234="","",IF(OR($S234=TRUE(),$S234="TRUE"),1,0))</f>
        <v/>
      </c>
      <c r="AO234">
        <f>IF($E234="","",IF($Y234="Yes",1,0))</f>
        <v/>
      </c>
      <c r="AP234">
        <f>IF($AL234=1,IFERROR(IF(VALUE($E234)&lt;100000000,VALUE($E234),1000000000),IFERROR(IF(VALUE(MID($E234,2,20))&lt;100000000,VALUE(MID($E234,2,20)),1000000000),1000000000))+ROW()/100000,"")</f>
        <v/>
      </c>
    </row>
    <row r="235">
      <c r="G235" s="11" t="n"/>
      <c r="O235" s="7">
        <f>IF($E235="","",N235*W235/100)</f>
        <v/>
      </c>
      <c r="P235" s="7" t="n"/>
      <c r="V235" s="7" t="n"/>
      <c r="W235" s="7" t="n"/>
      <c r="Z235">
        <f>IF($E235="","",IF($AO235=1,0,IF($AN235=1,Settings!$C$6,Settings!$C$7))*100)</f>
        <v/>
      </c>
      <c r="AA235" s="7">
        <f>IF($E235="","",W235*Z235/100)</f>
        <v/>
      </c>
      <c r="AB235" s="7">
        <f>IF($E235="","",W235-AA235)</f>
        <v/>
      </c>
      <c r="AC235" s="7">
        <f>IF($E235="","",AB235-O235)</f>
        <v/>
      </c>
      <c r="AG235" s="7" t="n"/>
      <c r="AJ235" s="11" t="n"/>
      <c r="AL235">
        <f>IF($E235="","",IF(COUNTIF($E$2:$E235,$E235)=1,1,0))</f>
        <v/>
      </c>
      <c r="AM235">
        <f>IF($AL235=1,SUMPRODUCT(--($AP$2:$AP$301&lt;$AP235))+1,"")</f>
        <v/>
      </c>
      <c r="AN235">
        <f>IF($E235="","",IF(OR($S235=TRUE(),$S235="TRUE"),1,0))</f>
        <v/>
      </c>
      <c r="AO235">
        <f>IF($E235="","",IF($Y235="Yes",1,0))</f>
        <v/>
      </c>
      <c r="AP235">
        <f>IF($AL235=1,IFERROR(IF(VALUE($E235)&lt;100000000,VALUE($E235),1000000000),IFERROR(IF(VALUE(MID($E235,2,20))&lt;100000000,VALUE(MID($E235,2,20)),1000000000),1000000000))+ROW()/100000,"")</f>
        <v/>
      </c>
    </row>
    <row r="236">
      <c r="G236" s="11" t="n"/>
      <c r="O236" s="7">
        <f>IF($E236="","",N236*W236/100)</f>
        <v/>
      </c>
      <c r="P236" s="7" t="n"/>
      <c r="V236" s="7" t="n"/>
      <c r="W236" s="7" t="n"/>
      <c r="Z236">
        <f>IF($E236="","",IF($AO236=1,0,IF($AN236=1,Settings!$C$6,Settings!$C$7))*100)</f>
        <v/>
      </c>
      <c r="AA236" s="7">
        <f>IF($E236="","",W236*Z236/100)</f>
        <v/>
      </c>
      <c r="AB236" s="7">
        <f>IF($E236="","",W236-AA236)</f>
        <v/>
      </c>
      <c r="AC236" s="7">
        <f>IF($E236="","",AB236-O236)</f>
        <v/>
      </c>
      <c r="AG236" s="7" t="n"/>
      <c r="AJ236" s="11" t="n"/>
      <c r="AL236">
        <f>IF($E236="","",IF(COUNTIF($E$2:$E236,$E236)=1,1,0))</f>
        <v/>
      </c>
      <c r="AM236">
        <f>IF($AL236=1,SUMPRODUCT(--($AP$2:$AP$301&lt;$AP236))+1,"")</f>
        <v/>
      </c>
      <c r="AN236">
        <f>IF($E236="","",IF(OR($S236=TRUE(),$S236="TRUE"),1,0))</f>
        <v/>
      </c>
      <c r="AO236">
        <f>IF($E236="","",IF($Y236="Yes",1,0))</f>
        <v/>
      </c>
      <c r="AP236">
        <f>IF($AL236=1,IFERROR(IF(VALUE($E236)&lt;100000000,VALUE($E236),1000000000),IFERROR(IF(VALUE(MID($E236,2,20))&lt;100000000,VALUE(MID($E236,2,20)),1000000000),1000000000))+ROW()/100000,"")</f>
        <v/>
      </c>
    </row>
    <row r="237">
      <c r="G237" s="11" t="n"/>
      <c r="O237" s="7">
        <f>IF($E237="","",N237*W237/100)</f>
        <v/>
      </c>
      <c r="P237" s="7" t="n"/>
      <c r="V237" s="7" t="n"/>
      <c r="W237" s="7" t="n"/>
      <c r="Z237">
        <f>IF($E237="","",IF($AO237=1,0,IF($AN237=1,Settings!$C$6,Settings!$C$7))*100)</f>
        <v/>
      </c>
      <c r="AA237" s="7">
        <f>IF($E237="","",W237*Z237/100)</f>
        <v/>
      </c>
      <c r="AB237" s="7">
        <f>IF($E237="","",W237-AA237)</f>
        <v/>
      </c>
      <c r="AC237" s="7">
        <f>IF($E237="","",AB237-O237)</f>
        <v/>
      </c>
      <c r="AG237" s="7" t="n"/>
      <c r="AJ237" s="11" t="n"/>
      <c r="AL237">
        <f>IF($E237="","",IF(COUNTIF($E$2:$E237,$E237)=1,1,0))</f>
        <v/>
      </c>
      <c r="AM237">
        <f>IF($AL237=1,SUMPRODUCT(--($AP$2:$AP$301&lt;$AP237))+1,"")</f>
        <v/>
      </c>
      <c r="AN237">
        <f>IF($E237="","",IF(OR($S237=TRUE(),$S237="TRUE"),1,0))</f>
        <v/>
      </c>
      <c r="AO237">
        <f>IF($E237="","",IF($Y237="Yes",1,0))</f>
        <v/>
      </c>
      <c r="AP237">
        <f>IF($AL237=1,IFERROR(IF(VALUE($E237)&lt;100000000,VALUE($E237),1000000000),IFERROR(IF(VALUE(MID($E237,2,20))&lt;100000000,VALUE(MID($E237,2,20)),1000000000),1000000000))+ROW()/100000,"")</f>
        <v/>
      </c>
    </row>
    <row r="238">
      <c r="G238" s="11" t="n"/>
      <c r="O238" s="7">
        <f>IF($E238="","",N238*W238/100)</f>
        <v/>
      </c>
      <c r="P238" s="7" t="n"/>
      <c r="V238" s="7" t="n"/>
      <c r="W238" s="7" t="n"/>
      <c r="Z238">
        <f>IF($E238="","",IF($AO238=1,0,IF($AN238=1,Settings!$C$6,Settings!$C$7))*100)</f>
        <v/>
      </c>
      <c r="AA238" s="7">
        <f>IF($E238="","",W238*Z238/100)</f>
        <v/>
      </c>
      <c r="AB238" s="7">
        <f>IF($E238="","",W238-AA238)</f>
        <v/>
      </c>
      <c r="AC238" s="7">
        <f>IF($E238="","",AB238-O238)</f>
        <v/>
      </c>
      <c r="AG238" s="7" t="n"/>
      <c r="AJ238" s="11" t="n"/>
      <c r="AL238">
        <f>IF($E238="","",IF(COUNTIF($E$2:$E238,$E238)=1,1,0))</f>
        <v/>
      </c>
      <c r="AM238">
        <f>IF($AL238=1,SUMPRODUCT(--($AP$2:$AP$301&lt;$AP238))+1,"")</f>
        <v/>
      </c>
      <c r="AN238">
        <f>IF($E238="","",IF(OR($S238=TRUE(),$S238="TRUE"),1,0))</f>
        <v/>
      </c>
      <c r="AO238">
        <f>IF($E238="","",IF($Y238="Yes",1,0))</f>
        <v/>
      </c>
      <c r="AP238">
        <f>IF($AL238=1,IFERROR(IF(VALUE($E238)&lt;100000000,VALUE($E238),1000000000),IFERROR(IF(VALUE(MID($E238,2,20))&lt;100000000,VALUE(MID($E238,2,20)),1000000000),1000000000))+ROW()/100000,"")</f>
        <v/>
      </c>
    </row>
    <row r="239">
      <c r="G239" s="11" t="n"/>
      <c r="O239" s="7">
        <f>IF($E239="","",N239*W239/100)</f>
        <v/>
      </c>
      <c r="P239" s="7" t="n"/>
      <c r="V239" s="7" t="n"/>
      <c r="W239" s="7" t="n"/>
      <c r="Z239">
        <f>IF($E239="","",IF($AO239=1,0,IF($AN239=1,Settings!$C$6,Settings!$C$7))*100)</f>
        <v/>
      </c>
      <c r="AA239" s="7">
        <f>IF($E239="","",W239*Z239/100)</f>
        <v/>
      </c>
      <c r="AB239" s="7">
        <f>IF($E239="","",W239-AA239)</f>
        <v/>
      </c>
      <c r="AC239" s="7">
        <f>IF($E239="","",AB239-O239)</f>
        <v/>
      </c>
      <c r="AG239" s="7" t="n"/>
      <c r="AJ239" s="11" t="n"/>
      <c r="AL239">
        <f>IF($E239="","",IF(COUNTIF($E$2:$E239,$E239)=1,1,0))</f>
        <v/>
      </c>
      <c r="AM239">
        <f>IF($AL239=1,SUMPRODUCT(--($AP$2:$AP$301&lt;$AP239))+1,"")</f>
        <v/>
      </c>
      <c r="AN239">
        <f>IF($E239="","",IF(OR($S239=TRUE(),$S239="TRUE"),1,0))</f>
        <v/>
      </c>
      <c r="AO239">
        <f>IF($E239="","",IF($Y239="Yes",1,0))</f>
        <v/>
      </c>
      <c r="AP239">
        <f>IF($AL239=1,IFERROR(IF(VALUE($E239)&lt;100000000,VALUE($E239),1000000000),IFERROR(IF(VALUE(MID($E239,2,20))&lt;100000000,VALUE(MID($E239,2,20)),1000000000),1000000000))+ROW()/100000,"")</f>
        <v/>
      </c>
    </row>
    <row r="240">
      <c r="G240" s="11" t="n"/>
      <c r="O240" s="7">
        <f>IF($E240="","",N240*W240/100)</f>
        <v/>
      </c>
      <c r="P240" s="7" t="n"/>
      <c r="V240" s="7" t="n"/>
      <c r="W240" s="7" t="n"/>
      <c r="Z240">
        <f>IF($E240="","",IF($AO240=1,0,IF($AN240=1,Settings!$C$6,Settings!$C$7))*100)</f>
        <v/>
      </c>
      <c r="AA240" s="7">
        <f>IF($E240="","",W240*Z240/100)</f>
        <v/>
      </c>
      <c r="AB240" s="7">
        <f>IF($E240="","",W240-AA240)</f>
        <v/>
      </c>
      <c r="AC240" s="7">
        <f>IF($E240="","",AB240-O240)</f>
        <v/>
      </c>
      <c r="AG240" s="7" t="n"/>
      <c r="AJ240" s="11" t="n"/>
      <c r="AL240">
        <f>IF($E240="","",IF(COUNTIF($E$2:$E240,$E240)=1,1,0))</f>
        <v/>
      </c>
      <c r="AM240">
        <f>IF($AL240=1,SUMPRODUCT(--($AP$2:$AP$301&lt;$AP240))+1,"")</f>
        <v/>
      </c>
      <c r="AN240">
        <f>IF($E240="","",IF(OR($S240=TRUE(),$S240="TRUE"),1,0))</f>
        <v/>
      </c>
      <c r="AO240">
        <f>IF($E240="","",IF($Y240="Yes",1,0))</f>
        <v/>
      </c>
      <c r="AP240">
        <f>IF($AL240=1,IFERROR(IF(VALUE($E240)&lt;100000000,VALUE($E240),1000000000),IFERROR(IF(VALUE(MID($E240,2,20))&lt;100000000,VALUE(MID($E240,2,20)),1000000000),1000000000))+ROW()/100000,"")</f>
        <v/>
      </c>
    </row>
    <row r="241">
      <c r="G241" s="11" t="n"/>
      <c r="O241" s="7">
        <f>IF($E241="","",N241*W241/100)</f>
        <v/>
      </c>
      <c r="P241" s="7" t="n"/>
      <c r="V241" s="7" t="n"/>
      <c r="W241" s="7" t="n"/>
      <c r="Z241">
        <f>IF($E241="","",IF($AO241=1,0,IF($AN241=1,Settings!$C$6,Settings!$C$7))*100)</f>
        <v/>
      </c>
      <c r="AA241" s="7">
        <f>IF($E241="","",W241*Z241/100)</f>
        <v/>
      </c>
      <c r="AB241" s="7">
        <f>IF($E241="","",W241-AA241)</f>
        <v/>
      </c>
      <c r="AC241" s="7">
        <f>IF($E241="","",AB241-O241)</f>
        <v/>
      </c>
      <c r="AG241" s="7" t="n"/>
      <c r="AJ241" s="11" t="n"/>
      <c r="AL241">
        <f>IF($E241="","",IF(COUNTIF($E$2:$E241,$E241)=1,1,0))</f>
        <v/>
      </c>
      <c r="AM241">
        <f>IF($AL241=1,SUMPRODUCT(--($AP$2:$AP$301&lt;$AP241))+1,"")</f>
        <v/>
      </c>
      <c r="AN241">
        <f>IF($E241="","",IF(OR($S241=TRUE(),$S241="TRUE"),1,0))</f>
        <v/>
      </c>
      <c r="AO241">
        <f>IF($E241="","",IF($Y241="Yes",1,0))</f>
        <v/>
      </c>
      <c r="AP241">
        <f>IF($AL241=1,IFERROR(IF(VALUE($E241)&lt;100000000,VALUE($E241),1000000000),IFERROR(IF(VALUE(MID($E241,2,20))&lt;100000000,VALUE(MID($E241,2,20)),1000000000),1000000000))+ROW()/100000,"")</f>
        <v/>
      </c>
    </row>
    <row r="242">
      <c r="G242" s="11" t="n"/>
      <c r="O242" s="7">
        <f>IF($E242="","",N242*W242/100)</f>
        <v/>
      </c>
      <c r="P242" s="7" t="n"/>
      <c r="V242" s="7" t="n"/>
      <c r="W242" s="7" t="n"/>
      <c r="Z242">
        <f>IF($E242="","",IF($AO242=1,0,IF($AN242=1,Settings!$C$6,Settings!$C$7))*100)</f>
        <v/>
      </c>
      <c r="AA242" s="7">
        <f>IF($E242="","",W242*Z242/100)</f>
        <v/>
      </c>
      <c r="AB242" s="7">
        <f>IF($E242="","",W242-AA242)</f>
        <v/>
      </c>
      <c r="AC242" s="7">
        <f>IF($E242="","",AB242-O242)</f>
        <v/>
      </c>
      <c r="AG242" s="7" t="n"/>
      <c r="AJ242" s="11" t="n"/>
      <c r="AL242">
        <f>IF($E242="","",IF(COUNTIF($E$2:$E242,$E242)=1,1,0))</f>
        <v/>
      </c>
      <c r="AM242">
        <f>IF($AL242=1,SUMPRODUCT(--($AP$2:$AP$301&lt;$AP242))+1,"")</f>
        <v/>
      </c>
      <c r="AN242">
        <f>IF($E242="","",IF(OR($S242=TRUE(),$S242="TRUE"),1,0))</f>
        <v/>
      </c>
      <c r="AO242">
        <f>IF($E242="","",IF($Y242="Yes",1,0))</f>
        <v/>
      </c>
      <c r="AP242">
        <f>IF($AL242=1,IFERROR(IF(VALUE($E242)&lt;100000000,VALUE($E242),1000000000),IFERROR(IF(VALUE(MID($E242,2,20))&lt;100000000,VALUE(MID($E242,2,20)),1000000000),1000000000))+ROW()/100000,"")</f>
        <v/>
      </c>
    </row>
    <row r="243">
      <c r="G243" s="11" t="n"/>
      <c r="O243" s="7">
        <f>IF($E243="","",N243*W243/100)</f>
        <v/>
      </c>
      <c r="P243" s="7" t="n"/>
      <c r="V243" s="7" t="n"/>
      <c r="W243" s="7" t="n"/>
      <c r="Z243">
        <f>IF($E243="","",IF($AO243=1,0,IF($AN243=1,Settings!$C$6,Settings!$C$7))*100)</f>
        <v/>
      </c>
      <c r="AA243" s="7">
        <f>IF($E243="","",W243*Z243/100)</f>
        <v/>
      </c>
      <c r="AB243" s="7">
        <f>IF($E243="","",W243-AA243)</f>
        <v/>
      </c>
      <c r="AC243" s="7">
        <f>IF($E243="","",AB243-O243)</f>
        <v/>
      </c>
      <c r="AG243" s="7" t="n"/>
      <c r="AJ243" s="11" t="n"/>
      <c r="AL243">
        <f>IF($E243="","",IF(COUNTIF($E$2:$E243,$E243)=1,1,0))</f>
        <v/>
      </c>
      <c r="AM243">
        <f>IF($AL243=1,SUMPRODUCT(--($AP$2:$AP$301&lt;$AP243))+1,"")</f>
        <v/>
      </c>
      <c r="AN243">
        <f>IF($E243="","",IF(OR($S243=TRUE(),$S243="TRUE"),1,0))</f>
        <v/>
      </c>
      <c r="AO243">
        <f>IF($E243="","",IF($Y243="Yes",1,0))</f>
        <v/>
      </c>
      <c r="AP243">
        <f>IF($AL243=1,IFERROR(IF(VALUE($E243)&lt;100000000,VALUE($E243),1000000000),IFERROR(IF(VALUE(MID($E243,2,20))&lt;100000000,VALUE(MID($E243,2,20)),1000000000),1000000000))+ROW()/100000,"")</f>
        <v/>
      </c>
    </row>
    <row r="244">
      <c r="G244" s="11" t="n"/>
      <c r="O244" s="7">
        <f>IF($E244="","",N244*W244/100)</f>
        <v/>
      </c>
      <c r="P244" s="7" t="n"/>
      <c r="V244" s="7" t="n"/>
      <c r="W244" s="7" t="n"/>
      <c r="Z244">
        <f>IF($E244="","",IF($AO244=1,0,IF($AN244=1,Settings!$C$6,Settings!$C$7))*100)</f>
        <v/>
      </c>
      <c r="AA244" s="7">
        <f>IF($E244="","",W244*Z244/100)</f>
        <v/>
      </c>
      <c r="AB244" s="7">
        <f>IF($E244="","",W244-AA244)</f>
        <v/>
      </c>
      <c r="AC244" s="7">
        <f>IF($E244="","",AB244-O244)</f>
        <v/>
      </c>
      <c r="AG244" s="7" t="n"/>
      <c r="AJ244" s="11" t="n"/>
      <c r="AL244">
        <f>IF($E244="","",IF(COUNTIF($E$2:$E244,$E244)=1,1,0))</f>
        <v/>
      </c>
      <c r="AM244">
        <f>IF($AL244=1,SUMPRODUCT(--($AP$2:$AP$301&lt;$AP244))+1,"")</f>
        <v/>
      </c>
      <c r="AN244">
        <f>IF($E244="","",IF(OR($S244=TRUE(),$S244="TRUE"),1,0))</f>
        <v/>
      </c>
      <c r="AO244">
        <f>IF($E244="","",IF($Y244="Yes",1,0))</f>
        <v/>
      </c>
      <c r="AP244">
        <f>IF($AL244=1,IFERROR(IF(VALUE($E244)&lt;100000000,VALUE($E244),1000000000),IFERROR(IF(VALUE(MID($E244,2,20))&lt;100000000,VALUE(MID($E244,2,20)),1000000000),1000000000))+ROW()/100000,"")</f>
        <v/>
      </c>
    </row>
    <row r="245">
      <c r="G245" s="11" t="n"/>
      <c r="O245" s="7">
        <f>IF($E245="","",N245*W245/100)</f>
        <v/>
      </c>
      <c r="P245" s="7" t="n"/>
      <c r="V245" s="7" t="n"/>
      <c r="W245" s="7" t="n"/>
      <c r="Z245">
        <f>IF($E245="","",IF($AO245=1,0,IF($AN245=1,Settings!$C$6,Settings!$C$7))*100)</f>
        <v/>
      </c>
      <c r="AA245" s="7">
        <f>IF($E245="","",W245*Z245/100)</f>
        <v/>
      </c>
      <c r="AB245" s="7">
        <f>IF($E245="","",W245-AA245)</f>
        <v/>
      </c>
      <c r="AC245" s="7">
        <f>IF($E245="","",AB245-O245)</f>
        <v/>
      </c>
      <c r="AG245" s="7" t="n"/>
      <c r="AJ245" s="11" t="n"/>
      <c r="AL245">
        <f>IF($E245="","",IF(COUNTIF($E$2:$E245,$E245)=1,1,0))</f>
        <v/>
      </c>
      <c r="AM245">
        <f>IF($AL245=1,SUMPRODUCT(--($AP$2:$AP$301&lt;$AP245))+1,"")</f>
        <v/>
      </c>
      <c r="AN245">
        <f>IF($E245="","",IF(OR($S245=TRUE(),$S245="TRUE"),1,0))</f>
        <v/>
      </c>
      <c r="AO245">
        <f>IF($E245="","",IF($Y245="Yes",1,0))</f>
        <v/>
      </c>
      <c r="AP245">
        <f>IF($AL245=1,IFERROR(IF(VALUE($E245)&lt;100000000,VALUE($E245),1000000000),IFERROR(IF(VALUE(MID($E245,2,20))&lt;100000000,VALUE(MID($E245,2,20)),1000000000),1000000000))+ROW()/100000,"")</f>
        <v/>
      </c>
    </row>
    <row r="246">
      <c r="G246" s="11" t="n"/>
      <c r="O246" s="7">
        <f>IF($E246="","",N246*W246/100)</f>
        <v/>
      </c>
      <c r="P246" s="7" t="n"/>
      <c r="V246" s="7" t="n"/>
      <c r="W246" s="7" t="n"/>
      <c r="Z246">
        <f>IF($E246="","",IF($AO246=1,0,IF($AN246=1,Settings!$C$6,Settings!$C$7))*100)</f>
        <v/>
      </c>
      <c r="AA246" s="7">
        <f>IF($E246="","",W246*Z246/100)</f>
        <v/>
      </c>
      <c r="AB246" s="7">
        <f>IF($E246="","",W246-AA246)</f>
        <v/>
      </c>
      <c r="AC246" s="7">
        <f>IF($E246="","",AB246-O246)</f>
        <v/>
      </c>
      <c r="AG246" s="7" t="n"/>
      <c r="AJ246" s="11" t="n"/>
      <c r="AL246">
        <f>IF($E246="","",IF(COUNTIF($E$2:$E246,$E246)=1,1,0))</f>
        <v/>
      </c>
      <c r="AM246">
        <f>IF($AL246=1,SUMPRODUCT(--($AP$2:$AP$301&lt;$AP246))+1,"")</f>
        <v/>
      </c>
      <c r="AN246">
        <f>IF($E246="","",IF(OR($S246=TRUE(),$S246="TRUE"),1,0))</f>
        <v/>
      </c>
      <c r="AO246">
        <f>IF($E246="","",IF($Y246="Yes",1,0))</f>
        <v/>
      </c>
      <c r="AP246">
        <f>IF($AL246=1,IFERROR(IF(VALUE($E246)&lt;100000000,VALUE($E246),1000000000),IFERROR(IF(VALUE(MID($E246,2,20))&lt;100000000,VALUE(MID($E246,2,20)),1000000000),1000000000))+ROW()/100000,"")</f>
        <v/>
      </c>
    </row>
    <row r="247">
      <c r="G247" s="11" t="n"/>
      <c r="O247" s="7">
        <f>IF($E247="","",N247*W247/100)</f>
        <v/>
      </c>
      <c r="P247" s="7" t="n"/>
      <c r="V247" s="7" t="n"/>
      <c r="W247" s="7" t="n"/>
      <c r="Z247">
        <f>IF($E247="","",IF($AO247=1,0,IF($AN247=1,Settings!$C$6,Settings!$C$7))*100)</f>
        <v/>
      </c>
      <c r="AA247" s="7">
        <f>IF($E247="","",W247*Z247/100)</f>
        <v/>
      </c>
      <c r="AB247" s="7">
        <f>IF($E247="","",W247-AA247)</f>
        <v/>
      </c>
      <c r="AC247" s="7">
        <f>IF($E247="","",AB247-O247)</f>
        <v/>
      </c>
      <c r="AG247" s="7" t="n"/>
      <c r="AJ247" s="11" t="n"/>
      <c r="AL247">
        <f>IF($E247="","",IF(COUNTIF($E$2:$E247,$E247)=1,1,0))</f>
        <v/>
      </c>
      <c r="AM247">
        <f>IF($AL247=1,SUMPRODUCT(--($AP$2:$AP$301&lt;$AP247))+1,"")</f>
        <v/>
      </c>
      <c r="AN247">
        <f>IF($E247="","",IF(OR($S247=TRUE(),$S247="TRUE"),1,0))</f>
        <v/>
      </c>
      <c r="AO247">
        <f>IF($E247="","",IF($Y247="Yes",1,0))</f>
        <v/>
      </c>
      <c r="AP247">
        <f>IF($AL247=1,IFERROR(IF(VALUE($E247)&lt;100000000,VALUE($E247),1000000000),IFERROR(IF(VALUE(MID($E247,2,20))&lt;100000000,VALUE(MID($E247,2,20)),1000000000),1000000000))+ROW()/100000,"")</f>
        <v/>
      </c>
    </row>
    <row r="248">
      <c r="G248" s="11" t="n"/>
      <c r="O248" s="7">
        <f>IF($E248="","",N248*W248/100)</f>
        <v/>
      </c>
      <c r="P248" s="7" t="n"/>
      <c r="V248" s="7" t="n"/>
      <c r="W248" s="7" t="n"/>
      <c r="Z248">
        <f>IF($E248="","",IF($AO248=1,0,IF($AN248=1,Settings!$C$6,Settings!$C$7))*100)</f>
        <v/>
      </c>
      <c r="AA248" s="7">
        <f>IF($E248="","",W248*Z248/100)</f>
        <v/>
      </c>
      <c r="AB248" s="7">
        <f>IF($E248="","",W248-AA248)</f>
        <v/>
      </c>
      <c r="AC248" s="7">
        <f>IF($E248="","",AB248-O248)</f>
        <v/>
      </c>
      <c r="AG248" s="7" t="n"/>
      <c r="AJ248" s="11" t="n"/>
      <c r="AL248">
        <f>IF($E248="","",IF(COUNTIF($E$2:$E248,$E248)=1,1,0))</f>
        <v/>
      </c>
      <c r="AM248">
        <f>IF($AL248=1,SUMPRODUCT(--($AP$2:$AP$301&lt;$AP248))+1,"")</f>
        <v/>
      </c>
      <c r="AN248">
        <f>IF($E248="","",IF(OR($S248=TRUE(),$S248="TRUE"),1,0))</f>
        <v/>
      </c>
      <c r="AO248">
        <f>IF($E248="","",IF($Y248="Yes",1,0))</f>
        <v/>
      </c>
      <c r="AP248">
        <f>IF($AL248=1,IFERROR(IF(VALUE($E248)&lt;100000000,VALUE($E248),1000000000),IFERROR(IF(VALUE(MID($E248,2,20))&lt;100000000,VALUE(MID($E248,2,20)),1000000000),1000000000))+ROW()/100000,"")</f>
        <v/>
      </c>
    </row>
    <row r="249">
      <c r="G249" s="11" t="n"/>
      <c r="O249" s="7">
        <f>IF($E249="","",N249*W249/100)</f>
        <v/>
      </c>
      <c r="P249" s="7" t="n"/>
      <c r="V249" s="7" t="n"/>
      <c r="W249" s="7" t="n"/>
      <c r="Z249">
        <f>IF($E249="","",IF($AO249=1,0,IF($AN249=1,Settings!$C$6,Settings!$C$7))*100)</f>
        <v/>
      </c>
      <c r="AA249" s="7">
        <f>IF($E249="","",W249*Z249/100)</f>
        <v/>
      </c>
      <c r="AB249" s="7">
        <f>IF($E249="","",W249-AA249)</f>
        <v/>
      </c>
      <c r="AC249" s="7">
        <f>IF($E249="","",AB249-O249)</f>
        <v/>
      </c>
      <c r="AG249" s="7" t="n"/>
      <c r="AJ249" s="11" t="n"/>
      <c r="AL249">
        <f>IF($E249="","",IF(COUNTIF($E$2:$E249,$E249)=1,1,0))</f>
        <v/>
      </c>
      <c r="AM249">
        <f>IF($AL249=1,SUMPRODUCT(--($AP$2:$AP$301&lt;$AP249))+1,"")</f>
        <v/>
      </c>
      <c r="AN249">
        <f>IF($E249="","",IF(OR($S249=TRUE(),$S249="TRUE"),1,0))</f>
        <v/>
      </c>
      <c r="AO249">
        <f>IF($E249="","",IF($Y249="Yes",1,0))</f>
        <v/>
      </c>
      <c r="AP249">
        <f>IF($AL249=1,IFERROR(IF(VALUE($E249)&lt;100000000,VALUE($E249),1000000000),IFERROR(IF(VALUE(MID($E249,2,20))&lt;100000000,VALUE(MID($E249,2,20)),1000000000),1000000000))+ROW()/100000,"")</f>
        <v/>
      </c>
    </row>
    <row r="250">
      <c r="G250" s="11" t="n"/>
      <c r="O250" s="7">
        <f>IF($E250="","",N250*W250/100)</f>
        <v/>
      </c>
      <c r="P250" s="7" t="n"/>
      <c r="V250" s="7" t="n"/>
      <c r="W250" s="7" t="n"/>
      <c r="Z250">
        <f>IF($E250="","",IF($AO250=1,0,IF($AN250=1,Settings!$C$6,Settings!$C$7))*100)</f>
        <v/>
      </c>
      <c r="AA250" s="7">
        <f>IF($E250="","",W250*Z250/100)</f>
        <v/>
      </c>
      <c r="AB250" s="7">
        <f>IF($E250="","",W250-AA250)</f>
        <v/>
      </c>
      <c r="AC250" s="7">
        <f>IF($E250="","",AB250-O250)</f>
        <v/>
      </c>
      <c r="AG250" s="7" t="n"/>
      <c r="AJ250" s="11" t="n"/>
      <c r="AL250">
        <f>IF($E250="","",IF(COUNTIF($E$2:$E250,$E250)=1,1,0))</f>
        <v/>
      </c>
      <c r="AM250">
        <f>IF($AL250=1,SUMPRODUCT(--($AP$2:$AP$301&lt;$AP250))+1,"")</f>
        <v/>
      </c>
      <c r="AN250">
        <f>IF($E250="","",IF(OR($S250=TRUE(),$S250="TRUE"),1,0))</f>
        <v/>
      </c>
      <c r="AO250">
        <f>IF($E250="","",IF($Y250="Yes",1,0))</f>
        <v/>
      </c>
      <c r="AP250">
        <f>IF($AL250=1,IFERROR(IF(VALUE($E250)&lt;100000000,VALUE($E250),1000000000),IFERROR(IF(VALUE(MID($E250,2,20))&lt;100000000,VALUE(MID($E250,2,20)),1000000000),1000000000))+ROW()/100000,"")</f>
        <v/>
      </c>
    </row>
    <row r="251">
      <c r="G251" s="11" t="n"/>
      <c r="O251" s="7">
        <f>IF($E251="","",N251*W251/100)</f>
        <v/>
      </c>
      <c r="P251" s="7" t="n"/>
      <c r="V251" s="7" t="n"/>
      <c r="W251" s="7" t="n"/>
      <c r="Z251">
        <f>IF($E251="","",IF($AO251=1,0,IF($AN251=1,Settings!$C$6,Settings!$C$7))*100)</f>
        <v/>
      </c>
      <c r="AA251" s="7">
        <f>IF($E251="","",W251*Z251/100)</f>
        <v/>
      </c>
      <c r="AB251" s="7">
        <f>IF($E251="","",W251-AA251)</f>
        <v/>
      </c>
      <c r="AC251" s="7">
        <f>IF($E251="","",AB251-O251)</f>
        <v/>
      </c>
      <c r="AG251" s="7" t="n"/>
      <c r="AJ251" s="11" t="n"/>
      <c r="AL251">
        <f>IF($E251="","",IF(COUNTIF($E$2:$E251,$E251)=1,1,0))</f>
        <v/>
      </c>
      <c r="AM251">
        <f>IF($AL251=1,SUMPRODUCT(--($AP$2:$AP$301&lt;$AP251))+1,"")</f>
        <v/>
      </c>
      <c r="AN251">
        <f>IF($E251="","",IF(OR($S251=TRUE(),$S251="TRUE"),1,0))</f>
        <v/>
      </c>
      <c r="AO251">
        <f>IF($E251="","",IF($Y251="Yes",1,0))</f>
        <v/>
      </c>
      <c r="AP251">
        <f>IF($AL251=1,IFERROR(IF(VALUE($E251)&lt;100000000,VALUE($E251),1000000000),IFERROR(IF(VALUE(MID($E251,2,20))&lt;100000000,VALUE(MID($E251,2,20)),1000000000),1000000000))+ROW()/100000,"")</f>
        <v/>
      </c>
    </row>
    <row r="252">
      <c r="G252" s="11" t="n"/>
      <c r="O252" s="7">
        <f>IF($E252="","",N252*W252/100)</f>
        <v/>
      </c>
      <c r="P252" s="7" t="n"/>
      <c r="V252" s="7" t="n"/>
      <c r="W252" s="7" t="n"/>
      <c r="Z252">
        <f>IF($E252="","",IF($AO252=1,0,IF($AN252=1,Settings!$C$6,Settings!$C$7))*100)</f>
        <v/>
      </c>
      <c r="AA252" s="7">
        <f>IF($E252="","",W252*Z252/100)</f>
        <v/>
      </c>
      <c r="AB252" s="7">
        <f>IF($E252="","",W252-AA252)</f>
        <v/>
      </c>
      <c r="AC252" s="7">
        <f>IF($E252="","",AB252-O252)</f>
        <v/>
      </c>
      <c r="AG252" s="7" t="n"/>
      <c r="AJ252" s="11" t="n"/>
      <c r="AL252">
        <f>IF($E252="","",IF(COUNTIF($E$2:$E252,$E252)=1,1,0))</f>
        <v/>
      </c>
      <c r="AM252">
        <f>IF($AL252=1,SUMPRODUCT(--($AP$2:$AP$301&lt;$AP252))+1,"")</f>
        <v/>
      </c>
      <c r="AN252">
        <f>IF($E252="","",IF(OR($S252=TRUE(),$S252="TRUE"),1,0))</f>
        <v/>
      </c>
      <c r="AO252">
        <f>IF($E252="","",IF($Y252="Yes",1,0))</f>
        <v/>
      </c>
      <c r="AP252">
        <f>IF($AL252=1,IFERROR(IF(VALUE($E252)&lt;100000000,VALUE($E252),1000000000),IFERROR(IF(VALUE(MID($E252,2,20))&lt;100000000,VALUE(MID($E252,2,20)),1000000000),1000000000))+ROW()/100000,"")</f>
        <v/>
      </c>
    </row>
    <row r="253">
      <c r="G253" s="11" t="n"/>
      <c r="O253" s="7">
        <f>IF($E253="","",N253*W253/100)</f>
        <v/>
      </c>
      <c r="P253" s="7" t="n"/>
      <c r="V253" s="7" t="n"/>
      <c r="W253" s="7" t="n"/>
      <c r="Z253">
        <f>IF($E253="","",IF($AO253=1,0,IF($AN253=1,Settings!$C$6,Settings!$C$7))*100)</f>
        <v/>
      </c>
      <c r="AA253" s="7">
        <f>IF($E253="","",W253*Z253/100)</f>
        <v/>
      </c>
      <c r="AB253" s="7">
        <f>IF($E253="","",W253-AA253)</f>
        <v/>
      </c>
      <c r="AC253" s="7">
        <f>IF($E253="","",AB253-O253)</f>
        <v/>
      </c>
      <c r="AG253" s="7" t="n"/>
      <c r="AJ253" s="11" t="n"/>
      <c r="AL253">
        <f>IF($E253="","",IF(COUNTIF($E$2:$E253,$E253)=1,1,0))</f>
        <v/>
      </c>
      <c r="AM253">
        <f>IF($AL253=1,SUMPRODUCT(--($AP$2:$AP$301&lt;$AP253))+1,"")</f>
        <v/>
      </c>
      <c r="AN253">
        <f>IF($E253="","",IF(OR($S253=TRUE(),$S253="TRUE"),1,0))</f>
        <v/>
      </c>
      <c r="AO253">
        <f>IF($E253="","",IF($Y253="Yes",1,0))</f>
        <v/>
      </c>
      <c r="AP253">
        <f>IF($AL253=1,IFERROR(IF(VALUE($E253)&lt;100000000,VALUE($E253),1000000000),IFERROR(IF(VALUE(MID($E253,2,20))&lt;100000000,VALUE(MID($E253,2,20)),1000000000),1000000000))+ROW()/100000,"")</f>
        <v/>
      </c>
    </row>
    <row r="254">
      <c r="G254" s="11" t="n"/>
      <c r="O254" s="7">
        <f>IF($E254="","",N254*W254/100)</f>
        <v/>
      </c>
      <c r="P254" s="7" t="n"/>
      <c r="V254" s="7" t="n"/>
      <c r="W254" s="7" t="n"/>
      <c r="Z254">
        <f>IF($E254="","",IF($AO254=1,0,IF($AN254=1,Settings!$C$6,Settings!$C$7))*100)</f>
        <v/>
      </c>
      <c r="AA254" s="7">
        <f>IF($E254="","",W254*Z254/100)</f>
        <v/>
      </c>
      <c r="AB254" s="7">
        <f>IF($E254="","",W254-AA254)</f>
        <v/>
      </c>
      <c r="AC254" s="7">
        <f>IF($E254="","",AB254-O254)</f>
        <v/>
      </c>
      <c r="AG254" s="7" t="n"/>
      <c r="AJ254" s="11" t="n"/>
      <c r="AL254">
        <f>IF($E254="","",IF(COUNTIF($E$2:$E254,$E254)=1,1,0))</f>
        <v/>
      </c>
      <c r="AM254">
        <f>IF($AL254=1,SUMPRODUCT(--($AP$2:$AP$301&lt;$AP254))+1,"")</f>
        <v/>
      </c>
      <c r="AN254">
        <f>IF($E254="","",IF(OR($S254=TRUE(),$S254="TRUE"),1,0))</f>
        <v/>
      </c>
      <c r="AO254">
        <f>IF($E254="","",IF($Y254="Yes",1,0))</f>
        <v/>
      </c>
      <c r="AP254">
        <f>IF($AL254=1,IFERROR(IF(VALUE($E254)&lt;100000000,VALUE($E254),1000000000),IFERROR(IF(VALUE(MID($E254,2,20))&lt;100000000,VALUE(MID($E254,2,20)),1000000000),1000000000))+ROW()/100000,"")</f>
        <v/>
      </c>
    </row>
    <row r="255">
      <c r="G255" s="11" t="n"/>
      <c r="O255" s="7">
        <f>IF($E255="","",N255*W255/100)</f>
        <v/>
      </c>
      <c r="P255" s="7" t="n"/>
      <c r="V255" s="7" t="n"/>
      <c r="W255" s="7" t="n"/>
      <c r="Z255">
        <f>IF($E255="","",IF($AO255=1,0,IF($AN255=1,Settings!$C$6,Settings!$C$7))*100)</f>
        <v/>
      </c>
      <c r="AA255" s="7">
        <f>IF($E255="","",W255*Z255/100)</f>
        <v/>
      </c>
      <c r="AB255" s="7">
        <f>IF($E255="","",W255-AA255)</f>
        <v/>
      </c>
      <c r="AC255" s="7">
        <f>IF($E255="","",AB255-O255)</f>
        <v/>
      </c>
      <c r="AG255" s="7" t="n"/>
      <c r="AJ255" s="11" t="n"/>
      <c r="AL255">
        <f>IF($E255="","",IF(COUNTIF($E$2:$E255,$E255)=1,1,0))</f>
        <v/>
      </c>
      <c r="AM255">
        <f>IF($AL255=1,SUMPRODUCT(--($AP$2:$AP$301&lt;$AP255))+1,"")</f>
        <v/>
      </c>
      <c r="AN255">
        <f>IF($E255="","",IF(OR($S255=TRUE(),$S255="TRUE"),1,0))</f>
        <v/>
      </c>
      <c r="AO255">
        <f>IF($E255="","",IF($Y255="Yes",1,0))</f>
        <v/>
      </c>
      <c r="AP255">
        <f>IF($AL255=1,IFERROR(IF(VALUE($E255)&lt;100000000,VALUE($E255),1000000000),IFERROR(IF(VALUE(MID($E255,2,20))&lt;100000000,VALUE(MID($E255,2,20)),1000000000),1000000000))+ROW()/100000,"")</f>
        <v/>
      </c>
    </row>
    <row r="256">
      <c r="G256" s="11" t="n"/>
      <c r="O256" s="7">
        <f>IF($E256="","",N256*W256/100)</f>
        <v/>
      </c>
      <c r="P256" s="7" t="n"/>
      <c r="V256" s="7" t="n"/>
      <c r="W256" s="7" t="n"/>
      <c r="Z256">
        <f>IF($E256="","",IF($AO256=1,0,IF($AN256=1,Settings!$C$6,Settings!$C$7))*100)</f>
        <v/>
      </c>
      <c r="AA256" s="7">
        <f>IF($E256="","",W256*Z256/100)</f>
        <v/>
      </c>
      <c r="AB256" s="7">
        <f>IF($E256="","",W256-AA256)</f>
        <v/>
      </c>
      <c r="AC256" s="7">
        <f>IF($E256="","",AB256-O256)</f>
        <v/>
      </c>
      <c r="AG256" s="7" t="n"/>
      <c r="AJ256" s="11" t="n"/>
      <c r="AL256">
        <f>IF($E256="","",IF(COUNTIF($E$2:$E256,$E256)=1,1,0))</f>
        <v/>
      </c>
      <c r="AM256">
        <f>IF($AL256=1,SUMPRODUCT(--($AP$2:$AP$301&lt;$AP256))+1,"")</f>
        <v/>
      </c>
      <c r="AN256">
        <f>IF($E256="","",IF(OR($S256=TRUE(),$S256="TRUE"),1,0))</f>
        <v/>
      </c>
      <c r="AO256">
        <f>IF($E256="","",IF($Y256="Yes",1,0))</f>
        <v/>
      </c>
      <c r="AP256">
        <f>IF($AL256=1,IFERROR(IF(VALUE($E256)&lt;100000000,VALUE($E256),1000000000),IFERROR(IF(VALUE(MID($E256,2,20))&lt;100000000,VALUE(MID($E256,2,20)),1000000000),1000000000))+ROW()/100000,"")</f>
        <v/>
      </c>
    </row>
    <row r="257">
      <c r="G257" s="11" t="n"/>
      <c r="O257" s="7">
        <f>IF($E257="","",N257*W257/100)</f>
        <v/>
      </c>
      <c r="P257" s="7" t="n"/>
      <c r="V257" s="7" t="n"/>
      <c r="W257" s="7" t="n"/>
      <c r="Z257">
        <f>IF($E257="","",IF($AO257=1,0,IF($AN257=1,Settings!$C$6,Settings!$C$7))*100)</f>
        <v/>
      </c>
      <c r="AA257" s="7">
        <f>IF($E257="","",W257*Z257/100)</f>
        <v/>
      </c>
      <c r="AB257" s="7">
        <f>IF($E257="","",W257-AA257)</f>
        <v/>
      </c>
      <c r="AC257" s="7">
        <f>IF($E257="","",AB257-O257)</f>
        <v/>
      </c>
      <c r="AG257" s="7" t="n"/>
      <c r="AJ257" s="11" t="n"/>
      <c r="AL257">
        <f>IF($E257="","",IF(COUNTIF($E$2:$E257,$E257)=1,1,0))</f>
        <v/>
      </c>
      <c r="AM257">
        <f>IF($AL257=1,SUMPRODUCT(--($AP$2:$AP$301&lt;$AP257))+1,"")</f>
        <v/>
      </c>
      <c r="AN257">
        <f>IF($E257="","",IF(OR($S257=TRUE(),$S257="TRUE"),1,0))</f>
        <v/>
      </c>
      <c r="AO257">
        <f>IF($E257="","",IF($Y257="Yes",1,0))</f>
        <v/>
      </c>
      <c r="AP257">
        <f>IF($AL257=1,IFERROR(IF(VALUE($E257)&lt;100000000,VALUE($E257),1000000000),IFERROR(IF(VALUE(MID($E257,2,20))&lt;100000000,VALUE(MID($E257,2,20)),1000000000),1000000000))+ROW()/100000,"")</f>
        <v/>
      </c>
    </row>
    <row r="258">
      <c r="G258" s="11" t="n"/>
      <c r="O258" s="7">
        <f>IF($E258="","",N258*W258/100)</f>
        <v/>
      </c>
      <c r="P258" s="7" t="n"/>
      <c r="V258" s="7" t="n"/>
      <c r="W258" s="7" t="n"/>
      <c r="Z258">
        <f>IF($E258="","",IF($AO258=1,0,IF($AN258=1,Settings!$C$6,Settings!$C$7))*100)</f>
        <v/>
      </c>
      <c r="AA258" s="7">
        <f>IF($E258="","",W258*Z258/100)</f>
        <v/>
      </c>
      <c r="AB258" s="7">
        <f>IF($E258="","",W258-AA258)</f>
        <v/>
      </c>
      <c r="AC258" s="7">
        <f>IF($E258="","",AB258-O258)</f>
        <v/>
      </c>
      <c r="AG258" s="7" t="n"/>
      <c r="AJ258" s="11" t="n"/>
      <c r="AL258">
        <f>IF($E258="","",IF(COUNTIF($E$2:$E258,$E258)=1,1,0))</f>
        <v/>
      </c>
      <c r="AM258">
        <f>IF($AL258=1,SUMPRODUCT(--($AP$2:$AP$301&lt;$AP258))+1,"")</f>
        <v/>
      </c>
      <c r="AN258">
        <f>IF($E258="","",IF(OR($S258=TRUE(),$S258="TRUE"),1,0))</f>
        <v/>
      </c>
      <c r="AO258">
        <f>IF($E258="","",IF($Y258="Yes",1,0))</f>
        <v/>
      </c>
      <c r="AP258">
        <f>IF($AL258=1,IFERROR(IF(VALUE($E258)&lt;100000000,VALUE($E258),1000000000),IFERROR(IF(VALUE(MID($E258,2,20))&lt;100000000,VALUE(MID($E258,2,20)),1000000000),1000000000))+ROW()/100000,"")</f>
        <v/>
      </c>
    </row>
    <row r="259">
      <c r="G259" s="11" t="n"/>
      <c r="O259" s="7">
        <f>IF($E259="","",N259*W259/100)</f>
        <v/>
      </c>
      <c r="P259" s="7" t="n"/>
      <c r="V259" s="7" t="n"/>
      <c r="W259" s="7" t="n"/>
      <c r="Z259">
        <f>IF($E259="","",IF($AO259=1,0,IF($AN259=1,Settings!$C$6,Settings!$C$7))*100)</f>
        <v/>
      </c>
      <c r="AA259" s="7">
        <f>IF($E259="","",W259*Z259/100)</f>
        <v/>
      </c>
      <c r="AB259" s="7">
        <f>IF($E259="","",W259-AA259)</f>
        <v/>
      </c>
      <c r="AC259" s="7">
        <f>IF($E259="","",AB259-O259)</f>
        <v/>
      </c>
      <c r="AG259" s="7" t="n"/>
      <c r="AJ259" s="11" t="n"/>
      <c r="AL259">
        <f>IF($E259="","",IF(COUNTIF($E$2:$E259,$E259)=1,1,0))</f>
        <v/>
      </c>
      <c r="AM259">
        <f>IF($AL259=1,SUMPRODUCT(--($AP$2:$AP$301&lt;$AP259))+1,"")</f>
        <v/>
      </c>
      <c r="AN259">
        <f>IF($E259="","",IF(OR($S259=TRUE(),$S259="TRUE"),1,0))</f>
        <v/>
      </c>
      <c r="AO259">
        <f>IF($E259="","",IF($Y259="Yes",1,0))</f>
        <v/>
      </c>
      <c r="AP259">
        <f>IF($AL259=1,IFERROR(IF(VALUE($E259)&lt;100000000,VALUE($E259),1000000000),IFERROR(IF(VALUE(MID($E259,2,20))&lt;100000000,VALUE(MID($E259,2,20)),1000000000),1000000000))+ROW()/100000,"")</f>
        <v/>
      </c>
    </row>
    <row r="260">
      <c r="G260" s="11" t="n"/>
      <c r="O260" s="7">
        <f>IF($E260="","",N260*W260/100)</f>
        <v/>
      </c>
      <c r="P260" s="7" t="n"/>
      <c r="V260" s="7" t="n"/>
      <c r="W260" s="7" t="n"/>
      <c r="Z260">
        <f>IF($E260="","",IF($AO260=1,0,IF($AN260=1,Settings!$C$6,Settings!$C$7))*100)</f>
        <v/>
      </c>
      <c r="AA260" s="7">
        <f>IF($E260="","",W260*Z260/100)</f>
        <v/>
      </c>
      <c r="AB260" s="7">
        <f>IF($E260="","",W260-AA260)</f>
        <v/>
      </c>
      <c r="AC260" s="7">
        <f>IF($E260="","",AB260-O260)</f>
        <v/>
      </c>
      <c r="AG260" s="7" t="n"/>
      <c r="AJ260" s="11" t="n"/>
      <c r="AL260">
        <f>IF($E260="","",IF(COUNTIF($E$2:$E260,$E260)=1,1,0))</f>
        <v/>
      </c>
      <c r="AM260">
        <f>IF($AL260=1,SUMPRODUCT(--($AP$2:$AP$301&lt;$AP260))+1,"")</f>
        <v/>
      </c>
      <c r="AN260">
        <f>IF($E260="","",IF(OR($S260=TRUE(),$S260="TRUE"),1,0))</f>
        <v/>
      </c>
      <c r="AO260">
        <f>IF($E260="","",IF($Y260="Yes",1,0))</f>
        <v/>
      </c>
      <c r="AP260">
        <f>IF($AL260=1,IFERROR(IF(VALUE($E260)&lt;100000000,VALUE($E260),1000000000),IFERROR(IF(VALUE(MID($E260,2,20))&lt;100000000,VALUE(MID($E260,2,20)),1000000000),1000000000))+ROW()/100000,"")</f>
        <v/>
      </c>
    </row>
    <row r="261">
      <c r="G261" s="11" t="n"/>
      <c r="O261" s="7">
        <f>IF($E261="","",N261*W261/100)</f>
        <v/>
      </c>
      <c r="P261" s="7" t="n"/>
      <c r="V261" s="7" t="n"/>
      <c r="W261" s="7" t="n"/>
      <c r="Z261">
        <f>IF($E261="","",IF($AO261=1,0,IF($AN261=1,Settings!$C$6,Settings!$C$7))*100)</f>
        <v/>
      </c>
      <c r="AA261" s="7">
        <f>IF($E261="","",W261*Z261/100)</f>
        <v/>
      </c>
      <c r="AB261" s="7">
        <f>IF($E261="","",W261-AA261)</f>
        <v/>
      </c>
      <c r="AC261" s="7">
        <f>IF($E261="","",AB261-O261)</f>
        <v/>
      </c>
      <c r="AG261" s="7" t="n"/>
      <c r="AJ261" s="11" t="n"/>
      <c r="AL261">
        <f>IF($E261="","",IF(COUNTIF($E$2:$E261,$E261)=1,1,0))</f>
        <v/>
      </c>
      <c r="AM261">
        <f>IF($AL261=1,SUMPRODUCT(--($AP$2:$AP$301&lt;$AP261))+1,"")</f>
        <v/>
      </c>
      <c r="AN261">
        <f>IF($E261="","",IF(OR($S261=TRUE(),$S261="TRUE"),1,0))</f>
        <v/>
      </c>
      <c r="AO261">
        <f>IF($E261="","",IF($Y261="Yes",1,0))</f>
        <v/>
      </c>
      <c r="AP261">
        <f>IF($AL261=1,IFERROR(IF(VALUE($E261)&lt;100000000,VALUE($E261),1000000000),IFERROR(IF(VALUE(MID($E261,2,20))&lt;100000000,VALUE(MID($E261,2,20)),1000000000),1000000000))+ROW()/100000,"")</f>
        <v/>
      </c>
    </row>
    <row r="262">
      <c r="G262" s="11" t="n"/>
      <c r="O262" s="7">
        <f>IF($E262="","",N262*W262/100)</f>
        <v/>
      </c>
      <c r="P262" s="7" t="n"/>
      <c r="V262" s="7" t="n"/>
      <c r="W262" s="7" t="n"/>
      <c r="Z262">
        <f>IF($E262="","",IF($AO262=1,0,IF($AN262=1,Settings!$C$6,Settings!$C$7))*100)</f>
        <v/>
      </c>
      <c r="AA262" s="7">
        <f>IF($E262="","",W262*Z262/100)</f>
        <v/>
      </c>
      <c r="AB262" s="7">
        <f>IF($E262="","",W262-AA262)</f>
        <v/>
      </c>
      <c r="AC262" s="7">
        <f>IF($E262="","",AB262-O262)</f>
        <v/>
      </c>
      <c r="AG262" s="7" t="n"/>
      <c r="AJ262" s="11" t="n"/>
      <c r="AL262">
        <f>IF($E262="","",IF(COUNTIF($E$2:$E262,$E262)=1,1,0))</f>
        <v/>
      </c>
      <c r="AM262">
        <f>IF($AL262=1,SUMPRODUCT(--($AP$2:$AP$301&lt;$AP262))+1,"")</f>
        <v/>
      </c>
      <c r="AN262">
        <f>IF($E262="","",IF(OR($S262=TRUE(),$S262="TRUE"),1,0))</f>
        <v/>
      </c>
      <c r="AO262">
        <f>IF($E262="","",IF($Y262="Yes",1,0))</f>
        <v/>
      </c>
      <c r="AP262">
        <f>IF($AL262=1,IFERROR(IF(VALUE($E262)&lt;100000000,VALUE($E262),1000000000),IFERROR(IF(VALUE(MID($E262,2,20))&lt;100000000,VALUE(MID($E262,2,20)),1000000000),1000000000))+ROW()/100000,"")</f>
        <v/>
      </c>
    </row>
    <row r="263">
      <c r="G263" s="11" t="n"/>
      <c r="O263" s="7">
        <f>IF($E263="","",N263*W263/100)</f>
        <v/>
      </c>
      <c r="P263" s="7" t="n"/>
      <c r="V263" s="7" t="n"/>
      <c r="W263" s="7" t="n"/>
      <c r="Z263">
        <f>IF($E263="","",IF($AO263=1,0,IF($AN263=1,Settings!$C$6,Settings!$C$7))*100)</f>
        <v/>
      </c>
      <c r="AA263" s="7">
        <f>IF($E263="","",W263*Z263/100)</f>
        <v/>
      </c>
      <c r="AB263" s="7">
        <f>IF($E263="","",W263-AA263)</f>
        <v/>
      </c>
      <c r="AC263" s="7">
        <f>IF($E263="","",AB263-O263)</f>
        <v/>
      </c>
      <c r="AG263" s="7" t="n"/>
      <c r="AJ263" s="11" t="n"/>
      <c r="AL263">
        <f>IF($E263="","",IF(COUNTIF($E$2:$E263,$E263)=1,1,0))</f>
        <v/>
      </c>
      <c r="AM263">
        <f>IF($AL263=1,SUMPRODUCT(--($AP$2:$AP$301&lt;$AP263))+1,"")</f>
        <v/>
      </c>
      <c r="AN263">
        <f>IF($E263="","",IF(OR($S263=TRUE(),$S263="TRUE"),1,0))</f>
        <v/>
      </c>
      <c r="AO263">
        <f>IF($E263="","",IF($Y263="Yes",1,0))</f>
        <v/>
      </c>
      <c r="AP263">
        <f>IF($AL263=1,IFERROR(IF(VALUE($E263)&lt;100000000,VALUE($E263),1000000000),IFERROR(IF(VALUE(MID($E263,2,20))&lt;100000000,VALUE(MID($E263,2,20)),1000000000),1000000000))+ROW()/100000,"")</f>
        <v/>
      </c>
    </row>
    <row r="264">
      <c r="G264" s="11" t="n"/>
      <c r="O264" s="7">
        <f>IF($E264="","",N264*W264/100)</f>
        <v/>
      </c>
      <c r="P264" s="7" t="n"/>
      <c r="V264" s="7" t="n"/>
      <c r="W264" s="7" t="n"/>
      <c r="Z264">
        <f>IF($E264="","",IF($AO264=1,0,IF($AN264=1,Settings!$C$6,Settings!$C$7))*100)</f>
        <v/>
      </c>
      <c r="AA264" s="7">
        <f>IF($E264="","",W264*Z264/100)</f>
        <v/>
      </c>
      <c r="AB264" s="7">
        <f>IF($E264="","",W264-AA264)</f>
        <v/>
      </c>
      <c r="AC264" s="7">
        <f>IF($E264="","",AB264-O264)</f>
        <v/>
      </c>
      <c r="AG264" s="7" t="n"/>
      <c r="AJ264" s="11" t="n"/>
      <c r="AL264">
        <f>IF($E264="","",IF(COUNTIF($E$2:$E264,$E264)=1,1,0))</f>
        <v/>
      </c>
      <c r="AM264">
        <f>IF($AL264=1,SUMPRODUCT(--($AP$2:$AP$301&lt;$AP264))+1,"")</f>
        <v/>
      </c>
      <c r="AN264">
        <f>IF($E264="","",IF(OR($S264=TRUE(),$S264="TRUE"),1,0))</f>
        <v/>
      </c>
      <c r="AO264">
        <f>IF($E264="","",IF($Y264="Yes",1,0))</f>
        <v/>
      </c>
      <c r="AP264">
        <f>IF($AL264=1,IFERROR(IF(VALUE($E264)&lt;100000000,VALUE($E264),1000000000),IFERROR(IF(VALUE(MID($E264,2,20))&lt;100000000,VALUE(MID($E264,2,20)),1000000000),1000000000))+ROW()/100000,"")</f>
        <v/>
      </c>
    </row>
    <row r="265">
      <c r="G265" s="11" t="n"/>
      <c r="O265" s="7">
        <f>IF($E265="","",N265*W265/100)</f>
        <v/>
      </c>
      <c r="P265" s="7" t="n"/>
      <c r="V265" s="7" t="n"/>
      <c r="W265" s="7" t="n"/>
      <c r="Z265">
        <f>IF($E265="","",IF($AO265=1,0,IF($AN265=1,Settings!$C$6,Settings!$C$7))*100)</f>
        <v/>
      </c>
      <c r="AA265" s="7">
        <f>IF($E265="","",W265*Z265/100)</f>
        <v/>
      </c>
      <c r="AB265" s="7">
        <f>IF($E265="","",W265-AA265)</f>
        <v/>
      </c>
      <c r="AC265" s="7">
        <f>IF($E265="","",AB265-O265)</f>
        <v/>
      </c>
      <c r="AG265" s="7" t="n"/>
      <c r="AJ265" s="11" t="n"/>
      <c r="AL265">
        <f>IF($E265="","",IF(COUNTIF($E$2:$E265,$E265)=1,1,0))</f>
        <v/>
      </c>
      <c r="AM265">
        <f>IF($AL265=1,SUMPRODUCT(--($AP$2:$AP$301&lt;$AP265))+1,"")</f>
        <v/>
      </c>
      <c r="AN265">
        <f>IF($E265="","",IF(OR($S265=TRUE(),$S265="TRUE"),1,0))</f>
        <v/>
      </c>
      <c r="AO265">
        <f>IF($E265="","",IF($Y265="Yes",1,0))</f>
        <v/>
      </c>
      <c r="AP265">
        <f>IF($AL265=1,IFERROR(IF(VALUE($E265)&lt;100000000,VALUE($E265),1000000000),IFERROR(IF(VALUE(MID($E265,2,20))&lt;100000000,VALUE(MID($E265,2,20)),1000000000),1000000000))+ROW()/100000,"")</f>
        <v/>
      </c>
    </row>
    <row r="266">
      <c r="G266" s="11" t="n"/>
      <c r="O266" s="7">
        <f>IF($E266="","",N266*W266/100)</f>
        <v/>
      </c>
      <c r="P266" s="7" t="n"/>
      <c r="V266" s="7" t="n"/>
      <c r="W266" s="7" t="n"/>
      <c r="Z266">
        <f>IF($E266="","",IF($AO266=1,0,IF($AN266=1,Settings!$C$6,Settings!$C$7))*100)</f>
        <v/>
      </c>
      <c r="AA266" s="7">
        <f>IF($E266="","",W266*Z266/100)</f>
        <v/>
      </c>
      <c r="AB266" s="7">
        <f>IF($E266="","",W266-AA266)</f>
        <v/>
      </c>
      <c r="AC266" s="7">
        <f>IF($E266="","",AB266-O266)</f>
        <v/>
      </c>
      <c r="AG266" s="7" t="n"/>
      <c r="AJ266" s="11" t="n"/>
      <c r="AL266">
        <f>IF($E266="","",IF(COUNTIF($E$2:$E266,$E266)=1,1,0))</f>
        <v/>
      </c>
      <c r="AM266">
        <f>IF($AL266=1,SUMPRODUCT(--($AP$2:$AP$301&lt;$AP266))+1,"")</f>
        <v/>
      </c>
      <c r="AN266">
        <f>IF($E266="","",IF(OR($S266=TRUE(),$S266="TRUE"),1,0))</f>
        <v/>
      </c>
      <c r="AO266">
        <f>IF($E266="","",IF($Y266="Yes",1,0))</f>
        <v/>
      </c>
      <c r="AP266">
        <f>IF($AL266=1,IFERROR(IF(VALUE($E266)&lt;100000000,VALUE($E266),1000000000),IFERROR(IF(VALUE(MID($E266,2,20))&lt;100000000,VALUE(MID($E266,2,20)),1000000000),1000000000))+ROW()/100000,"")</f>
        <v/>
      </c>
    </row>
    <row r="267">
      <c r="G267" s="11" t="n"/>
      <c r="O267" s="7">
        <f>IF($E267="","",N267*W267/100)</f>
        <v/>
      </c>
      <c r="P267" s="7" t="n"/>
      <c r="V267" s="7" t="n"/>
      <c r="W267" s="7" t="n"/>
      <c r="Z267">
        <f>IF($E267="","",IF($AO267=1,0,IF($AN267=1,Settings!$C$6,Settings!$C$7))*100)</f>
        <v/>
      </c>
      <c r="AA267" s="7">
        <f>IF($E267="","",W267*Z267/100)</f>
        <v/>
      </c>
      <c r="AB267" s="7">
        <f>IF($E267="","",W267-AA267)</f>
        <v/>
      </c>
      <c r="AC267" s="7">
        <f>IF($E267="","",AB267-O267)</f>
        <v/>
      </c>
      <c r="AG267" s="7" t="n"/>
      <c r="AJ267" s="11" t="n"/>
      <c r="AL267">
        <f>IF($E267="","",IF(COUNTIF($E$2:$E267,$E267)=1,1,0))</f>
        <v/>
      </c>
      <c r="AM267">
        <f>IF($AL267=1,SUMPRODUCT(--($AP$2:$AP$301&lt;$AP267))+1,"")</f>
        <v/>
      </c>
      <c r="AN267">
        <f>IF($E267="","",IF(OR($S267=TRUE(),$S267="TRUE"),1,0))</f>
        <v/>
      </c>
      <c r="AO267">
        <f>IF($E267="","",IF($Y267="Yes",1,0))</f>
        <v/>
      </c>
      <c r="AP267">
        <f>IF($AL267=1,IFERROR(IF(VALUE($E267)&lt;100000000,VALUE($E267),1000000000),IFERROR(IF(VALUE(MID($E267,2,20))&lt;100000000,VALUE(MID($E267,2,20)),1000000000),1000000000))+ROW()/100000,"")</f>
        <v/>
      </c>
    </row>
    <row r="268">
      <c r="G268" s="11" t="n"/>
      <c r="O268" s="7">
        <f>IF($E268="","",N268*W268/100)</f>
        <v/>
      </c>
      <c r="P268" s="7" t="n"/>
      <c r="V268" s="7" t="n"/>
      <c r="W268" s="7" t="n"/>
      <c r="Z268">
        <f>IF($E268="","",IF($AO268=1,0,IF($AN268=1,Settings!$C$6,Settings!$C$7))*100)</f>
        <v/>
      </c>
      <c r="AA268" s="7">
        <f>IF($E268="","",W268*Z268/100)</f>
        <v/>
      </c>
      <c r="AB268" s="7">
        <f>IF($E268="","",W268-AA268)</f>
        <v/>
      </c>
      <c r="AC268" s="7">
        <f>IF($E268="","",AB268-O268)</f>
        <v/>
      </c>
      <c r="AG268" s="7" t="n"/>
      <c r="AJ268" s="11" t="n"/>
      <c r="AL268">
        <f>IF($E268="","",IF(COUNTIF($E$2:$E268,$E268)=1,1,0))</f>
        <v/>
      </c>
      <c r="AM268">
        <f>IF($AL268=1,SUMPRODUCT(--($AP$2:$AP$301&lt;$AP268))+1,"")</f>
        <v/>
      </c>
      <c r="AN268">
        <f>IF($E268="","",IF(OR($S268=TRUE(),$S268="TRUE"),1,0))</f>
        <v/>
      </c>
      <c r="AO268">
        <f>IF($E268="","",IF($Y268="Yes",1,0))</f>
        <v/>
      </c>
      <c r="AP268">
        <f>IF($AL268=1,IFERROR(IF(VALUE($E268)&lt;100000000,VALUE($E268),1000000000),IFERROR(IF(VALUE(MID($E268,2,20))&lt;100000000,VALUE(MID($E268,2,20)),1000000000),1000000000))+ROW()/100000,"")</f>
        <v/>
      </c>
    </row>
    <row r="269">
      <c r="G269" s="11" t="n"/>
      <c r="O269" s="7">
        <f>IF($E269="","",N269*W269/100)</f>
        <v/>
      </c>
      <c r="P269" s="7" t="n"/>
      <c r="V269" s="7" t="n"/>
      <c r="W269" s="7" t="n"/>
      <c r="Z269">
        <f>IF($E269="","",IF($AO269=1,0,IF($AN269=1,Settings!$C$6,Settings!$C$7))*100)</f>
        <v/>
      </c>
      <c r="AA269" s="7">
        <f>IF($E269="","",W269*Z269/100)</f>
        <v/>
      </c>
      <c r="AB269" s="7">
        <f>IF($E269="","",W269-AA269)</f>
        <v/>
      </c>
      <c r="AC269" s="7">
        <f>IF($E269="","",AB269-O269)</f>
        <v/>
      </c>
      <c r="AG269" s="7" t="n"/>
      <c r="AJ269" s="11" t="n"/>
      <c r="AL269">
        <f>IF($E269="","",IF(COUNTIF($E$2:$E269,$E269)=1,1,0))</f>
        <v/>
      </c>
      <c r="AM269">
        <f>IF($AL269=1,SUMPRODUCT(--($AP$2:$AP$301&lt;$AP269))+1,"")</f>
        <v/>
      </c>
      <c r="AN269">
        <f>IF($E269="","",IF(OR($S269=TRUE(),$S269="TRUE"),1,0))</f>
        <v/>
      </c>
      <c r="AO269">
        <f>IF($E269="","",IF($Y269="Yes",1,0))</f>
        <v/>
      </c>
      <c r="AP269">
        <f>IF($AL269=1,IFERROR(IF(VALUE($E269)&lt;100000000,VALUE($E269),1000000000),IFERROR(IF(VALUE(MID($E269,2,20))&lt;100000000,VALUE(MID($E269,2,20)),1000000000),1000000000))+ROW()/100000,"")</f>
        <v/>
      </c>
    </row>
    <row r="270">
      <c r="G270" s="11" t="n"/>
      <c r="O270" s="7">
        <f>IF($E270="","",N270*W270/100)</f>
        <v/>
      </c>
      <c r="P270" s="7" t="n"/>
      <c r="V270" s="7" t="n"/>
      <c r="W270" s="7" t="n"/>
      <c r="Z270">
        <f>IF($E270="","",IF($AO270=1,0,IF($AN270=1,Settings!$C$6,Settings!$C$7))*100)</f>
        <v/>
      </c>
      <c r="AA270" s="7">
        <f>IF($E270="","",W270*Z270/100)</f>
        <v/>
      </c>
      <c r="AB270" s="7">
        <f>IF($E270="","",W270-AA270)</f>
        <v/>
      </c>
      <c r="AC270" s="7">
        <f>IF($E270="","",AB270-O270)</f>
        <v/>
      </c>
      <c r="AG270" s="7" t="n"/>
      <c r="AJ270" s="11" t="n"/>
      <c r="AL270">
        <f>IF($E270="","",IF(COUNTIF($E$2:$E270,$E270)=1,1,0))</f>
        <v/>
      </c>
      <c r="AM270">
        <f>IF($AL270=1,SUMPRODUCT(--($AP$2:$AP$301&lt;$AP270))+1,"")</f>
        <v/>
      </c>
      <c r="AN270">
        <f>IF($E270="","",IF(OR($S270=TRUE(),$S270="TRUE"),1,0))</f>
        <v/>
      </c>
      <c r="AO270">
        <f>IF($E270="","",IF($Y270="Yes",1,0))</f>
        <v/>
      </c>
      <c r="AP270">
        <f>IF($AL270=1,IFERROR(IF(VALUE($E270)&lt;100000000,VALUE($E270),1000000000),IFERROR(IF(VALUE(MID($E270,2,20))&lt;100000000,VALUE(MID($E270,2,20)),1000000000),1000000000))+ROW()/100000,"")</f>
        <v/>
      </c>
    </row>
    <row r="271">
      <c r="G271" s="11" t="n"/>
      <c r="O271" s="7">
        <f>IF($E271="","",N271*W271/100)</f>
        <v/>
      </c>
      <c r="P271" s="7" t="n"/>
      <c r="V271" s="7" t="n"/>
      <c r="W271" s="7" t="n"/>
      <c r="Z271">
        <f>IF($E271="","",IF($AO271=1,0,IF($AN271=1,Settings!$C$6,Settings!$C$7))*100)</f>
        <v/>
      </c>
      <c r="AA271" s="7">
        <f>IF($E271="","",W271*Z271/100)</f>
        <v/>
      </c>
      <c r="AB271" s="7">
        <f>IF($E271="","",W271-AA271)</f>
        <v/>
      </c>
      <c r="AC271" s="7">
        <f>IF($E271="","",AB271-O271)</f>
        <v/>
      </c>
      <c r="AG271" s="7" t="n"/>
      <c r="AJ271" s="11" t="n"/>
      <c r="AL271">
        <f>IF($E271="","",IF(COUNTIF($E$2:$E271,$E271)=1,1,0))</f>
        <v/>
      </c>
      <c r="AM271">
        <f>IF($AL271=1,SUMPRODUCT(--($AP$2:$AP$301&lt;$AP271))+1,"")</f>
        <v/>
      </c>
      <c r="AN271">
        <f>IF($E271="","",IF(OR($S271=TRUE(),$S271="TRUE"),1,0))</f>
        <v/>
      </c>
      <c r="AO271">
        <f>IF($E271="","",IF($Y271="Yes",1,0))</f>
        <v/>
      </c>
      <c r="AP271">
        <f>IF($AL271=1,IFERROR(IF(VALUE($E271)&lt;100000000,VALUE($E271),1000000000),IFERROR(IF(VALUE(MID($E271,2,20))&lt;100000000,VALUE(MID($E271,2,20)),1000000000),1000000000))+ROW()/100000,"")</f>
        <v/>
      </c>
    </row>
    <row r="272">
      <c r="G272" s="11" t="n"/>
      <c r="O272" s="7">
        <f>IF($E272="","",N272*W272/100)</f>
        <v/>
      </c>
      <c r="P272" s="7" t="n"/>
      <c r="V272" s="7" t="n"/>
      <c r="W272" s="7" t="n"/>
      <c r="Z272">
        <f>IF($E272="","",IF($AO272=1,0,IF($AN272=1,Settings!$C$6,Settings!$C$7))*100)</f>
        <v/>
      </c>
      <c r="AA272" s="7">
        <f>IF($E272="","",W272*Z272/100)</f>
        <v/>
      </c>
      <c r="AB272" s="7">
        <f>IF($E272="","",W272-AA272)</f>
        <v/>
      </c>
      <c r="AC272" s="7">
        <f>IF($E272="","",AB272-O272)</f>
        <v/>
      </c>
      <c r="AG272" s="7" t="n"/>
      <c r="AJ272" s="11" t="n"/>
      <c r="AL272">
        <f>IF($E272="","",IF(COUNTIF($E$2:$E272,$E272)=1,1,0))</f>
        <v/>
      </c>
      <c r="AM272">
        <f>IF($AL272=1,SUMPRODUCT(--($AP$2:$AP$301&lt;$AP272))+1,"")</f>
        <v/>
      </c>
      <c r="AN272">
        <f>IF($E272="","",IF(OR($S272=TRUE(),$S272="TRUE"),1,0))</f>
        <v/>
      </c>
      <c r="AO272">
        <f>IF($E272="","",IF($Y272="Yes",1,0))</f>
        <v/>
      </c>
      <c r="AP272">
        <f>IF($AL272=1,IFERROR(IF(VALUE($E272)&lt;100000000,VALUE($E272),1000000000),IFERROR(IF(VALUE(MID($E272,2,20))&lt;100000000,VALUE(MID($E272,2,20)),1000000000),1000000000))+ROW()/100000,"")</f>
        <v/>
      </c>
    </row>
    <row r="273">
      <c r="G273" s="11" t="n"/>
      <c r="O273" s="7">
        <f>IF($E273="","",N273*W273/100)</f>
        <v/>
      </c>
      <c r="P273" s="7" t="n"/>
      <c r="V273" s="7" t="n"/>
      <c r="W273" s="7" t="n"/>
      <c r="Z273">
        <f>IF($E273="","",IF($AO273=1,0,IF($AN273=1,Settings!$C$6,Settings!$C$7))*100)</f>
        <v/>
      </c>
      <c r="AA273" s="7">
        <f>IF($E273="","",W273*Z273/100)</f>
        <v/>
      </c>
      <c r="AB273" s="7">
        <f>IF($E273="","",W273-AA273)</f>
        <v/>
      </c>
      <c r="AC273" s="7">
        <f>IF($E273="","",AB273-O273)</f>
        <v/>
      </c>
      <c r="AG273" s="7" t="n"/>
      <c r="AJ273" s="11" t="n"/>
      <c r="AL273">
        <f>IF($E273="","",IF(COUNTIF($E$2:$E273,$E273)=1,1,0))</f>
        <v/>
      </c>
      <c r="AM273">
        <f>IF($AL273=1,SUMPRODUCT(--($AP$2:$AP$301&lt;$AP273))+1,"")</f>
        <v/>
      </c>
      <c r="AN273">
        <f>IF($E273="","",IF(OR($S273=TRUE(),$S273="TRUE"),1,0))</f>
        <v/>
      </c>
      <c r="AO273">
        <f>IF($E273="","",IF($Y273="Yes",1,0))</f>
        <v/>
      </c>
      <c r="AP273">
        <f>IF($AL273=1,IFERROR(IF(VALUE($E273)&lt;100000000,VALUE($E273),1000000000),IFERROR(IF(VALUE(MID($E273,2,20))&lt;100000000,VALUE(MID($E273,2,20)),1000000000),1000000000))+ROW()/100000,"")</f>
        <v/>
      </c>
    </row>
    <row r="274">
      <c r="G274" s="11" t="n"/>
      <c r="O274" s="7">
        <f>IF($E274="","",N274*W274/100)</f>
        <v/>
      </c>
      <c r="P274" s="7" t="n"/>
      <c r="V274" s="7" t="n"/>
      <c r="W274" s="7" t="n"/>
      <c r="Z274">
        <f>IF($E274="","",IF($AO274=1,0,IF($AN274=1,Settings!$C$6,Settings!$C$7))*100)</f>
        <v/>
      </c>
      <c r="AA274" s="7">
        <f>IF($E274="","",W274*Z274/100)</f>
        <v/>
      </c>
      <c r="AB274" s="7">
        <f>IF($E274="","",W274-AA274)</f>
        <v/>
      </c>
      <c r="AC274" s="7">
        <f>IF($E274="","",AB274-O274)</f>
        <v/>
      </c>
      <c r="AG274" s="7" t="n"/>
      <c r="AJ274" s="11" t="n"/>
      <c r="AL274">
        <f>IF($E274="","",IF(COUNTIF($E$2:$E274,$E274)=1,1,0))</f>
        <v/>
      </c>
      <c r="AM274">
        <f>IF($AL274=1,SUMPRODUCT(--($AP$2:$AP$301&lt;$AP274))+1,"")</f>
        <v/>
      </c>
      <c r="AN274">
        <f>IF($E274="","",IF(OR($S274=TRUE(),$S274="TRUE"),1,0))</f>
        <v/>
      </c>
      <c r="AO274">
        <f>IF($E274="","",IF($Y274="Yes",1,0))</f>
        <v/>
      </c>
      <c r="AP274">
        <f>IF($AL274=1,IFERROR(IF(VALUE($E274)&lt;100000000,VALUE($E274),1000000000),IFERROR(IF(VALUE(MID($E274,2,20))&lt;100000000,VALUE(MID($E274,2,20)),1000000000),1000000000))+ROW()/100000,"")</f>
        <v/>
      </c>
    </row>
    <row r="275">
      <c r="G275" s="11" t="n"/>
      <c r="O275" s="7">
        <f>IF($E275="","",N275*W275/100)</f>
        <v/>
      </c>
      <c r="P275" s="7" t="n"/>
      <c r="V275" s="7" t="n"/>
      <c r="W275" s="7" t="n"/>
      <c r="Z275">
        <f>IF($E275="","",IF($AO275=1,0,IF($AN275=1,Settings!$C$6,Settings!$C$7))*100)</f>
        <v/>
      </c>
      <c r="AA275" s="7">
        <f>IF($E275="","",W275*Z275/100)</f>
        <v/>
      </c>
      <c r="AB275" s="7">
        <f>IF($E275="","",W275-AA275)</f>
        <v/>
      </c>
      <c r="AC275" s="7">
        <f>IF($E275="","",AB275-O275)</f>
        <v/>
      </c>
      <c r="AG275" s="7" t="n"/>
      <c r="AJ275" s="11" t="n"/>
      <c r="AL275">
        <f>IF($E275="","",IF(COUNTIF($E$2:$E275,$E275)=1,1,0))</f>
        <v/>
      </c>
      <c r="AM275">
        <f>IF($AL275=1,SUMPRODUCT(--($AP$2:$AP$301&lt;$AP275))+1,"")</f>
        <v/>
      </c>
      <c r="AN275">
        <f>IF($E275="","",IF(OR($S275=TRUE(),$S275="TRUE"),1,0))</f>
        <v/>
      </c>
      <c r="AO275">
        <f>IF($E275="","",IF($Y275="Yes",1,0))</f>
        <v/>
      </c>
      <c r="AP275">
        <f>IF($AL275=1,IFERROR(IF(VALUE($E275)&lt;100000000,VALUE($E275),1000000000),IFERROR(IF(VALUE(MID($E275,2,20))&lt;100000000,VALUE(MID($E275,2,20)),1000000000),1000000000))+ROW()/100000,"")</f>
        <v/>
      </c>
    </row>
    <row r="276">
      <c r="G276" s="11" t="n"/>
      <c r="O276" s="7">
        <f>IF($E276="","",N276*W276/100)</f>
        <v/>
      </c>
      <c r="P276" s="7" t="n"/>
      <c r="V276" s="7" t="n"/>
      <c r="W276" s="7" t="n"/>
      <c r="Z276">
        <f>IF($E276="","",IF($AO276=1,0,IF($AN276=1,Settings!$C$6,Settings!$C$7))*100)</f>
        <v/>
      </c>
      <c r="AA276" s="7">
        <f>IF($E276="","",W276*Z276/100)</f>
        <v/>
      </c>
      <c r="AB276" s="7">
        <f>IF($E276="","",W276-AA276)</f>
        <v/>
      </c>
      <c r="AC276" s="7">
        <f>IF($E276="","",AB276-O276)</f>
        <v/>
      </c>
      <c r="AG276" s="7" t="n"/>
      <c r="AJ276" s="11" t="n"/>
      <c r="AL276">
        <f>IF($E276="","",IF(COUNTIF($E$2:$E276,$E276)=1,1,0))</f>
        <v/>
      </c>
      <c r="AM276">
        <f>IF($AL276=1,SUMPRODUCT(--($AP$2:$AP$301&lt;$AP276))+1,"")</f>
        <v/>
      </c>
      <c r="AN276">
        <f>IF($E276="","",IF(OR($S276=TRUE(),$S276="TRUE"),1,0))</f>
        <v/>
      </c>
      <c r="AO276">
        <f>IF($E276="","",IF($Y276="Yes",1,0))</f>
        <v/>
      </c>
      <c r="AP276">
        <f>IF($AL276=1,IFERROR(IF(VALUE($E276)&lt;100000000,VALUE($E276),1000000000),IFERROR(IF(VALUE(MID($E276,2,20))&lt;100000000,VALUE(MID($E276,2,20)),1000000000),1000000000))+ROW()/100000,"")</f>
        <v/>
      </c>
    </row>
    <row r="277">
      <c r="G277" s="11" t="n"/>
      <c r="O277" s="7">
        <f>IF($E277="","",N277*W277/100)</f>
        <v/>
      </c>
      <c r="P277" s="7" t="n"/>
      <c r="V277" s="7" t="n"/>
      <c r="W277" s="7" t="n"/>
      <c r="Z277">
        <f>IF($E277="","",IF($AO277=1,0,IF($AN277=1,Settings!$C$6,Settings!$C$7))*100)</f>
        <v/>
      </c>
      <c r="AA277" s="7">
        <f>IF($E277="","",W277*Z277/100)</f>
        <v/>
      </c>
      <c r="AB277" s="7">
        <f>IF($E277="","",W277-AA277)</f>
        <v/>
      </c>
      <c r="AC277" s="7">
        <f>IF($E277="","",AB277-O277)</f>
        <v/>
      </c>
      <c r="AG277" s="7" t="n"/>
      <c r="AJ277" s="11" t="n"/>
      <c r="AL277">
        <f>IF($E277="","",IF(COUNTIF($E$2:$E277,$E277)=1,1,0))</f>
        <v/>
      </c>
      <c r="AM277">
        <f>IF($AL277=1,SUMPRODUCT(--($AP$2:$AP$301&lt;$AP277))+1,"")</f>
        <v/>
      </c>
      <c r="AN277">
        <f>IF($E277="","",IF(OR($S277=TRUE(),$S277="TRUE"),1,0))</f>
        <v/>
      </c>
      <c r="AO277">
        <f>IF($E277="","",IF($Y277="Yes",1,0))</f>
        <v/>
      </c>
      <c r="AP277">
        <f>IF($AL277=1,IFERROR(IF(VALUE($E277)&lt;100000000,VALUE($E277),1000000000),IFERROR(IF(VALUE(MID($E277,2,20))&lt;100000000,VALUE(MID($E277,2,20)),1000000000),1000000000))+ROW()/100000,"")</f>
        <v/>
      </c>
    </row>
    <row r="278">
      <c r="G278" s="11" t="n"/>
      <c r="O278" s="7">
        <f>IF($E278="","",N278*W278/100)</f>
        <v/>
      </c>
      <c r="P278" s="7" t="n"/>
      <c r="V278" s="7" t="n"/>
      <c r="W278" s="7" t="n"/>
      <c r="Z278">
        <f>IF($E278="","",IF($AO278=1,0,IF($AN278=1,Settings!$C$6,Settings!$C$7))*100)</f>
        <v/>
      </c>
      <c r="AA278" s="7">
        <f>IF($E278="","",W278*Z278/100)</f>
        <v/>
      </c>
      <c r="AB278" s="7">
        <f>IF($E278="","",W278-AA278)</f>
        <v/>
      </c>
      <c r="AC278" s="7">
        <f>IF($E278="","",AB278-O278)</f>
        <v/>
      </c>
      <c r="AG278" s="7" t="n"/>
      <c r="AJ278" s="11" t="n"/>
      <c r="AL278">
        <f>IF($E278="","",IF(COUNTIF($E$2:$E278,$E278)=1,1,0))</f>
        <v/>
      </c>
      <c r="AM278">
        <f>IF($AL278=1,SUMPRODUCT(--($AP$2:$AP$301&lt;$AP278))+1,"")</f>
        <v/>
      </c>
      <c r="AN278">
        <f>IF($E278="","",IF(OR($S278=TRUE(),$S278="TRUE"),1,0))</f>
        <v/>
      </c>
      <c r="AO278">
        <f>IF($E278="","",IF($Y278="Yes",1,0))</f>
        <v/>
      </c>
      <c r="AP278">
        <f>IF($AL278=1,IFERROR(IF(VALUE($E278)&lt;100000000,VALUE($E278),1000000000),IFERROR(IF(VALUE(MID($E278,2,20))&lt;100000000,VALUE(MID($E278,2,20)),1000000000),1000000000))+ROW()/100000,"")</f>
        <v/>
      </c>
    </row>
    <row r="279">
      <c r="G279" s="11" t="n"/>
      <c r="O279" s="7">
        <f>IF($E279="","",N279*W279/100)</f>
        <v/>
      </c>
      <c r="P279" s="7" t="n"/>
      <c r="V279" s="7" t="n"/>
      <c r="W279" s="7" t="n"/>
      <c r="Z279">
        <f>IF($E279="","",IF($AO279=1,0,IF($AN279=1,Settings!$C$6,Settings!$C$7))*100)</f>
        <v/>
      </c>
      <c r="AA279" s="7">
        <f>IF($E279="","",W279*Z279/100)</f>
        <v/>
      </c>
      <c r="AB279" s="7">
        <f>IF($E279="","",W279-AA279)</f>
        <v/>
      </c>
      <c r="AC279" s="7">
        <f>IF($E279="","",AB279-O279)</f>
        <v/>
      </c>
      <c r="AG279" s="7" t="n"/>
      <c r="AJ279" s="11" t="n"/>
      <c r="AL279">
        <f>IF($E279="","",IF(COUNTIF($E$2:$E279,$E279)=1,1,0))</f>
        <v/>
      </c>
      <c r="AM279">
        <f>IF($AL279=1,SUMPRODUCT(--($AP$2:$AP$301&lt;$AP279))+1,"")</f>
        <v/>
      </c>
      <c r="AN279">
        <f>IF($E279="","",IF(OR($S279=TRUE(),$S279="TRUE"),1,0))</f>
        <v/>
      </c>
      <c r="AO279">
        <f>IF($E279="","",IF($Y279="Yes",1,0))</f>
        <v/>
      </c>
      <c r="AP279">
        <f>IF($AL279=1,IFERROR(IF(VALUE($E279)&lt;100000000,VALUE($E279),1000000000),IFERROR(IF(VALUE(MID($E279,2,20))&lt;100000000,VALUE(MID($E279,2,20)),1000000000),1000000000))+ROW()/100000,"")</f>
        <v/>
      </c>
    </row>
    <row r="280">
      <c r="G280" s="11" t="n"/>
      <c r="O280" s="7">
        <f>IF($E280="","",N280*W280/100)</f>
        <v/>
      </c>
      <c r="P280" s="7" t="n"/>
      <c r="V280" s="7" t="n"/>
      <c r="W280" s="7" t="n"/>
      <c r="Z280">
        <f>IF($E280="","",IF($AO280=1,0,IF($AN280=1,Settings!$C$6,Settings!$C$7))*100)</f>
        <v/>
      </c>
      <c r="AA280" s="7">
        <f>IF($E280="","",W280*Z280/100)</f>
        <v/>
      </c>
      <c r="AB280" s="7">
        <f>IF($E280="","",W280-AA280)</f>
        <v/>
      </c>
      <c r="AC280" s="7">
        <f>IF($E280="","",AB280-O280)</f>
        <v/>
      </c>
      <c r="AG280" s="7" t="n"/>
      <c r="AJ280" s="11" t="n"/>
      <c r="AL280">
        <f>IF($E280="","",IF(COUNTIF($E$2:$E280,$E280)=1,1,0))</f>
        <v/>
      </c>
      <c r="AM280">
        <f>IF($AL280=1,SUMPRODUCT(--($AP$2:$AP$301&lt;$AP280))+1,"")</f>
        <v/>
      </c>
      <c r="AN280">
        <f>IF($E280="","",IF(OR($S280=TRUE(),$S280="TRUE"),1,0))</f>
        <v/>
      </c>
      <c r="AO280">
        <f>IF($E280="","",IF($Y280="Yes",1,0))</f>
        <v/>
      </c>
      <c r="AP280">
        <f>IF($AL280=1,IFERROR(IF(VALUE($E280)&lt;100000000,VALUE($E280),1000000000),IFERROR(IF(VALUE(MID($E280,2,20))&lt;100000000,VALUE(MID($E280,2,20)),1000000000),1000000000))+ROW()/100000,"")</f>
        <v/>
      </c>
    </row>
    <row r="281">
      <c r="G281" s="11" t="n"/>
      <c r="O281" s="7">
        <f>IF($E281="","",N281*W281/100)</f>
        <v/>
      </c>
      <c r="P281" s="7" t="n"/>
      <c r="V281" s="7" t="n"/>
      <c r="W281" s="7" t="n"/>
      <c r="Z281">
        <f>IF($E281="","",IF($AO281=1,0,IF($AN281=1,Settings!$C$6,Settings!$C$7))*100)</f>
        <v/>
      </c>
      <c r="AA281" s="7">
        <f>IF($E281="","",W281*Z281/100)</f>
        <v/>
      </c>
      <c r="AB281" s="7">
        <f>IF($E281="","",W281-AA281)</f>
        <v/>
      </c>
      <c r="AC281" s="7">
        <f>IF($E281="","",AB281-O281)</f>
        <v/>
      </c>
      <c r="AG281" s="7" t="n"/>
      <c r="AJ281" s="11" t="n"/>
      <c r="AL281">
        <f>IF($E281="","",IF(COUNTIF($E$2:$E281,$E281)=1,1,0))</f>
        <v/>
      </c>
      <c r="AM281">
        <f>IF($AL281=1,SUMPRODUCT(--($AP$2:$AP$301&lt;$AP281))+1,"")</f>
        <v/>
      </c>
      <c r="AN281">
        <f>IF($E281="","",IF(OR($S281=TRUE(),$S281="TRUE"),1,0))</f>
        <v/>
      </c>
      <c r="AO281">
        <f>IF($E281="","",IF($Y281="Yes",1,0))</f>
        <v/>
      </c>
      <c r="AP281">
        <f>IF($AL281=1,IFERROR(IF(VALUE($E281)&lt;100000000,VALUE($E281),1000000000),IFERROR(IF(VALUE(MID($E281,2,20))&lt;100000000,VALUE(MID($E281,2,20)),1000000000),1000000000))+ROW()/100000,"")</f>
        <v/>
      </c>
    </row>
    <row r="282">
      <c r="G282" s="11" t="n"/>
      <c r="O282" s="7">
        <f>IF($E282="","",N282*W282/100)</f>
        <v/>
      </c>
      <c r="P282" s="7" t="n"/>
      <c r="V282" s="7" t="n"/>
      <c r="W282" s="7" t="n"/>
      <c r="Z282">
        <f>IF($E282="","",IF($AO282=1,0,IF($AN282=1,Settings!$C$6,Settings!$C$7))*100)</f>
        <v/>
      </c>
      <c r="AA282" s="7">
        <f>IF($E282="","",W282*Z282/100)</f>
        <v/>
      </c>
      <c r="AB282" s="7">
        <f>IF($E282="","",W282-AA282)</f>
        <v/>
      </c>
      <c r="AC282" s="7">
        <f>IF($E282="","",AB282-O282)</f>
        <v/>
      </c>
      <c r="AG282" s="7" t="n"/>
      <c r="AJ282" s="11" t="n"/>
      <c r="AL282">
        <f>IF($E282="","",IF(COUNTIF($E$2:$E282,$E282)=1,1,0))</f>
        <v/>
      </c>
      <c r="AM282">
        <f>IF($AL282=1,SUMPRODUCT(--($AP$2:$AP$301&lt;$AP282))+1,"")</f>
        <v/>
      </c>
      <c r="AN282">
        <f>IF($E282="","",IF(OR($S282=TRUE(),$S282="TRUE"),1,0))</f>
        <v/>
      </c>
      <c r="AO282">
        <f>IF($E282="","",IF($Y282="Yes",1,0))</f>
        <v/>
      </c>
      <c r="AP282">
        <f>IF($AL282=1,IFERROR(IF(VALUE($E282)&lt;100000000,VALUE($E282),1000000000),IFERROR(IF(VALUE(MID($E282,2,20))&lt;100000000,VALUE(MID($E282,2,20)),1000000000),1000000000))+ROW()/100000,"")</f>
        <v/>
      </c>
    </row>
    <row r="283">
      <c r="G283" s="11" t="n"/>
      <c r="O283" s="7">
        <f>IF($E283="","",N283*W283/100)</f>
        <v/>
      </c>
      <c r="P283" s="7" t="n"/>
      <c r="V283" s="7" t="n"/>
      <c r="W283" s="7" t="n"/>
      <c r="Z283">
        <f>IF($E283="","",IF($AO283=1,0,IF($AN283=1,Settings!$C$6,Settings!$C$7))*100)</f>
        <v/>
      </c>
      <c r="AA283" s="7">
        <f>IF($E283="","",W283*Z283/100)</f>
        <v/>
      </c>
      <c r="AB283" s="7">
        <f>IF($E283="","",W283-AA283)</f>
        <v/>
      </c>
      <c r="AC283" s="7">
        <f>IF($E283="","",AB283-O283)</f>
        <v/>
      </c>
      <c r="AG283" s="7" t="n"/>
      <c r="AJ283" s="11" t="n"/>
      <c r="AL283">
        <f>IF($E283="","",IF(COUNTIF($E$2:$E283,$E283)=1,1,0))</f>
        <v/>
      </c>
      <c r="AM283">
        <f>IF($AL283=1,SUMPRODUCT(--($AP$2:$AP$301&lt;$AP283))+1,"")</f>
        <v/>
      </c>
      <c r="AN283">
        <f>IF($E283="","",IF(OR($S283=TRUE(),$S283="TRUE"),1,0))</f>
        <v/>
      </c>
      <c r="AO283">
        <f>IF($E283="","",IF($Y283="Yes",1,0))</f>
        <v/>
      </c>
      <c r="AP283">
        <f>IF($AL283=1,IFERROR(IF(VALUE($E283)&lt;100000000,VALUE($E283),1000000000),IFERROR(IF(VALUE(MID($E283,2,20))&lt;100000000,VALUE(MID($E283,2,20)),1000000000),1000000000))+ROW()/100000,"")</f>
        <v/>
      </c>
    </row>
    <row r="284">
      <c r="G284" s="11" t="n"/>
      <c r="O284" s="7">
        <f>IF($E284="","",N284*W284/100)</f>
        <v/>
      </c>
      <c r="P284" s="7" t="n"/>
      <c r="V284" s="7" t="n"/>
      <c r="W284" s="7" t="n"/>
      <c r="Z284">
        <f>IF($E284="","",IF($AO284=1,0,IF($AN284=1,Settings!$C$6,Settings!$C$7))*100)</f>
        <v/>
      </c>
      <c r="AA284" s="7">
        <f>IF($E284="","",W284*Z284/100)</f>
        <v/>
      </c>
      <c r="AB284" s="7">
        <f>IF($E284="","",W284-AA284)</f>
        <v/>
      </c>
      <c r="AC284" s="7">
        <f>IF($E284="","",AB284-O284)</f>
        <v/>
      </c>
      <c r="AG284" s="7" t="n"/>
      <c r="AJ284" s="11" t="n"/>
      <c r="AL284">
        <f>IF($E284="","",IF(COUNTIF($E$2:$E284,$E284)=1,1,0))</f>
        <v/>
      </c>
      <c r="AM284">
        <f>IF($AL284=1,SUMPRODUCT(--($AP$2:$AP$301&lt;$AP284))+1,"")</f>
        <v/>
      </c>
      <c r="AN284">
        <f>IF($E284="","",IF(OR($S284=TRUE(),$S284="TRUE"),1,0))</f>
        <v/>
      </c>
      <c r="AO284">
        <f>IF($E284="","",IF($Y284="Yes",1,0))</f>
        <v/>
      </c>
      <c r="AP284">
        <f>IF($AL284=1,IFERROR(IF(VALUE($E284)&lt;100000000,VALUE($E284),1000000000),IFERROR(IF(VALUE(MID($E284,2,20))&lt;100000000,VALUE(MID($E284,2,20)),1000000000),1000000000))+ROW()/100000,"")</f>
        <v/>
      </c>
    </row>
    <row r="285">
      <c r="G285" s="11" t="n"/>
      <c r="O285" s="7">
        <f>IF($E285="","",N285*W285/100)</f>
        <v/>
      </c>
      <c r="P285" s="7" t="n"/>
      <c r="V285" s="7" t="n"/>
      <c r="W285" s="7" t="n"/>
      <c r="Z285">
        <f>IF($E285="","",IF($AO285=1,0,IF($AN285=1,Settings!$C$6,Settings!$C$7))*100)</f>
        <v/>
      </c>
      <c r="AA285" s="7">
        <f>IF($E285="","",W285*Z285/100)</f>
        <v/>
      </c>
      <c r="AB285" s="7">
        <f>IF($E285="","",W285-AA285)</f>
        <v/>
      </c>
      <c r="AC285" s="7">
        <f>IF($E285="","",AB285-O285)</f>
        <v/>
      </c>
      <c r="AG285" s="7" t="n"/>
      <c r="AJ285" s="11" t="n"/>
      <c r="AL285">
        <f>IF($E285="","",IF(COUNTIF($E$2:$E285,$E285)=1,1,0))</f>
        <v/>
      </c>
      <c r="AM285">
        <f>IF($AL285=1,SUMPRODUCT(--($AP$2:$AP$301&lt;$AP285))+1,"")</f>
        <v/>
      </c>
      <c r="AN285">
        <f>IF($E285="","",IF(OR($S285=TRUE(),$S285="TRUE"),1,0))</f>
        <v/>
      </c>
      <c r="AO285">
        <f>IF($E285="","",IF($Y285="Yes",1,0))</f>
        <v/>
      </c>
      <c r="AP285">
        <f>IF($AL285=1,IFERROR(IF(VALUE($E285)&lt;100000000,VALUE($E285),1000000000),IFERROR(IF(VALUE(MID($E285,2,20))&lt;100000000,VALUE(MID($E285,2,20)),1000000000),1000000000))+ROW()/100000,"")</f>
        <v/>
      </c>
    </row>
    <row r="286">
      <c r="G286" s="11" t="n"/>
      <c r="O286" s="7">
        <f>IF($E286="","",N286*W286/100)</f>
        <v/>
      </c>
      <c r="P286" s="7" t="n"/>
      <c r="V286" s="7" t="n"/>
      <c r="W286" s="7" t="n"/>
      <c r="Z286">
        <f>IF($E286="","",IF($AO286=1,0,IF($AN286=1,Settings!$C$6,Settings!$C$7))*100)</f>
        <v/>
      </c>
      <c r="AA286" s="7">
        <f>IF($E286="","",W286*Z286/100)</f>
        <v/>
      </c>
      <c r="AB286" s="7">
        <f>IF($E286="","",W286-AA286)</f>
        <v/>
      </c>
      <c r="AC286" s="7">
        <f>IF($E286="","",AB286-O286)</f>
        <v/>
      </c>
      <c r="AG286" s="7" t="n"/>
      <c r="AJ286" s="11" t="n"/>
      <c r="AL286">
        <f>IF($E286="","",IF(COUNTIF($E$2:$E286,$E286)=1,1,0))</f>
        <v/>
      </c>
      <c r="AM286">
        <f>IF($AL286=1,SUMPRODUCT(--($AP$2:$AP$301&lt;$AP286))+1,"")</f>
        <v/>
      </c>
      <c r="AN286">
        <f>IF($E286="","",IF(OR($S286=TRUE(),$S286="TRUE"),1,0))</f>
        <v/>
      </c>
      <c r="AO286">
        <f>IF($E286="","",IF($Y286="Yes",1,0))</f>
        <v/>
      </c>
      <c r="AP286">
        <f>IF($AL286=1,IFERROR(IF(VALUE($E286)&lt;100000000,VALUE($E286),1000000000),IFERROR(IF(VALUE(MID($E286,2,20))&lt;100000000,VALUE(MID($E286,2,20)),1000000000),1000000000))+ROW()/100000,"")</f>
        <v/>
      </c>
    </row>
    <row r="287">
      <c r="G287" s="11" t="n"/>
      <c r="O287" s="7">
        <f>IF($E287="","",N287*W287/100)</f>
        <v/>
      </c>
      <c r="P287" s="7" t="n"/>
      <c r="V287" s="7" t="n"/>
      <c r="W287" s="7" t="n"/>
      <c r="Z287">
        <f>IF($E287="","",IF($AO287=1,0,IF($AN287=1,Settings!$C$6,Settings!$C$7))*100)</f>
        <v/>
      </c>
      <c r="AA287" s="7">
        <f>IF($E287="","",W287*Z287/100)</f>
        <v/>
      </c>
      <c r="AB287" s="7">
        <f>IF($E287="","",W287-AA287)</f>
        <v/>
      </c>
      <c r="AC287" s="7">
        <f>IF($E287="","",AB287-O287)</f>
        <v/>
      </c>
      <c r="AG287" s="7" t="n"/>
      <c r="AJ287" s="11" t="n"/>
      <c r="AL287">
        <f>IF($E287="","",IF(COUNTIF($E$2:$E287,$E287)=1,1,0))</f>
        <v/>
      </c>
      <c r="AM287">
        <f>IF($AL287=1,SUMPRODUCT(--($AP$2:$AP$301&lt;$AP287))+1,"")</f>
        <v/>
      </c>
      <c r="AN287">
        <f>IF($E287="","",IF(OR($S287=TRUE(),$S287="TRUE"),1,0))</f>
        <v/>
      </c>
      <c r="AO287">
        <f>IF($E287="","",IF($Y287="Yes",1,0))</f>
        <v/>
      </c>
      <c r="AP287">
        <f>IF($AL287=1,IFERROR(IF(VALUE($E287)&lt;100000000,VALUE($E287),1000000000),IFERROR(IF(VALUE(MID($E287,2,20))&lt;100000000,VALUE(MID($E287,2,20)),1000000000),1000000000))+ROW()/100000,"")</f>
        <v/>
      </c>
    </row>
    <row r="288">
      <c r="G288" s="11" t="n"/>
      <c r="O288" s="7">
        <f>IF($E288="","",N288*W288/100)</f>
        <v/>
      </c>
      <c r="P288" s="7" t="n"/>
      <c r="V288" s="7" t="n"/>
      <c r="W288" s="7" t="n"/>
      <c r="Z288">
        <f>IF($E288="","",IF($AO288=1,0,IF($AN288=1,Settings!$C$6,Settings!$C$7))*100)</f>
        <v/>
      </c>
      <c r="AA288" s="7">
        <f>IF($E288="","",W288*Z288/100)</f>
        <v/>
      </c>
      <c r="AB288" s="7">
        <f>IF($E288="","",W288-AA288)</f>
        <v/>
      </c>
      <c r="AC288" s="7">
        <f>IF($E288="","",AB288-O288)</f>
        <v/>
      </c>
      <c r="AG288" s="7" t="n"/>
      <c r="AJ288" s="11" t="n"/>
      <c r="AL288">
        <f>IF($E288="","",IF(COUNTIF($E$2:$E288,$E288)=1,1,0))</f>
        <v/>
      </c>
      <c r="AM288">
        <f>IF($AL288=1,SUMPRODUCT(--($AP$2:$AP$301&lt;$AP288))+1,"")</f>
        <v/>
      </c>
      <c r="AN288">
        <f>IF($E288="","",IF(OR($S288=TRUE(),$S288="TRUE"),1,0))</f>
        <v/>
      </c>
      <c r="AO288">
        <f>IF($E288="","",IF($Y288="Yes",1,0))</f>
        <v/>
      </c>
      <c r="AP288">
        <f>IF($AL288=1,IFERROR(IF(VALUE($E288)&lt;100000000,VALUE($E288),1000000000),IFERROR(IF(VALUE(MID($E288,2,20))&lt;100000000,VALUE(MID($E288,2,20)),1000000000),1000000000))+ROW()/100000,"")</f>
        <v/>
      </c>
    </row>
    <row r="289">
      <c r="G289" s="11" t="n"/>
      <c r="O289" s="7">
        <f>IF($E289="","",N289*W289/100)</f>
        <v/>
      </c>
      <c r="P289" s="7" t="n"/>
      <c r="V289" s="7" t="n"/>
      <c r="W289" s="7" t="n"/>
      <c r="Z289">
        <f>IF($E289="","",IF($AO289=1,0,IF($AN289=1,Settings!$C$6,Settings!$C$7))*100)</f>
        <v/>
      </c>
      <c r="AA289" s="7">
        <f>IF($E289="","",W289*Z289/100)</f>
        <v/>
      </c>
      <c r="AB289" s="7">
        <f>IF($E289="","",W289-AA289)</f>
        <v/>
      </c>
      <c r="AC289" s="7">
        <f>IF($E289="","",AB289-O289)</f>
        <v/>
      </c>
      <c r="AG289" s="7" t="n"/>
      <c r="AJ289" s="11" t="n"/>
      <c r="AL289">
        <f>IF($E289="","",IF(COUNTIF($E$2:$E289,$E289)=1,1,0))</f>
        <v/>
      </c>
      <c r="AM289">
        <f>IF($AL289=1,SUMPRODUCT(--($AP$2:$AP$301&lt;$AP289))+1,"")</f>
        <v/>
      </c>
      <c r="AN289">
        <f>IF($E289="","",IF(OR($S289=TRUE(),$S289="TRUE"),1,0))</f>
        <v/>
      </c>
      <c r="AO289">
        <f>IF($E289="","",IF($Y289="Yes",1,0))</f>
        <v/>
      </c>
      <c r="AP289">
        <f>IF($AL289=1,IFERROR(IF(VALUE($E289)&lt;100000000,VALUE($E289),1000000000),IFERROR(IF(VALUE(MID($E289,2,20))&lt;100000000,VALUE(MID($E289,2,20)),1000000000),1000000000))+ROW()/100000,"")</f>
        <v/>
      </c>
    </row>
    <row r="290">
      <c r="G290" s="11" t="n"/>
      <c r="O290" s="7">
        <f>IF($E290="","",N290*W290/100)</f>
        <v/>
      </c>
      <c r="P290" s="7" t="n"/>
      <c r="V290" s="7" t="n"/>
      <c r="W290" s="7" t="n"/>
      <c r="Z290">
        <f>IF($E290="","",IF($AO290=1,0,IF($AN290=1,Settings!$C$6,Settings!$C$7))*100)</f>
        <v/>
      </c>
      <c r="AA290" s="7">
        <f>IF($E290="","",W290*Z290/100)</f>
        <v/>
      </c>
      <c r="AB290" s="7">
        <f>IF($E290="","",W290-AA290)</f>
        <v/>
      </c>
      <c r="AC290" s="7">
        <f>IF($E290="","",AB290-O290)</f>
        <v/>
      </c>
      <c r="AG290" s="7" t="n"/>
      <c r="AJ290" s="11" t="n"/>
      <c r="AL290">
        <f>IF($E290="","",IF(COUNTIF($E$2:$E290,$E290)=1,1,0))</f>
        <v/>
      </c>
      <c r="AM290">
        <f>IF($AL290=1,SUMPRODUCT(--($AP$2:$AP$301&lt;$AP290))+1,"")</f>
        <v/>
      </c>
      <c r="AN290">
        <f>IF($E290="","",IF(OR($S290=TRUE(),$S290="TRUE"),1,0))</f>
        <v/>
      </c>
      <c r="AO290">
        <f>IF($E290="","",IF($Y290="Yes",1,0))</f>
        <v/>
      </c>
      <c r="AP290">
        <f>IF($AL290=1,IFERROR(IF(VALUE($E290)&lt;100000000,VALUE($E290),1000000000),IFERROR(IF(VALUE(MID($E290,2,20))&lt;100000000,VALUE(MID($E290,2,20)),1000000000),1000000000))+ROW()/100000,"")</f>
        <v/>
      </c>
    </row>
    <row r="291">
      <c r="G291" s="11" t="n"/>
      <c r="O291" s="7">
        <f>IF($E291="","",N291*W291/100)</f>
        <v/>
      </c>
      <c r="P291" s="7" t="n"/>
      <c r="V291" s="7" t="n"/>
      <c r="W291" s="7" t="n"/>
      <c r="Z291">
        <f>IF($E291="","",IF($AO291=1,0,IF($AN291=1,Settings!$C$6,Settings!$C$7))*100)</f>
        <v/>
      </c>
      <c r="AA291" s="7">
        <f>IF($E291="","",W291*Z291/100)</f>
        <v/>
      </c>
      <c r="AB291" s="7">
        <f>IF($E291="","",W291-AA291)</f>
        <v/>
      </c>
      <c r="AC291" s="7">
        <f>IF($E291="","",AB291-O291)</f>
        <v/>
      </c>
      <c r="AG291" s="7" t="n"/>
      <c r="AJ291" s="11" t="n"/>
      <c r="AL291">
        <f>IF($E291="","",IF(COUNTIF($E$2:$E291,$E291)=1,1,0))</f>
        <v/>
      </c>
      <c r="AM291">
        <f>IF($AL291=1,SUMPRODUCT(--($AP$2:$AP$301&lt;$AP291))+1,"")</f>
        <v/>
      </c>
      <c r="AN291">
        <f>IF($E291="","",IF(OR($S291=TRUE(),$S291="TRUE"),1,0))</f>
        <v/>
      </c>
      <c r="AO291">
        <f>IF($E291="","",IF($Y291="Yes",1,0))</f>
        <v/>
      </c>
      <c r="AP291">
        <f>IF($AL291=1,IFERROR(IF(VALUE($E291)&lt;100000000,VALUE($E291),1000000000),IFERROR(IF(VALUE(MID($E291,2,20))&lt;100000000,VALUE(MID($E291,2,20)),1000000000),1000000000))+ROW()/100000,"")</f>
        <v/>
      </c>
    </row>
    <row r="292">
      <c r="G292" s="11" t="n"/>
      <c r="O292" s="7">
        <f>IF($E292="","",N292*W292/100)</f>
        <v/>
      </c>
      <c r="P292" s="7" t="n"/>
      <c r="V292" s="7" t="n"/>
      <c r="W292" s="7" t="n"/>
      <c r="Z292">
        <f>IF($E292="","",IF($AO292=1,0,IF($AN292=1,Settings!$C$6,Settings!$C$7))*100)</f>
        <v/>
      </c>
      <c r="AA292" s="7">
        <f>IF($E292="","",W292*Z292/100)</f>
        <v/>
      </c>
      <c r="AB292" s="7">
        <f>IF($E292="","",W292-AA292)</f>
        <v/>
      </c>
      <c r="AC292" s="7">
        <f>IF($E292="","",AB292-O292)</f>
        <v/>
      </c>
      <c r="AG292" s="7" t="n"/>
      <c r="AJ292" s="11" t="n"/>
      <c r="AL292">
        <f>IF($E292="","",IF(COUNTIF($E$2:$E292,$E292)=1,1,0))</f>
        <v/>
      </c>
      <c r="AM292">
        <f>IF($AL292=1,SUMPRODUCT(--($AP$2:$AP$301&lt;$AP292))+1,"")</f>
        <v/>
      </c>
      <c r="AN292">
        <f>IF($E292="","",IF(OR($S292=TRUE(),$S292="TRUE"),1,0))</f>
        <v/>
      </c>
      <c r="AO292">
        <f>IF($E292="","",IF($Y292="Yes",1,0))</f>
        <v/>
      </c>
      <c r="AP292">
        <f>IF($AL292=1,IFERROR(IF(VALUE($E292)&lt;100000000,VALUE($E292),1000000000),IFERROR(IF(VALUE(MID($E292,2,20))&lt;100000000,VALUE(MID($E292,2,20)),1000000000),1000000000))+ROW()/100000,"")</f>
        <v/>
      </c>
    </row>
    <row r="293">
      <c r="G293" s="11" t="n"/>
      <c r="O293" s="7">
        <f>IF($E293="","",N293*W293/100)</f>
        <v/>
      </c>
      <c r="P293" s="7" t="n"/>
      <c r="V293" s="7" t="n"/>
      <c r="W293" s="7" t="n"/>
      <c r="Z293">
        <f>IF($E293="","",IF($AO293=1,0,IF($AN293=1,Settings!$C$6,Settings!$C$7))*100)</f>
        <v/>
      </c>
      <c r="AA293" s="7">
        <f>IF($E293="","",W293*Z293/100)</f>
        <v/>
      </c>
      <c r="AB293" s="7">
        <f>IF($E293="","",W293-AA293)</f>
        <v/>
      </c>
      <c r="AC293" s="7">
        <f>IF($E293="","",AB293-O293)</f>
        <v/>
      </c>
      <c r="AG293" s="7" t="n"/>
      <c r="AJ293" s="11" t="n"/>
      <c r="AL293">
        <f>IF($E293="","",IF(COUNTIF($E$2:$E293,$E293)=1,1,0))</f>
        <v/>
      </c>
      <c r="AM293">
        <f>IF($AL293=1,SUMPRODUCT(--($AP$2:$AP$301&lt;$AP293))+1,"")</f>
        <v/>
      </c>
      <c r="AN293">
        <f>IF($E293="","",IF(OR($S293=TRUE(),$S293="TRUE"),1,0))</f>
        <v/>
      </c>
      <c r="AO293">
        <f>IF($E293="","",IF($Y293="Yes",1,0))</f>
        <v/>
      </c>
      <c r="AP293">
        <f>IF($AL293=1,IFERROR(IF(VALUE($E293)&lt;100000000,VALUE($E293),1000000000),IFERROR(IF(VALUE(MID($E293,2,20))&lt;100000000,VALUE(MID($E293,2,20)),1000000000),1000000000))+ROW()/100000,"")</f>
        <v/>
      </c>
    </row>
    <row r="294">
      <c r="G294" s="11" t="n"/>
      <c r="O294" s="7">
        <f>IF($E294="","",N294*W294/100)</f>
        <v/>
      </c>
      <c r="P294" s="7" t="n"/>
      <c r="V294" s="7" t="n"/>
      <c r="W294" s="7" t="n"/>
      <c r="Z294">
        <f>IF($E294="","",IF($AO294=1,0,IF($AN294=1,Settings!$C$6,Settings!$C$7))*100)</f>
        <v/>
      </c>
      <c r="AA294" s="7">
        <f>IF($E294="","",W294*Z294/100)</f>
        <v/>
      </c>
      <c r="AB294" s="7">
        <f>IF($E294="","",W294-AA294)</f>
        <v/>
      </c>
      <c r="AC294" s="7">
        <f>IF($E294="","",AB294-O294)</f>
        <v/>
      </c>
      <c r="AG294" s="7" t="n"/>
      <c r="AJ294" s="11" t="n"/>
      <c r="AL294">
        <f>IF($E294="","",IF(COUNTIF($E$2:$E294,$E294)=1,1,0))</f>
        <v/>
      </c>
      <c r="AM294">
        <f>IF($AL294=1,SUMPRODUCT(--($AP$2:$AP$301&lt;$AP294))+1,"")</f>
        <v/>
      </c>
      <c r="AN294">
        <f>IF($E294="","",IF(OR($S294=TRUE(),$S294="TRUE"),1,0))</f>
        <v/>
      </c>
      <c r="AO294">
        <f>IF($E294="","",IF($Y294="Yes",1,0))</f>
        <v/>
      </c>
      <c r="AP294">
        <f>IF($AL294=1,IFERROR(IF(VALUE($E294)&lt;100000000,VALUE($E294),1000000000),IFERROR(IF(VALUE(MID($E294,2,20))&lt;100000000,VALUE(MID($E294,2,20)),1000000000),1000000000))+ROW()/100000,"")</f>
        <v/>
      </c>
    </row>
    <row r="295">
      <c r="G295" s="11" t="n"/>
      <c r="O295" s="7">
        <f>IF($E295="","",N295*W295/100)</f>
        <v/>
      </c>
      <c r="P295" s="7" t="n"/>
      <c r="V295" s="7" t="n"/>
      <c r="W295" s="7" t="n"/>
      <c r="Z295">
        <f>IF($E295="","",IF($AO295=1,0,IF($AN295=1,Settings!$C$6,Settings!$C$7))*100)</f>
        <v/>
      </c>
      <c r="AA295" s="7">
        <f>IF($E295="","",W295*Z295/100)</f>
        <v/>
      </c>
      <c r="AB295" s="7">
        <f>IF($E295="","",W295-AA295)</f>
        <v/>
      </c>
      <c r="AC295" s="7">
        <f>IF($E295="","",AB295-O295)</f>
        <v/>
      </c>
      <c r="AG295" s="7" t="n"/>
      <c r="AJ295" s="11" t="n"/>
      <c r="AL295">
        <f>IF($E295="","",IF(COUNTIF($E$2:$E295,$E295)=1,1,0))</f>
        <v/>
      </c>
      <c r="AM295">
        <f>IF($AL295=1,SUMPRODUCT(--($AP$2:$AP$301&lt;$AP295))+1,"")</f>
        <v/>
      </c>
      <c r="AN295">
        <f>IF($E295="","",IF(OR($S295=TRUE(),$S295="TRUE"),1,0))</f>
        <v/>
      </c>
      <c r="AO295">
        <f>IF($E295="","",IF($Y295="Yes",1,0))</f>
        <v/>
      </c>
      <c r="AP295">
        <f>IF($AL295=1,IFERROR(IF(VALUE($E295)&lt;100000000,VALUE($E295),1000000000),IFERROR(IF(VALUE(MID($E295,2,20))&lt;100000000,VALUE(MID($E295,2,20)),1000000000),1000000000))+ROW()/100000,"")</f>
        <v/>
      </c>
    </row>
    <row r="296">
      <c r="G296" s="11" t="n"/>
      <c r="O296" s="7">
        <f>IF($E296="","",N296*W296/100)</f>
        <v/>
      </c>
      <c r="P296" s="7" t="n"/>
      <c r="V296" s="7" t="n"/>
      <c r="W296" s="7" t="n"/>
      <c r="Z296">
        <f>IF($E296="","",IF($AO296=1,0,IF($AN296=1,Settings!$C$6,Settings!$C$7))*100)</f>
        <v/>
      </c>
      <c r="AA296" s="7">
        <f>IF($E296="","",W296*Z296/100)</f>
        <v/>
      </c>
      <c r="AB296" s="7">
        <f>IF($E296="","",W296-AA296)</f>
        <v/>
      </c>
      <c r="AC296" s="7">
        <f>IF($E296="","",AB296-O296)</f>
        <v/>
      </c>
      <c r="AG296" s="7" t="n"/>
      <c r="AJ296" s="11" t="n"/>
      <c r="AL296">
        <f>IF($E296="","",IF(COUNTIF($E$2:$E296,$E296)=1,1,0))</f>
        <v/>
      </c>
      <c r="AM296">
        <f>IF($AL296=1,SUMPRODUCT(--($AP$2:$AP$301&lt;$AP296))+1,"")</f>
        <v/>
      </c>
      <c r="AN296">
        <f>IF($E296="","",IF(OR($S296=TRUE(),$S296="TRUE"),1,0))</f>
        <v/>
      </c>
      <c r="AO296">
        <f>IF($E296="","",IF($Y296="Yes",1,0))</f>
        <v/>
      </c>
      <c r="AP296">
        <f>IF($AL296=1,IFERROR(IF(VALUE($E296)&lt;100000000,VALUE($E296),1000000000),IFERROR(IF(VALUE(MID($E296,2,20))&lt;100000000,VALUE(MID($E296,2,20)),1000000000),1000000000))+ROW()/100000,"")</f>
        <v/>
      </c>
    </row>
    <row r="297">
      <c r="G297" s="11" t="n"/>
      <c r="O297" s="7">
        <f>IF($E297="","",N297*W297/100)</f>
        <v/>
      </c>
      <c r="P297" s="7" t="n"/>
      <c r="V297" s="7" t="n"/>
      <c r="W297" s="7" t="n"/>
      <c r="Z297">
        <f>IF($E297="","",IF($AO297=1,0,IF($AN297=1,Settings!$C$6,Settings!$C$7))*100)</f>
        <v/>
      </c>
      <c r="AA297" s="7">
        <f>IF($E297="","",W297*Z297/100)</f>
        <v/>
      </c>
      <c r="AB297" s="7">
        <f>IF($E297="","",W297-AA297)</f>
        <v/>
      </c>
      <c r="AC297" s="7">
        <f>IF($E297="","",AB297-O297)</f>
        <v/>
      </c>
      <c r="AG297" s="7" t="n"/>
      <c r="AJ297" s="11" t="n"/>
      <c r="AL297">
        <f>IF($E297="","",IF(COUNTIF($E$2:$E297,$E297)=1,1,0))</f>
        <v/>
      </c>
      <c r="AM297">
        <f>IF($AL297=1,SUMPRODUCT(--($AP$2:$AP$301&lt;$AP297))+1,"")</f>
        <v/>
      </c>
      <c r="AN297">
        <f>IF($E297="","",IF(OR($S297=TRUE(),$S297="TRUE"),1,0))</f>
        <v/>
      </c>
      <c r="AO297">
        <f>IF($E297="","",IF($Y297="Yes",1,0))</f>
        <v/>
      </c>
      <c r="AP297">
        <f>IF($AL297=1,IFERROR(IF(VALUE($E297)&lt;100000000,VALUE($E297),1000000000),IFERROR(IF(VALUE(MID($E297,2,20))&lt;100000000,VALUE(MID($E297,2,20)),1000000000),1000000000))+ROW()/100000,"")</f>
        <v/>
      </c>
    </row>
    <row r="298">
      <c r="G298" s="11" t="n"/>
      <c r="O298" s="7">
        <f>IF($E298="","",N298*W298/100)</f>
        <v/>
      </c>
      <c r="P298" s="7" t="n"/>
      <c r="V298" s="7" t="n"/>
      <c r="W298" s="7" t="n"/>
      <c r="Z298">
        <f>IF($E298="","",IF($AO298=1,0,IF($AN298=1,Settings!$C$6,Settings!$C$7))*100)</f>
        <v/>
      </c>
      <c r="AA298" s="7">
        <f>IF($E298="","",W298*Z298/100)</f>
        <v/>
      </c>
      <c r="AB298" s="7">
        <f>IF($E298="","",W298-AA298)</f>
        <v/>
      </c>
      <c r="AC298" s="7">
        <f>IF($E298="","",AB298-O298)</f>
        <v/>
      </c>
      <c r="AG298" s="7" t="n"/>
      <c r="AJ298" s="11" t="n"/>
      <c r="AL298">
        <f>IF($E298="","",IF(COUNTIF($E$2:$E298,$E298)=1,1,0))</f>
        <v/>
      </c>
      <c r="AM298">
        <f>IF($AL298=1,SUMPRODUCT(--($AP$2:$AP$301&lt;$AP298))+1,"")</f>
        <v/>
      </c>
      <c r="AN298">
        <f>IF($E298="","",IF(OR($S298=TRUE(),$S298="TRUE"),1,0))</f>
        <v/>
      </c>
      <c r="AO298">
        <f>IF($E298="","",IF($Y298="Yes",1,0))</f>
        <v/>
      </c>
      <c r="AP298">
        <f>IF($AL298=1,IFERROR(IF(VALUE($E298)&lt;100000000,VALUE($E298),1000000000),IFERROR(IF(VALUE(MID($E298,2,20))&lt;100000000,VALUE(MID($E298,2,20)),1000000000),1000000000))+ROW()/100000,"")</f>
        <v/>
      </c>
    </row>
    <row r="299">
      <c r="G299" s="11" t="n"/>
      <c r="O299" s="7">
        <f>IF($E299="","",N299*W299/100)</f>
        <v/>
      </c>
      <c r="P299" s="7" t="n"/>
      <c r="V299" s="7" t="n"/>
      <c r="W299" s="7" t="n"/>
      <c r="Z299">
        <f>IF($E299="","",IF($AO299=1,0,IF($AN299=1,Settings!$C$6,Settings!$C$7))*100)</f>
        <v/>
      </c>
      <c r="AA299" s="7">
        <f>IF($E299="","",W299*Z299/100)</f>
        <v/>
      </c>
      <c r="AB299" s="7">
        <f>IF($E299="","",W299-AA299)</f>
        <v/>
      </c>
      <c r="AC299" s="7">
        <f>IF($E299="","",AB299-O299)</f>
        <v/>
      </c>
      <c r="AG299" s="7" t="n"/>
      <c r="AJ299" s="11" t="n"/>
      <c r="AL299">
        <f>IF($E299="","",IF(COUNTIF($E$2:$E299,$E299)=1,1,0))</f>
        <v/>
      </c>
      <c r="AM299">
        <f>IF($AL299=1,SUMPRODUCT(--($AP$2:$AP$301&lt;$AP299))+1,"")</f>
        <v/>
      </c>
      <c r="AN299">
        <f>IF($E299="","",IF(OR($S299=TRUE(),$S299="TRUE"),1,0))</f>
        <v/>
      </c>
      <c r="AO299">
        <f>IF($E299="","",IF($Y299="Yes",1,0))</f>
        <v/>
      </c>
      <c r="AP299">
        <f>IF($AL299=1,IFERROR(IF(VALUE($E299)&lt;100000000,VALUE($E299),1000000000),IFERROR(IF(VALUE(MID($E299,2,20))&lt;100000000,VALUE(MID($E299,2,20)),1000000000),1000000000))+ROW()/100000,"")</f>
        <v/>
      </c>
    </row>
    <row r="300">
      <c r="G300" s="11" t="n"/>
      <c r="O300" s="7">
        <f>IF($E300="","",N300*W300/100)</f>
        <v/>
      </c>
      <c r="P300" s="7" t="n"/>
      <c r="V300" s="7" t="n"/>
      <c r="W300" s="7" t="n"/>
      <c r="Z300">
        <f>IF($E300="","",IF($AO300=1,0,IF($AN300=1,Settings!$C$6,Settings!$C$7))*100)</f>
        <v/>
      </c>
      <c r="AA300" s="7">
        <f>IF($E300="","",W300*Z300/100)</f>
        <v/>
      </c>
      <c r="AB300" s="7">
        <f>IF($E300="","",W300-AA300)</f>
        <v/>
      </c>
      <c r="AC300" s="7">
        <f>IF($E300="","",AB300-O300)</f>
        <v/>
      </c>
      <c r="AG300" s="7" t="n"/>
      <c r="AJ300" s="11" t="n"/>
      <c r="AL300">
        <f>IF($E300="","",IF(COUNTIF($E$2:$E300,$E300)=1,1,0))</f>
        <v/>
      </c>
      <c r="AM300">
        <f>IF($AL300=1,SUMPRODUCT(--($AP$2:$AP$301&lt;$AP300))+1,"")</f>
        <v/>
      </c>
      <c r="AN300">
        <f>IF($E300="","",IF(OR($S300=TRUE(),$S300="TRUE"),1,0))</f>
        <v/>
      </c>
      <c r="AO300">
        <f>IF($E300="","",IF($Y300="Yes",1,0))</f>
        <v/>
      </c>
      <c r="AP300">
        <f>IF($AL300=1,IFERROR(IF(VALUE($E300)&lt;100000000,VALUE($E300),1000000000),IFERROR(IF(VALUE(MID($E300,2,20))&lt;100000000,VALUE(MID($E300,2,20)),1000000000),1000000000))+ROW()/100000,"")</f>
        <v/>
      </c>
    </row>
    <row r="301">
      <c r="G301" s="11" t="n"/>
      <c r="O301" s="7">
        <f>IF($E301="","",N301*W301/100)</f>
        <v/>
      </c>
      <c r="P301" s="7" t="n"/>
      <c r="V301" s="7" t="n"/>
      <c r="W301" s="7" t="n"/>
      <c r="Z301">
        <f>IF($E301="","",IF($AO301=1,0,IF($AN301=1,Settings!$C$6,Settings!$C$7))*100)</f>
        <v/>
      </c>
      <c r="AA301" s="7">
        <f>IF($E301="","",W301*Z301/100)</f>
        <v/>
      </c>
      <c r="AB301" s="7">
        <f>IF($E301="","",W301-AA301)</f>
        <v/>
      </c>
      <c r="AC301" s="7">
        <f>IF($E301="","",AB301-O301)</f>
        <v/>
      </c>
      <c r="AG301" s="7" t="n"/>
      <c r="AJ301" s="11" t="n"/>
      <c r="AL301">
        <f>IF($E301="","",IF(COUNTIF($E$2:$E301,$E301)=1,1,0))</f>
        <v/>
      </c>
      <c r="AM301">
        <f>IF($AL301=1,SUMPRODUCT(--($AP$2:$AP$301&lt;$AP301))+1,"")</f>
        <v/>
      </c>
      <c r="AN301">
        <f>IF($E301="","",IF(OR($S301=TRUE(),$S301="TRUE"),1,0))</f>
        <v/>
      </c>
      <c r="AO301">
        <f>IF($E301="","",IF($Y301="Yes",1,0))</f>
        <v/>
      </c>
      <c r="AP301">
        <f>IF($AL301=1,IFERROR(IF(VALUE($E301)&lt;100000000,VALUE($E301),1000000000),IFERROR(IF(VALUE(MID($E301,2,20))&lt;100000000,VALUE(MID($E301,2,20)),1000000000),1000000000))+ROW()/100000,"")</f>
        <v/>
      </c>
    </row>
  </sheetData>
  <autoFilter ref="A1:AP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7" customWidth="1" min="8" max="8"/>
    <col width="18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2" customWidth="1" min="15" max="15"/>
    <col width="3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Cycle</t>
        </is>
      </c>
      <c r="D1" s="9" t="inlineStr">
        <is>
          <t>Ticket #</t>
        </is>
      </c>
      <c r="E1" s="9" t="inlineStr">
        <is>
          <t>Stage</t>
        </is>
      </c>
      <c r="F1" s="9" t="inlineStr">
        <is>
          <t>Approval Ref</t>
        </is>
      </c>
      <c r="G1" s="9" t="inlineStr">
        <is>
          <t>Channel</t>
        </is>
      </c>
      <c r="H1" s="9" t="inlineStr">
        <is>
          <t>Create At</t>
        </is>
      </c>
      <c r="I1" s="9" t="inlineStr">
        <is>
          <t>Insurance Company</t>
        </is>
      </c>
      <c r="J1" s="9" t="inlineStr">
        <is>
          <t>Corporate</t>
        </is>
      </c>
      <c r="K1" s="9" t="inlineStr">
        <is>
          <t>Card</t>
        </is>
      </c>
      <c r="L1" s="9" t="inlineStr">
        <is>
          <t>Name</t>
        </is>
      </c>
      <c r="M1" s="9" t="inlineStr">
        <is>
          <t>Status</t>
        </is>
      </c>
      <c r="N1" s="9" t="inlineStr">
        <is>
          <t>Order Co Payment</t>
        </is>
      </c>
      <c r="O1" s="9" t="inlineStr">
        <is>
          <t>Co val</t>
        </is>
      </c>
      <c r="P1" s="9" t="inlineStr">
        <is>
          <t>ERX ID</t>
        </is>
      </c>
      <c r="Q1" s="9" t="inlineStr">
        <is>
          <t>Special</t>
        </is>
      </c>
      <c r="R1" s="9" t="inlineStr">
        <is>
          <t>IMP %</t>
        </is>
      </c>
      <c r="S1" s="9" t="inlineStr">
        <is>
          <t>IMP</t>
        </is>
      </c>
      <c r="T1" s="9" t="inlineStr">
        <is>
          <t>IMP VAL</t>
        </is>
      </c>
      <c r="U1" s="9" t="inlineStr">
        <is>
          <t>LOCAL %</t>
        </is>
      </c>
      <c r="V1" s="9" t="inlineStr">
        <is>
          <t>LOCAL</t>
        </is>
      </c>
      <c r="W1" s="9" t="inlineStr">
        <is>
          <t>LOCAL VAL</t>
        </is>
      </c>
      <c r="X1" s="9" t="inlineStr">
        <is>
          <t>TOTAL VAL</t>
        </is>
      </c>
      <c r="Y1" s="9" t="inlineStr">
        <is>
          <t>SUBTOTAL</t>
        </is>
      </c>
      <c r="Z1" s="9" t="inlineStr">
        <is>
          <t>Grand Total</t>
        </is>
      </c>
      <c r="AA1" s="9" t="inlineStr">
        <is>
          <t>NET</t>
        </is>
      </c>
      <c r="AB1" s="10" t="inlineStr">
        <is>
          <t>Src Row (helper)</t>
        </is>
      </c>
    </row>
    <row r="2">
      <c r="A2" s="12" t="n"/>
      <c r="B2">
        <f>IF($AB2="","",INDEX('Per Line'!$E$2:$E$301,$AB2)&amp;"")</f>
        <v/>
      </c>
      <c r="C2">
        <f>IF($AB2="","",INDEX('Per Line'!$A$2:$A$301,$AB2)&amp;"")</f>
        <v/>
      </c>
      <c r="D2">
        <f>IF($AB2="","",INDEX('Per Line'!$B$2:$B$301,$AB2))</f>
        <v/>
      </c>
      <c r="E2">
        <f>IF($AB2="","",INDEX('Per Line'!$C$2:$C$301,$AB2)&amp;"")</f>
        <v/>
      </c>
      <c r="F2">
        <f>IF($AB2="","",INDEX('Per Line'!$D$2:$D$301,$AB2)&amp;"")</f>
        <v/>
      </c>
      <c r="G2">
        <f>IF($AB2="","",INDEX('Per Line'!$F$2:$F$301,$AB2)&amp;"")</f>
        <v/>
      </c>
      <c r="H2" s="11">
        <f>IF($AB2="","",INDEX('Per Line'!$G$2:$G$301,$AB2))</f>
        <v/>
      </c>
      <c r="I2">
        <f>IF($AB2="","",INDEX('Per Line'!$H$2:$H$301,$AB2)&amp;"")</f>
        <v/>
      </c>
      <c r="J2">
        <f>IF($AB2="","",INDEX('Per Line'!$J$2:$J$301,$AB2)&amp;"")</f>
        <v/>
      </c>
      <c r="K2">
        <f>IF($AB2="","",INDEX('Per Line'!$K$2:$K$301,$AB2)&amp;"")</f>
        <v/>
      </c>
      <c r="L2">
        <f>IF($AB2="","",INDEX('Per Line'!$L$2:$L$301,$AB2)&amp;"")</f>
        <v/>
      </c>
      <c r="M2">
        <f>IF($AB2="","",INDEX('Per Line'!$M$2:$M$301,$AB2)&amp;"")</f>
        <v/>
      </c>
      <c r="N2">
        <f>IF($AB2="","",INDEX('Per Line'!$N$2:$N$301,$AB2))</f>
        <v/>
      </c>
      <c r="O2" s="7">
        <f>IF($AB2="","",N2*Z2/100)</f>
        <v/>
      </c>
      <c r="P2">
        <f>IF($AB2="","",INDEX('Per Line'!$X$2:$X$301,$AB2)&amp;"")</f>
        <v/>
      </c>
      <c r="Q2" s="7">
        <f>IF($AB2="","",SUMIFS('Per Line'!$W$2:$W$301,'Per Line'!$E$2:$E$301,$B2,'Per Line'!$AO$2:$AO$301,1))</f>
        <v/>
      </c>
      <c r="R2">
        <f>IF($AB2="","",Settings!$C$7)</f>
        <v/>
      </c>
      <c r="S2" s="7">
        <f>IF($AB2="","",SUMIFS('Per Line'!$W$2:$W$301,'Per Line'!$E$2:$E$301,$B2,'Per Line'!$AN$2:$AN$301,0,'Per Line'!$AO$2:$AO$301,0))</f>
        <v/>
      </c>
      <c r="T2" s="7">
        <f>IF($AB2="","",S2*R2)</f>
        <v/>
      </c>
      <c r="U2">
        <f>IF($AB2="","",Settings!$C$6)</f>
        <v/>
      </c>
      <c r="V2" s="7">
        <f>IF($AB2="","",SUMIFS('Per Line'!$W$2:$W$301,'Per Line'!$E$2:$E$301,$B2,'Per Line'!$AN$2:$AN$301,1,'Per Line'!$AO$2:$AO$301,0))</f>
        <v/>
      </c>
      <c r="W2" s="7">
        <f>IF($AB2="","",V2*U2)</f>
        <v/>
      </c>
      <c r="X2" s="7">
        <f>IF($AB2="","",W2+T2)</f>
        <v/>
      </c>
      <c r="Y2" s="7">
        <f>IF($AB2="","",Z2-X2)</f>
        <v/>
      </c>
      <c r="Z2" s="7">
        <f>IF($AB2="","",S2+V2+Q2)</f>
        <v/>
      </c>
      <c r="AA2" s="7">
        <f>IF($AB2="","",Z2-X2-O2)</f>
        <v/>
      </c>
      <c r="AB2" s="13">
        <f>IF(ROWS($AB$2:$AB2)&lt;=MAX('Per Line'!$AM$2:$AM$301),MATCH(ROWS($AB$2:$AB2),'Per Line'!$AM$2:$AM$301,0),"")</f>
        <v/>
      </c>
    </row>
    <row r="3">
      <c r="A3" s="12" t="n"/>
      <c r="B3">
        <f>IF($AB3="","",INDEX('Per Line'!$E$2:$E$301,$AB3)&amp;"")</f>
        <v/>
      </c>
      <c r="C3">
        <f>IF($AB3="","",INDEX('Per Line'!$A$2:$A$301,$AB3)&amp;"")</f>
        <v/>
      </c>
      <c r="D3">
        <f>IF($AB3="","",INDEX('Per Line'!$B$2:$B$301,$AB3))</f>
        <v/>
      </c>
      <c r="E3">
        <f>IF($AB3="","",INDEX('Per Line'!$C$2:$C$301,$AB3)&amp;"")</f>
        <v/>
      </c>
      <c r="F3">
        <f>IF($AB3="","",INDEX('Per Line'!$D$2:$D$301,$AB3)&amp;"")</f>
        <v/>
      </c>
      <c r="G3">
        <f>IF($AB3="","",INDEX('Per Line'!$F$2:$F$301,$AB3)&amp;"")</f>
        <v/>
      </c>
      <c r="H3" s="11">
        <f>IF($AB3="","",INDEX('Per Line'!$G$2:$G$301,$AB3))</f>
        <v/>
      </c>
      <c r="I3">
        <f>IF($AB3="","",INDEX('Per Line'!$H$2:$H$301,$AB3)&amp;"")</f>
        <v/>
      </c>
      <c r="J3">
        <f>IF($AB3="","",INDEX('Per Line'!$J$2:$J$301,$AB3)&amp;"")</f>
        <v/>
      </c>
      <c r="K3">
        <f>IF($AB3="","",INDEX('Per Line'!$K$2:$K$301,$AB3)&amp;"")</f>
        <v/>
      </c>
      <c r="L3">
        <f>IF($AB3="","",INDEX('Per Line'!$L$2:$L$301,$AB3)&amp;"")</f>
        <v/>
      </c>
      <c r="M3">
        <f>IF($AB3="","",INDEX('Per Line'!$M$2:$M$301,$AB3)&amp;"")</f>
        <v/>
      </c>
      <c r="N3">
        <f>IF($AB3="","",INDEX('Per Line'!$N$2:$N$301,$AB3))</f>
        <v/>
      </c>
      <c r="O3" s="7">
        <f>IF($AB3="","",N3*Z3/100)</f>
        <v/>
      </c>
      <c r="P3">
        <f>IF($AB3="","",INDEX('Per Line'!$X$2:$X$301,$AB3)&amp;"")</f>
        <v/>
      </c>
      <c r="Q3" s="7">
        <f>IF($AB3="","",SUMIFS('Per Line'!$W$2:$W$301,'Per Line'!$E$2:$E$301,$B3,'Per Line'!$AO$2:$AO$301,1))</f>
        <v/>
      </c>
      <c r="R3">
        <f>IF($AB3="","",Settings!$C$7)</f>
        <v/>
      </c>
      <c r="S3" s="7">
        <f>IF($AB3="","",SUMIFS('Per Line'!$W$2:$W$301,'Per Line'!$E$2:$E$301,$B3,'Per Line'!$AN$2:$AN$301,0,'Per Line'!$AO$2:$AO$301,0))</f>
        <v/>
      </c>
      <c r="T3" s="7">
        <f>IF($AB3="","",S3*R3)</f>
        <v/>
      </c>
      <c r="U3">
        <f>IF($AB3="","",Settings!$C$6)</f>
        <v/>
      </c>
      <c r="V3" s="7">
        <f>IF($AB3="","",SUMIFS('Per Line'!$W$2:$W$301,'Per Line'!$E$2:$E$301,$B3,'Per Line'!$AN$2:$AN$301,1,'Per Line'!$AO$2:$AO$301,0))</f>
        <v/>
      </c>
      <c r="W3" s="7">
        <f>IF($AB3="","",V3*U3)</f>
        <v/>
      </c>
      <c r="X3" s="7">
        <f>IF($AB3="","",W3+T3)</f>
        <v/>
      </c>
      <c r="Y3" s="7">
        <f>IF($AB3="","",Z3-X3)</f>
        <v/>
      </c>
      <c r="Z3" s="7">
        <f>IF($AB3="","",S3+V3+Q3)</f>
        <v/>
      </c>
      <c r="AA3" s="7">
        <f>IF($AB3="","",Z3-X3-O3)</f>
        <v/>
      </c>
      <c r="AB3" s="13">
        <f>IF(ROWS($AB$2:$AB3)&lt;=MAX('Per Line'!$AM$2:$AM$301),MATCH(ROWS($AB$2:$AB3),'Per Line'!$AM$2:$AM$301,0),"")</f>
        <v/>
      </c>
    </row>
    <row r="4">
      <c r="A4" s="12" t="n"/>
      <c r="B4">
        <f>IF($AB4="","",INDEX('Per Line'!$E$2:$E$301,$AB4)&amp;"")</f>
        <v/>
      </c>
      <c r="C4">
        <f>IF($AB4="","",INDEX('Per Line'!$A$2:$A$301,$AB4)&amp;"")</f>
        <v/>
      </c>
      <c r="D4">
        <f>IF($AB4="","",INDEX('Per Line'!$B$2:$B$301,$AB4))</f>
        <v/>
      </c>
      <c r="E4">
        <f>IF($AB4="","",INDEX('Per Line'!$C$2:$C$301,$AB4)&amp;"")</f>
        <v/>
      </c>
      <c r="F4">
        <f>IF($AB4="","",INDEX('Per Line'!$D$2:$D$301,$AB4)&amp;"")</f>
        <v/>
      </c>
      <c r="G4">
        <f>IF($AB4="","",INDEX('Per Line'!$F$2:$F$301,$AB4)&amp;"")</f>
        <v/>
      </c>
      <c r="H4" s="11">
        <f>IF($AB4="","",INDEX('Per Line'!$G$2:$G$301,$AB4))</f>
        <v/>
      </c>
      <c r="I4">
        <f>IF($AB4="","",INDEX('Per Line'!$H$2:$H$301,$AB4)&amp;"")</f>
        <v/>
      </c>
      <c r="J4">
        <f>IF($AB4="","",INDEX('Per Line'!$J$2:$J$301,$AB4)&amp;"")</f>
        <v/>
      </c>
      <c r="K4">
        <f>IF($AB4="","",INDEX('Per Line'!$K$2:$K$301,$AB4)&amp;"")</f>
        <v/>
      </c>
      <c r="L4">
        <f>IF($AB4="","",INDEX('Per Line'!$L$2:$L$301,$AB4)&amp;"")</f>
        <v/>
      </c>
      <c r="M4">
        <f>IF($AB4="","",INDEX('Per Line'!$M$2:$M$301,$AB4)&amp;"")</f>
        <v/>
      </c>
      <c r="N4">
        <f>IF($AB4="","",INDEX('Per Line'!$N$2:$N$301,$AB4))</f>
        <v/>
      </c>
      <c r="O4" s="7">
        <f>IF($AB4="","",N4*Z4/100)</f>
        <v/>
      </c>
      <c r="P4">
        <f>IF($AB4="","",INDEX('Per Line'!$X$2:$X$301,$AB4)&amp;"")</f>
        <v/>
      </c>
      <c r="Q4" s="7">
        <f>IF($AB4="","",SUMIFS('Per Line'!$W$2:$W$301,'Per Line'!$E$2:$E$301,$B4,'Per Line'!$AO$2:$AO$301,1))</f>
        <v/>
      </c>
      <c r="R4">
        <f>IF($AB4="","",Settings!$C$7)</f>
        <v/>
      </c>
      <c r="S4" s="7">
        <f>IF($AB4="","",SUMIFS('Per Line'!$W$2:$W$301,'Per Line'!$E$2:$E$301,$B4,'Per Line'!$AN$2:$AN$301,0,'Per Line'!$AO$2:$AO$301,0))</f>
        <v/>
      </c>
      <c r="T4" s="7">
        <f>IF($AB4="","",S4*R4)</f>
        <v/>
      </c>
      <c r="U4">
        <f>IF($AB4="","",Settings!$C$6)</f>
        <v/>
      </c>
      <c r="V4" s="7">
        <f>IF($AB4="","",SUMIFS('Per Line'!$W$2:$W$301,'Per Line'!$E$2:$E$301,$B4,'Per Line'!$AN$2:$AN$301,1,'Per Line'!$AO$2:$AO$301,0))</f>
        <v/>
      </c>
      <c r="W4" s="7">
        <f>IF($AB4="","",V4*U4)</f>
        <v/>
      </c>
      <c r="X4" s="7">
        <f>IF($AB4="","",W4+T4)</f>
        <v/>
      </c>
      <c r="Y4" s="7">
        <f>IF($AB4="","",Z4-X4)</f>
        <v/>
      </c>
      <c r="Z4" s="7">
        <f>IF($AB4="","",S4+V4+Q4)</f>
        <v/>
      </c>
      <c r="AA4" s="7">
        <f>IF($AB4="","",Z4-X4-O4)</f>
        <v/>
      </c>
      <c r="AB4" s="13">
        <f>IF(ROWS($AB$2:$AB4)&lt;=MAX('Per Line'!$AM$2:$AM$301),MATCH(ROWS($AB$2:$AB4),'Per Line'!$AM$2:$AM$301,0),"")</f>
        <v/>
      </c>
    </row>
    <row r="5">
      <c r="A5" s="12" t="n"/>
      <c r="B5">
        <f>IF($AB5="","",INDEX('Per Line'!$E$2:$E$301,$AB5)&amp;"")</f>
        <v/>
      </c>
      <c r="C5">
        <f>IF($AB5="","",INDEX('Per Line'!$A$2:$A$301,$AB5)&amp;"")</f>
        <v/>
      </c>
      <c r="D5">
        <f>IF($AB5="","",INDEX('Per Line'!$B$2:$B$301,$AB5))</f>
        <v/>
      </c>
      <c r="E5">
        <f>IF($AB5="","",INDEX('Per Line'!$C$2:$C$301,$AB5)&amp;"")</f>
        <v/>
      </c>
      <c r="F5">
        <f>IF($AB5="","",INDEX('Per Line'!$D$2:$D$301,$AB5)&amp;"")</f>
        <v/>
      </c>
      <c r="G5">
        <f>IF($AB5="","",INDEX('Per Line'!$F$2:$F$301,$AB5)&amp;"")</f>
        <v/>
      </c>
      <c r="H5" s="11">
        <f>IF($AB5="","",INDEX('Per Line'!$G$2:$G$301,$AB5))</f>
        <v/>
      </c>
      <c r="I5">
        <f>IF($AB5="","",INDEX('Per Line'!$H$2:$H$301,$AB5)&amp;"")</f>
        <v/>
      </c>
      <c r="J5">
        <f>IF($AB5="","",INDEX('Per Line'!$J$2:$J$301,$AB5)&amp;"")</f>
        <v/>
      </c>
      <c r="K5">
        <f>IF($AB5="","",INDEX('Per Line'!$K$2:$K$301,$AB5)&amp;"")</f>
        <v/>
      </c>
      <c r="L5">
        <f>IF($AB5="","",INDEX('Per Line'!$L$2:$L$301,$AB5)&amp;"")</f>
        <v/>
      </c>
      <c r="M5">
        <f>IF($AB5="","",INDEX('Per Line'!$M$2:$M$301,$AB5)&amp;"")</f>
        <v/>
      </c>
      <c r="N5">
        <f>IF($AB5="","",INDEX('Per Line'!$N$2:$N$301,$AB5))</f>
        <v/>
      </c>
      <c r="O5" s="7">
        <f>IF($AB5="","",N5*Z5/100)</f>
        <v/>
      </c>
      <c r="P5">
        <f>IF($AB5="","",INDEX('Per Line'!$X$2:$X$301,$AB5)&amp;"")</f>
        <v/>
      </c>
      <c r="Q5" s="7">
        <f>IF($AB5="","",SUMIFS('Per Line'!$W$2:$W$301,'Per Line'!$E$2:$E$301,$B5,'Per Line'!$AO$2:$AO$301,1))</f>
        <v/>
      </c>
      <c r="R5">
        <f>IF($AB5="","",Settings!$C$7)</f>
        <v/>
      </c>
      <c r="S5" s="7">
        <f>IF($AB5="","",SUMIFS('Per Line'!$W$2:$W$301,'Per Line'!$E$2:$E$301,$B5,'Per Line'!$AN$2:$AN$301,0,'Per Line'!$AO$2:$AO$301,0))</f>
        <v/>
      </c>
      <c r="T5" s="7">
        <f>IF($AB5="","",S5*R5)</f>
        <v/>
      </c>
      <c r="U5">
        <f>IF($AB5="","",Settings!$C$6)</f>
        <v/>
      </c>
      <c r="V5" s="7">
        <f>IF($AB5="","",SUMIFS('Per Line'!$W$2:$W$301,'Per Line'!$E$2:$E$301,$B5,'Per Line'!$AN$2:$AN$301,1,'Per Line'!$AO$2:$AO$301,0))</f>
        <v/>
      </c>
      <c r="W5" s="7">
        <f>IF($AB5="","",V5*U5)</f>
        <v/>
      </c>
      <c r="X5" s="7">
        <f>IF($AB5="","",W5+T5)</f>
        <v/>
      </c>
      <c r="Y5" s="7">
        <f>IF($AB5="","",Z5-X5)</f>
        <v/>
      </c>
      <c r="Z5" s="7">
        <f>IF($AB5="","",S5+V5+Q5)</f>
        <v/>
      </c>
      <c r="AA5" s="7">
        <f>IF($AB5="","",Z5-X5-O5)</f>
        <v/>
      </c>
      <c r="AB5" s="13">
        <f>IF(ROWS($AB$2:$AB5)&lt;=MAX('Per Line'!$AM$2:$AM$301),MATCH(ROWS($AB$2:$AB5),'Per Line'!$AM$2:$AM$301,0),"")</f>
        <v/>
      </c>
    </row>
    <row r="6">
      <c r="A6" s="12" t="n"/>
      <c r="B6">
        <f>IF($AB6="","",INDEX('Per Line'!$E$2:$E$301,$AB6)&amp;"")</f>
        <v/>
      </c>
      <c r="C6">
        <f>IF($AB6="","",INDEX('Per Line'!$A$2:$A$301,$AB6)&amp;"")</f>
        <v/>
      </c>
      <c r="D6">
        <f>IF($AB6="","",INDEX('Per Line'!$B$2:$B$301,$AB6))</f>
        <v/>
      </c>
      <c r="E6">
        <f>IF($AB6="","",INDEX('Per Line'!$C$2:$C$301,$AB6)&amp;"")</f>
        <v/>
      </c>
      <c r="F6">
        <f>IF($AB6="","",INDEX('Per Line'!$D$2:$D$301,$AB6)&amp;"")</f>
        <v/>
      </c>
      <c r="G6">
        <f>IF($AB6="","",INDEX('Per Line'!$F$2:$F$301,$AB6)&amp;"")</f>
        <v/>
      </c>
      <c r="H6" s="11">
        <f>IF($AB6="","",INDEX('Per Line'!$G$2:$G$301,$AB6))</f>
        <v/>
      </c>
      <c r="I6">
        <f>IF($AB6="","",INDEX('Per Line'!$H$2:$H$301,$AB6)&amp;"")</f>
        <v/>
      </c>
      <c r="J6">
        <f>IF($AB6="","",INDEX('Per Line'!$J$2:$J$301,$AB6)&amp;"")</f>
        <v/>
      </c>
      <c r="K6">
        <f>IF($AB6="","",INDEX('Per Line'!$K$2:$K$301,$AB6)&amp;"")</f>
        <v/>
      </c>
      <c r="L6">
        <f>IF($AB6="","",INDEX('Per Line'!$L$2:$L$301,$AB6)&amp;"")</f>
        <v/>
      </c>
      <c r="M6">
        <f>IF($AB6="","",INDEX('Per Line'!$M$2:$M$301,$AB6)&amp;"")</f>
        <v/>
      </c>
      <c r="N6">
        <f>IF($AB6="","",INDEX('Per Line'!$N$2:$N$301,$AB6))</f>
        <v/>
      </c>
      <c r="O6" s="7">
        <f>IF($AB6="","",N6*Z6/100)</f>
        <v/>
      </c>
      <c r="P6">
        <f>IF($AB6="","",INDEX('Per Line'!$X$2:$X$301,$AB6)&amp;"")</f>
        <v/>
      </c>
      <c r="Q6" s="7">
        <f>IF($AB6="","",SUMIFS('Per Line'!$W$2:$W$301,'Per Line'!$E$2:$E$301,$B6,'Per Line'!$AO$2:$AO$301,1))</f>
        <v/>
      </c>
      <c r="R6">
        <f>IF($AB6="","",Settings!$C$7)</f>
        <v/>
      </c>
      <c r="S6" s="7">
        <f>IF($AB6="","",SUMIFS('Per Line'!$W$2:$W$301,'Per Line'!$E$2:$E$301,$B6,'Per Line'!$AN$2:$AN$301,0,'Per Line'!$AO$2:$AO$301,0))</f>
        <v/>
      </c>
      <c r="T6" s="7">
        <f>IF($AB6="","",S6*R6)</f>
        <v/>
      </c>
      <c r="U6">
        <f>IF($AB6="","",Settings!$C$6)</f>
        <v/>
      </c>
      <c r="V6" s="7">
        <f>IF($AB6="","",SUMIFS('Per Line'!$W$2:$W$301,'Per Line'!$E$2:$E$301,$B6,'Per Line'!$AN$2:$AN$301,1,'Per Line'!$AO$2:$AO$301,0))</f>
        <v/>
      </c>
      <c r="W6" s="7">
        <f>IF($AB6="","",V6*U6)</f>
        <v/>
      </c>
      <c r="X6" s="7">
        <f>IF($AB6="","",W6+T6)</f>
        <v/>
      </c>
      <c r="Y6" s="7">
        <f>IF($AB6="","",Z6-X6)</f>
        <v/>
      </c>
      <c r="Z6" s="7">
        <f>IF($AB6="","",S6+V6+Q6)</f>
        <v/>
      </c>
      <c r="AA6" s="7">
        <f>IF($AB6="","",Z6-X6-O6)</f>
        <v/>
      </c>
      <c r="AB6" s="13">
        <f>IF(ROWS($AB$2:$AB6)&lt;=MAX('Per Line'!$AM$2:$AM$301),MATCH(ROWS($AB$2:$AB6),'Per Line'!$AM$2:$AM$301,0),"")</f>
        <v/>
      </c>
    </row>
    <row r="7">
      <c r="A7" s="12" t="n"/>
      <c r="B7">
        <f>IF($AB7="","",INDEX('Per Line'!$E$2:$E$301,$AB7)&amp;"")</f>
        <v/>
      </c>
      <c r="C7">
        <f>IF($AB7="","",INDEX('Per Line'!$A$2:$A$301,$AB7)&amp;"")</f>
        <v/>
      </c>
      <c r="D7">
        <f>IF($AB7="","",INDEX('Per Line'!$B$2:$B$301,$AB7))</f>
        <v/>
      </c>
      <c r="E7">
        <f>IF($AB7="","",INDEX('Per Line'!$C$2:$C$301,$AB7)&amp;"")</f>
        <v/>
      </c>
      <c r="F7">
        <f>IF($AB7="","",INDEX('Per Line'!$D$2:$D$301,$AB7)&amp;"")</f>
        <v/>
      </c>
      <c r="G7">
        <f>IF($AB7="","",INDEX('Per Line'!$F$2:$F$301,$AB7)&amp;"")</f>
        <v/>
      </c>
      <c r="H7" s="11">
        <f>IF($AB7="","",INDEX('Per Line'!$G$2:$G$301,$AB7))</f>
        <v/>
      </c>
      <c r="I7">
        <f>IF($AB7="","",INDEX('Per Line'!$H$2:$H$301,$AB7)&amp;"")</f>
        <v/>
      </c>
      <c r="J7">
        <f>IF($AB7="","",INDEX('Per Line'!$J$2:$J$301,$AB7)&amp;"")</f>
        <v/>
      </c>
      <c r="K7">
        <f>IF($AB7="","",INDEX('Per Line'!$K$2:$K$301,$AB7)&amp;"")</f>
        <v/>
      </c>
      <c r="L7">
        <f>IF($AB7="","",INDEX('Per Line'!$L$2:$L$301,$AB7)&amp;"")</f>
        <v/>
      </c>
      <c r="M7">
        <f>IF($AB7="","",INDEX('Per Line'!$M$2:$M$301,$AB7)&amp;"")</f>
        <v/>
      </c>
      <c r="N7">
        <f>IF($AB7="","",INDEX('Per Line'!$N$2:$N$301,$AB7))</f>
        <v/>
      </c>
      <c r="O7" s="7">
        <f>IF($AB7="","",N7*Z7/100)</f>
        <v/>
      </c>
      <c r="P7">
        <f>IF($AB7="","",INDEX('Per Line'!$X$2:$X$301,$AB7)&amp;"")</f>
        <v/>
      </c>
      <c r="Q7" s="7">
        <f>IF($AB7="","",SUMIFS('Per Line'!$W$2:$W$301,'Per Line'!$E$2:$E$301,$B7,'Per Line'!$AO$2:$AO$301,1))</f>
        <v/>
      </c>
      <c r="R7">
        <f>IF($AB7="","",Settings!$C$7)</f>
        <v/>
      </c>
      <c r="S7" s="7">
        <f>IF($AB7="","",SUMIFS('Per Line'!$W$2:$W$301,'Per Line'!$E$2:$E$301,$B7,'Per Line'!$AN$2:$AN$301,0,'Per Line'!$AO$2:$AO$301,0))</f>
        <v/>
      </c>
      <c r="T7" s="7">
        <f>IF($AB7="","",S7*R7)</f>
        <v/>
      </c>
      <c r="U7">
        <f>IF($AB7="","",Settings!$C$6)</f>
        <v/>
      </c>
      <c r="V7" s="7">
        <f>IF($AB7="","",SUMIFS('Per Line'!$W$2:$W$301,'Per Line'!$E$2:$E$301,$B7,'Per Line'!$AN$2:$AN$301,1,'Per Line'!$AO$2:$AO$301,0))</f>
        <v/>
      </c>
      <c r="W7" s="7">
        <f>IF($AB7="","",V7*U7)</f>
        <v/>
      </c>
      <c r="X7" s="7">
        <f>IF($AB7="","",W7+T7)</f>
        <v/>
      </c>
      <c r="Y7" s="7">
        <f>IF($AB7="","",Z7-X7)</f>
        <v/>
      </c>
      <c r="Z7" s="7">
        <f>IF($AB7="","",S7+V7+Q7)</f>
        <v/>
      </c>
      <c r="AA7" s="7">
        <f>IF($AB7="","",Z7-X7-O7)</f>
        <v/>
      </c>
      <c r="AB7" s="13">
        <f>IF(ROWS($AB$2:$AB7)&lt;=MAX('Per Line'!$AM$2:$AM$301),MATCH(ROWS($AB$2:$AB7),'Per Line'!$AM$2:$AM$301,0),"")</f>
        <v/>
      </c>
    </row>
    <row r="8">
      <c r="A8" s="12" t="n"/>
      <c r="B8">
        <f>IF($AB8="","",INDEX('Per Line'!$E$2:$E$301,$AB8)&amp;"")</f>
        <v/>
      </c>
      <c r="C8">
        <f>IF($AB8="","",INDEX('Per Line'!$A$2:$A$301,$AB8)&amp;"")</f>
        <v/>
      </c>
      <c r="D8">
        <f>IF($AB8="","",INDEX('Per Line'!$B$2:$B$301,$AB8))</f>
        <v/>
      </c>
      <c r="E8">
        <f>IF($AB8="","",INDEX('Per Line'!$C$2:$C$301,$AB8)&amp;"")</f>
        <v/>
      </c>
      <c r="F8">
        <f>IF($AB8="","",INDEX('Per Line'!$D$2:$D$301,$AB8)&amp;"")</f>
        <v/>
      </c>
      <c r="G8">
        <f>IF($AB8="","",INDEX('Per Line'!$F$2:$F$301,$AB8)&amp;"")</f>
        <v/>
      </c>
      <c r="H8" s="11">
        <f>IF($AB8="","",INDEX('Per Line'!$G$2:$G$301,$AB8))</f>
        <v/>
      </c>
      <c r="I8">
        <f>IF($AB8="","",INDEX('Per Line'!$H$2:$H$301,$AB8)&amp;"")</f>
        <v/>
      </c>
      <c r="J8">
        <f>IF($AB8="","",INDEX('Per Line'!$J$2:$J$301,$AB8)&amp;"")</f>
        <v/>
      </c>
      <c r="K8">
        <f>IF($AB8="","",INDEX('Per Line'!$K$2:$K$301,$AB8)&amp;"")</f>
        <v/>
      </c>
      <c r="L8">
        <f>IF($AB8="","",INDEX('Per Line'!$L$2:$L$301,$AB8)&amp;"")</f>
        <v/>
      </c>
      <c r="M8">
        <f>IF($AB8="","",INDEX('Per Line'!$M$2:$M$301,$AB8)&amp;"")</f>
        <v/>
      </c>
      <c r="N8">
        <f>IF($AB8="","",INDEX('Per Line'!$N$2:$N$301,$AB8))</f>
        <v/>
      </c>
      <c r="O8" s="7">
        <f>IF($AB8="","",N8*Z8/100)</f>
        <v/>
      </c>
      <c r="P8">
        <f>IF($AB8="","",INDEX('Per Line'!$X$2:$X$301,$AB8)&amp;"")</f>
        <v/>
      </c>
      <c r="Q8" s="7">
        <f>IF($AB8="","",SUMIFS('Per Line'!$W$2:$W$301,'Per Line'!$E$2:$E$301,$B8,'Per Line'!$AO$2:$AO$301,1))</f>
        <v/>
      </c>
      <c r="R8">
        <f>IF($AB8="","",Settings!$C$7)</f>
        <v/>
      </c>
      <c r="S8" s="7">
        <f>IF($AB8="","",SUMIFS('Per Line'!$W$2:$W$301,'Per Line'!$E$2:$E$301,$B8,'Per Line'!$AN$2:$AN$301,0,'Per Line'!$AO$2:$AO$301,0))</f>
        <v/>
      </c>
      <c r="T8" s="7">
        <f>IF($AB8="","",S8*R8)</f>
        <v/>
      </c>
      <c r="U8">
        <f>IF($AB8="","",Settings!$C$6)</f>
        <v/>
      </c>
      <c r="V8" s="7">
        <f>IF($AB8="","",SUMIFS('Per Line'!$W$2:$W$301,'Per Line'!$E$2:$E$301,$B8,'Per Line'!$AN$2:$AN$301,1,'Per Line'!$AO$2:$AO$301,0))</f>
        <v/>
      </c>
      <c r="W8" s="7">
        <f>IF($AB8="","",V8*U8)</f>
        <v/>
      </c>
      <c r="X8" s="7">
        <f>IF($AB8="","",W8+T8)</f>
        <v/>
      </c>
      <c r="Y8" s="7">
        <f>IF($AB8="","",Z8-X8)</f>
        <v/>
      </c>
      <c r="Z8" s="7">
        <f>IF($AB8="","",S8+V8+Q8)</f>
        <v/>
      </c>
      <c r="AA8" s="7">
        <f>IF($AB8="","",Z8-X8-O8)</f>
        <v/>
      </c>
      <c r="AB8" s="13">
        <f>IF(ROWS($AB$2:$AB8)&lt;=MAX('Per Line'!$AM$2:$AM$301),MATCH(ROWS($AB$2:$AB8),'Per Line'!$AM$2:$AM$301,0),"")</f>
        <v/>
      </c>
    </row>
    <row r="9">
      <c r="A9" s="12" t="n"/>
      <c r="B9">
        <f>IF($AB9="","",INDEX('Per Line'!$E$2:$E$301,$AB9)&amp;"")</f>
        <v/>
      </c>
      <c r="C9">
        <f>IF($AB9="","",INDEX('Per Line'!$A$2:$A$301,$AB9)&amp;"")</f>
        <v/>
      </c>
      <c r="D9">
        <f>IF($AB9="","",INDEX('Per Line'!$B$2:$B$301,$AB9))</f>
        <v/>
      </c>
      <c r="E9">
        <f>IF($AB9="","",INDEX('Per Line'!$C$2:$C$301,$AB9)&amp;"")</f>
        <v/>
      </c>
      <c r="F9">
        <f>IF($AB9="","",INDEX('Per Line'!$D$2:$D$301,$AB9)&amp;"")</f>
        <v/>
      </c>
      <c r="G9">
        <f>IF($AB9="","",INDEX('Per Line'!$F$2:$F$301,$AB9)&amp;"")</f>
        <v/>
      </c>
      <c r="H9" s="11">
        <f>IF($AB9="","",INDEX('Per Line'!$G$2:$G$301,$AB9))</f>
        <v/>
      </c>
      <c r="I9">
        <f>IF($AB9="","",INDEX('Per Line'!$H$2:$H$301,$AB9)&amp;"")</f>
        <v/>
      </c>
      <c r="J9">
        <f>IF($AB9="","",INDEX('Per Line'!$J$2:$J$301,$AB9)&amp;"")</f>
        <v/>
      </c>
      <c r="K9">
        <f>IF($AB9="","",INDEX('Per Line'!$K$2:$K$301,$AB9)&amp;"")</f>
        <v/>
      </c>
      <c r="L9">
        <f>IF($AB9="","",INDEX('Per Line'!$L$2:$L$301,$AB9)&amp;"")</f>
        <v/>
      </c>
      <c r="M9">
        <f>IF($AB9="","",INDEX('Per Line'!$M$2:$M$301,$AB9)&amp;"")</f>
        <v/>
      </c>
      <c r="N9">
        <f>IF($AB9="","",INDEX('Per Line'!$N$2:$N$301,$AB9))</f>
        <v/>
      </c>
      <c r="O9" s="7">
        <f>IF($AB9="","",N9*Z9/100)</f>
        <v/>
      </c>
      <c r="P9">
        <f>IF($AB9="","",INDEX('Per Line'!$X$2:$X$301,$AB9)&amp;"")</f>
        <v/>
      </c>
      <c r="Q9" s="7">
        <f>IF($AB9="","",SUMIFS('Per Line'!$W$2:$W$301,'Per Line'!$E$2:$E$301,$B9,'Per Line'!$AO$2:$AO$301,1))</f>
        <v/>
      </c>
      <c r="R9">
        <f>IF($AB9="","",Settings!$C$7)</f>
        <v/>
      </c>
      <c r="S9" s="7">
        <f>IF($AB9="","",SUMIFS('Per Line'!$W$2:$W$301,'Per Line'!$E$2:$E$301,$B9,'Per Line'!$AN$2:$AN$301,0,'Per Line'!$AO$2:$AO$301,0))</f>
        <v/>
      </c>
      <c r="T9" s="7">
        <f>IF($AB9="","",S9*R9)</f>
        <v/>
      </c>
      <c r="U9">
        <f>IF($AB9="","",Settings!$C$6)</f>
        <v/>
      </c>
      <c r="V9" s="7">
        <f>IF($AB9="","",SUMIFS('Per Line'!$W$2:$W$301,'Per Line'!$E$2:$E$301,$B9,'Per Line'!$AN$2:$AN$301,1,'Per Line'!$AO$2:$AO$301,0))</f>
        <v/>
      </c>
      <c r="W9" s="7">
        <f>IF($AB9="","",V9*U9)</f>
        <v/>
      </c>
      <c r="X9" s="7">
        <f>IF($AB9="","",W9+T9)</f>
        <v/>
      </c>
      <c r="Y9" s="7">
        <f>IF($AB9="","",Z9-X9)</f>
        <v/>
      </c>
      <c r="Z9" s="7">
        <f>IF($AB9="","",S9+V9+Q9)</f>
        <v/>
      </c>
      <c r="AA9" s="7">
        <f>IF($AB9="","",Z9-X9-O9)</f>
        <v/>
      </c>
      <c r="AB9" s="13">
        <f>IF(ROWS($AB$2:$AB9)&lt;=MAX('Per Line'!$AM$2:$AM$301),MATCH(ROWS($AB$2:$AB9),'Per Line'!$AM$2:$AM$301,0),"")</f>
        <v/>
      </c>
    </row>
    <row r="10">
      <c r="A10" s="12" t="n"/>
      <c r="B10">
        <f>IF($AB10="","",INDEX('Per Line'!$E$2:$E$301,$AB10)&amp;"")</f>
        <v/>
      </c>
      <c r="C10">
        <f>IF($AB10="","",INDEX('Per Line'!$A$2:$A$301,$AB10)&amp;"")</f>
        <v/>
      </c>
      <c r="D10">
        <f>IF($AB10="","",INDEX('Per Line'!$B$2:$B$301,$AB10))</f>
        <v/>
      </c>
      <c r="E10">
        <f>IF($AB10="","",INDEX('Per Line'!$C$2:$C$301,$AB10)&amp;"")</f>
        <v/>
      </c>
      <c r="F10">
        <f>IF($AB10="","",INDEX('Per Line'!$D$2:$D$301,$AB10)&amp;"")</f>
        <v/>
      </c>
      <c r="G10">
        <f>IF($AB10="","",INDEX('Per Line'!$F$2:$F$301,$AB10)&amp;"")</f>
        <v/>
      </c>
      <c r="H10" s="11">
        <f>IF($AB10="","",INDEX('Per Line'!$G$2:$G$301,$AB10))</f>
        <v/>
      </c>
      <c r="I10">
        <f>IF($AB10="","",INDEX('Per Line'!$H$2:$H$301,$AB10)&amp;"")</f>
        <v/>
      </c>
      <c r="J10">
        <f>IF($AB10="","",INDEX('Per Line'!$J$2:$J$301,$AB10)&amp;"")</f>
        <v/>
      </c>
      <c r="K10">
        <f>IF($AB10="","",INDEX('Per Line'!$K$2:$K$301,$AB10)&amp;"")</f>
        <v/>
      </c>
      <c r="L10">
        <f>IF($AB10="","",INDEX('Per Line'!$L$2:$L$301,$AB10)&amp;"")</f>
        <v/>
      </c>
      <c r="M10">
        <f>IF($AB10="","",INDEX('Per Line'!$M$2:$M$301,$AB10)&amp;"")</f>
        <v/>
      </c>
      <c r="N10">
        <f>IF($AB10="","",INDEX('Per Line'!$N$2:$N$301,$AB10))</f>
        <v/>
      </c>
      <c r="O10" s="7">
        <f>IF($AB10="","",N10*Z10/100)</f>
        <v/>
      </c>
      <c r="P10">
        <f>IF($AB10="","",INDEX('Per Line'!$X$2:$X$301,$AB10)&amp;"")</f>
        <v/>
      </c>
      <c r="Q10" s="7">
        <f>IF($AB10="","",SUMIFS('Per Line'!$W$2:$W$301,'Per Line'!$E$2:$E$301,$B10,'Per Line'!$AO$2:$AO$301,1))</f>
        <v/>
      </c>
      <c r="R10">
        <f>IF($AB10="","",Settings!$C$7)</f>
        <v/>
      </c>
      <c r="S10" s="7">
        <f>IF($AB10="","",SUMIFS('Per Line'!$W$2:$W$301,'Per Line'!$E$2:$E$301,$B10,'Per Line'!$AN$2:$AN$301,0,'Per Line'!$AO$2:$AO$301,0))</f>
        <v/>
      </c>
      <c r="T10" s="7">
        <f>IF($AB10="","",S10*R10)</f>
        <v/>
      </c>
      <c r="U10">
        <f>IF($AB10="","",Settings!$C$6)</f>
        <v/>
      </c>
      <c r="V10" s="7">
        <f>IF($AB10="","",SUMIFS('Per Line'!$W$2:$W$301,'Per Line'!$E$2:$E$301,$B10,'Per Line'!$AN$2:$AN$301,1,'Per Line'!$AO$2:$AO$301,0))</f>
        <v/>
      </c>
      <c r="W10" s="7">
        <f>IF($AB10="","",V10*U10)</f>
        <v/>
      </c>
      <c r="X10" s="7">
        <f>IF($AB10="","",W10+T10)</f>
        <v/>
      </c>
      <c r="Y10" s="7">
        <f>IF($AB10="","",Z10-X10)</f>
        <v/>
      </c>
      <c r="Z10" s="7">
        <f>IF($AB10="","",S10+V10+Q10)</f>
        <v/>
      </c>
      <c r="AA10" s="7">
        <f>IF($AB10="","",Z10-X10-O10)</f>
        <v/>
      </c>
      <c r="AB10" s="13">
        <f>IF(ROWS($AB$2:$AB10)&lt;=MAX('Per Line'!$AM$2:$AM$301),MATCH(ROWS($AB$2:$AB10),'Per Line'!$AM$2:$AM$301,0),"")</f>
        <v/>
      </c>
    </row>
    <row r="11">
      <c r="A11" s="12" t="n"/>
      <c r="B11">
        <f>IF($AB11="","",INDEX('Per Line'!$E$2:$E$301,$AB11)&amp;"")</f>
        <v/>
      </c>
      <c r="C11">
        <f>IF($AB11="","",INDEX('Per Line'!$A$2:$A$301,$AB11)&amp;"")</f>
        <v/>
      </c>
      <c r="D11">
        <f>IF($AB11="","",INDEX('Per Line'!$B$2:$B$301,$AB11))</f>
        <v/>
      </c>
      <c r="E11">
        <f>IF($AB11="","",INDEX('Per Line'!$C$2:$C$301,$AB11)&amp;"")</f>
        <v/>
      </c>
      <c r="F11">
        <f>IF($AB11="","",INDEX('Per Line'!$D$2:$D$301,$AB11)&amp;"")</f>
        <v/>
      </c>
      <c r="G11">
        <f>IF($AB11="","",INDEX('Per Line'!$F$2:$F$301,$AB11)&amp;"")</f>
        <v/>
      </c>
      <c r="H11" s="11">
        <f>IF($AB11="","",INDEX('Per Line'!$G$2:$G$301,$AB11))</f>
        <v/>
      </c>
      <c r="I11">
        <f>IF($AB11="","",INDEX('Per Line'!$H$2:$H$301,$AB11)&amp;"")</f>
        <v/>
      </c>
      <c r="J11">
        <f>IF($AB11="","",INDEX('Per Line'!$J$2:$J$301,$AB11)&amp;"")</f>
        <v/>
      </c>
      <c r="K11">
        <f>IF($AB11="","",INDEX('Per Line'!$K$2:$K$301,$AB11)&amp;"")</f>
        <v/>
      </c>
      <c r="L11">
        <f>IF($AB11="","",INDEX('Per Line'!$L$2:$L$301,$AB11)&amp;"")</f>
        <v/>
      </c>
      <c r="M11">
        <f>IF($AB11="","",INDEX('Per Line'!$M$2:$M$301,$AB11)&amp;"")</f>
        <v/>
      </c>
      <c r="N11">
        <f>IF($AB11="","",INDEX('Per Line'!$N$2:$N$301,$AB11))</f>
        <v/>
      </c>
      <c r="O11" s="7">
        <f>IF($AB11="","",N11*Z11/100)</f>
        <v/>
      </c>
      <c r="P11">
        <f>IF($AB11="","",INDEX('Per Line'!$X$2:$X$301,$AB11)&amp;"")</f>
        <v/>
      </c>
      <c r="Q11" s="7">
        <f>IF($AB11="","",SUMIFS('Per Line'!$W$2:$W$301,'Per Line'!$E$2:$E$301,$B11,'Per Line'!$AO$2:$AO$301,1))</f>
        <v/>
      </c>
      <c r="R11">
        <f>IF($AB11="","",Settings!$C$7)</f>
        <v/>
      </c>
      <c r="S11" s="7">
        <f>IF($AB11="","",SUMIFS('Per Line'!$W$2:$W$301,'Per Line'!$E$2:$E$301,$B11,'Per Line'!$AN$2:$AN$301,0,'Per Line'!$AO$2:$AO$301,0))</f>
        <v/>
      </c>
      <c r="T11" s="7">
        <f>IF($AB11="","",S11*R11)</f>
        <v/>
      </c>
      <c r="U11">
        <f>IF($AB11="","",Settings!$C$6)</f>
        <v/>
      </c>
      <c r="V11" s="7">
        <f>IF($AB11="","",SUMIFS('Per Line'!$W$2:$W$301,'Per Line'!$E$2:$E$301,$B11,'Per Line'!$AN$2:$AN$301,1,'Per Line'!$AO$2:$AO$301,0))</f>
        <v/>
      </c>
      <c r="W11" s="7">
        <f>IF($AB11="","",V11*U11)</f>
        <v/>
      </c>
      <c r="X11" s="7">
        <f>IF($AB11="","",W11+T11)</f>
        <v/>
      </c>
      <c r="Y11" s="7">
        <f>IF($AB11="","",Z11-X11)</f>
        <v/>
      </c>
      <c r="Z11" s="7">
        <f>IF($AB11="","",S11+V11+Q11)</f>
        <v/>
      </c>
      <c r="AA11" s="7">
        <f>IF($AB11="","",Z11-X11-O11)</f>
        <v/>
      </c>
      <c r="AB11" s="13">
        <f>IF(ROWS($AB$2:$AB11)&lt;=MAX('Per Line'!$AM$2:$AM$301),MATCH(ROWS($AB$2:$AB11),'Per Line'!$AM$2:$AM$301,0),"")</f>
        <v/>
      </c>
    </row>
    <row r="12">
      <c r="A12" s="12" t="n"/>
      <c r="B12">
        <f>IF($AB12="","",INDEX('Per Line'!$E$2:$E$301,$AB12)&amp;"")</f>
        <v/>
      </c>
      <c r="C12">
        <f>IF($AB12="","",INDEX('Per Line'!$A$2:$A$301,$AB12)&amp;"")</f>
        <v/>
      </c>
      <c r="D12">
        <f>IF($AB12="","",INDEX('Per Line'!$B$2:$B$301,$AB12))</f>
        <v/>
      </c>
      <c r="E12">
        <f>IF($AB12="","",INDEX('Per Line'!$C$2:$C$301,$AB12)&amp;"")</f>
        <v/>
      </c>
      <c r="F12">
        <f>IF($AB12="","",INDEX('Per Line'!$D$2:$D$301,$AB12)&amp;"")</f>
        <v/>
      </c>
      <c r="G12">
        <f>IF($AB12="","",INDEX('Per Line'!$F$2:$F$301,$AB12)&amp;"")</f>
        <v/>
      </c>
      <c r="H12" s="11">
        <f>IF($AB12="","",INDEX('Per Line'!$G$2:$G$301,$AB12))</f>
        <v/>
      </c>
      <c r="I12">
        <f>IF($AB12="","",INDEX('Per Line'!$H$2:$H$301,$AB12)&amp;"")</f>
        <v/>
      </c>
      <c r="J12">
        <f>IF($AB12="","",INDEX('Per Line'!$J$2:$J$301,$AB12)&amp;"")</f>
        <v/>
      </c>
      <c r="K12">
        <f>IF($AB12="","",INDEX('Per Line'!$K$2:$K$301,$AB12)&amp;"")</f>
        <v/>
      </c>
      <c r="L12">
        <f>IF($AB12="","",INDEX('Per Line'!$L$2:$L$301,$AB12)&amp;"")</f>
        <v/>
      </c>
      <c r="M12">
        <f>IF($AB12="","",INDEX('Per Line'!$M$2:$M$301,$AB12)&amp;"")</f>
        <v/>
      </c>
      <c r="N12">
        <f>IF($AB12="","",INDEX('Per Line'!$N$2:$N$301,$AB12))</f>
        <v/>
      </c>
      <c r="O12" s="7">
        <f>IF($AB12="","",N12*Z12/100)</f>
        <v/>
      </c>
      <c r="P12">
        <f>IF($AB12="","",INDEX('Per Line'!$X$2:$X$301,$AB12)&amp;"")</f>
        <v/>
      </c>
      <c r="Q12" s="7">
        <f>IF($AB12="","",SUMIFS('Per Line'!$W$2:$W$301,'Per Line'!$E$2:$E$301,$B12,'Per Line'!$AO$2:$AO$301,1))</f>
        <v/>
      </c>
      <c r="R12">
        <f>IF($AB12="","",Settings!$C$7)</f>
        <v/>
      </c>
      <c r="S12" s="7">
        <f>IF($AB12="","",SUMIFS('Per Line'!$W$2:$W$301,'Per Line'!$E$2:$E$301,$B12,'Per Line'!$AN$2:$AN$301,0,'Per Line'!$AO$2:$AO$301,0))</f>
        <v/>
      </c>
      <c r="T12" s="7">
        <f>IF($AB12="","",S12*R12)</f>
        <v/>
      </c>
      <c r="U12">
        <f>IF($AB12="","",Settings!$C$6)</f>
        <v/>
      </c>
      <c r="V12" s="7">
        <f>IF($AB12="","",SUMIFS('Per Line'!$W$2:$W$301,'Per Line'!$E$2:$E$301,$B12,'Per Line'!$AN$2:$AN$301,1,'Per Line'!$AO$2:$AO$301,0))</f>
        <v/>
      </c>
      <c r="W12" s="7">
        <f>IF($AB12="","",V12*U12)</f>
        <v/>
      </c>
      <c r="X12" s="7">
        <f>IF($AB12="","",W12+T12)</f>
        <v/>
      </c>
      <c r="Y12" s="7">
        <f>IF($AB12="","",Z12-X12)</f>
        <v/>
      </c>
      <c r="Z12" s="7">
        <f>IF($AB12="","",S12+V12+Q12)</f>
        <v/>
      </c>
      <c r="AA12" s="7">
        <f>IF($AB12="","",Z12-X12-O12)</f>
        <v/>
      </c>
      <c r="AB12" s="13">
        <f>IF(ROWS($AB$2:$AB12)&lt;=MAX('Per Line'!$AM$2:$AM$301),MATCH(ROWS($AB$2:$AB12),'Per Line'!$AM$2:$AM$301,0),"")</f>
        <v/>
      </c>
    </row>
    <row r="13">
      <c r="A13" s="12" t="n"/>
      <c r="B13">
        <f>IF($AB13="","",INDEX('Per Line'!$E$2:$E$301,$AB13)&amp;"")</f>
        <v/>
      </c>
      <c r="C13">
        <f>IF($AB13="","",INDEX('Per Line'!$A$2:$A$301,$AB13)&amp;"")</f>
        <v/>
      </c>
      <c r="D13">
        <f>IF($AB13="","",INDEX('Per Line'!$B$2:$B$301,$AB13))</f>
        <v/>
      </c>
      <c r="E13">
        <f>IF($AB13="","",INDEX('Per Line'!$C$2:$C$301,$AB13)&amp;"")</f>
        <v/>
      </c>
      <c r="F13">
        <f>IF($AB13="","",INDEX('Per Line'!$D$2:$D$301,$AB13)&amp;"")</f>
        <v/>
      </c>
      <c r="G13">
        <f>IF($AB13="","",INDEX('Per Line'!$F$2:$F$301,$AB13)&amp;"")</f>
        <v/>
      </c>
      <c r="H13" s="11">
        <f>IF($AB13="","",INDEX('Per Line'!$G$2:$G$301,$AB13))</f>
        <v/>
      </c>
      <c r="I13">
        <f>IF($AB13="","",INDEX('Per Line'!$H$2:$H$301,$AB13)&amp;"")</f>
        <v/>
      </c>
      <c r="J13">
        <f>IF($AB13="","",INDEX('Per Line'!$J$2:$J$301,$AB13)&amp;"")</f>
        <v/>
      </c>
      <c r="K13">
        <f>IF($AB13="","",INDEX('Per Line'!$K$2:$K$301,$AB13)&amp;"")</f>
        <v/>
      </c>
      <c r="L13">
        <f>IF($AB13="","",INDEX('Per Line'!$L$2:$L$301,$AB13)&amp;"")</f>
        <v/>
      </c>
      <c r="M13">
        <f>IF($AB13="","",INDEX('Per Line'!$M$2:$M$301,$AB13)&amp;"")</f>
        <v/>
      </c>
      <c r="N13">
        <f>IF($AB13="","",INDEX('Per Line'!$N$2:$N$301,$AB13))</f>
        <v/>
      </c>
      <c r="O13" s="7">
        <f>IF($AB13="","",N13*Z13/100)</f>
        <v/>
      </c>
      <c r="P13">
        <f>IF($AB13="","",INDEX('Per Line'!$X$2:$X$301,$AB13)&amp;"")</f>
        <v/>
      </c>
      <c r="Q13" s="7">
        <f>IF($AB13="","",SUMIFS('Per Line'!$W$2:$W$301,'Per Line'!$E$2:$E$301,$B13,'Per Line'!$AO$2:$AO$301,1))</f>
        <v/>
      </c>
      <c r="R13">
        <f>IF($AB13="","",Settings!$C$7)</f>
        <v/>
      </c>
      <c r="S13" s="7">
        <f>IF($AB13="","",SUMIFS('Per Line'!$W$2:$W$301,'Per Line'!$E$2:$E$301,$B13,'Per Line'!$AN$2:$AN$301,0,'Per Line'!$AO$2:$AO$301,0))</f>
        <v/>
      </c>
      <c r="T13" s="7">
        <f>IF($AB13="","",S13*R13)</f>
        <v/>
      </c>
      <c r="U13">
        <f>IF($AB13="","",Settings!$C$6)</f>
        <v/>
      </c>
      <c r="V13" s="7">
        <f>IF($AB13="","",SUMIFS('Per Line'!$W$2:$W$301,'Per Line'!$E$2:$E$301,$B13,'Per Line'!$AN$2:$AN$301,1,'Per Line'!$AO$2:$AO$301,0))</f>
        <v/>
      </c>
      <c r="W13" s="7">
        <f>IF($AB13="","",V13*U13)</f>
        <v/>
      </c>
      <c r="X13" s="7">
        <f>IF($AB13="","",W13+T13)</f>
        <v/>
      </c>
      <c r="Y13" s="7">
        <f>IF($AB13="","",Z13-X13)</f>
        <v/>
      </c>
      <c r="Z13" s="7">
        <f>IF($AB13="","",S13+V13+Q13)</f>
        <v/>
      </c>
      <c r="AA13" s="7">
        <f>IF($AB13="","",Z13-X13-O13)</f>
        <v/>
      </c>
      <c r="AB13" s="13">
        <f>IF(ROWS($AB$2:$AB13)&lt;=MAX('Per Line'!$AM$2:$AM$301),MATCH(ROWS($AB$2:$AB13),'Per Line'!$AM$2:$AM$301,0),"")</f>
        <v/>
      </c>
    </row>
    <row r="14">
      <c r="A14" s="12" t="n"/>
      <c r="B14">
        <f>IF($AB14="","",INDEX('Per Line'!$E$2:$E$301,$AB14)&amp;"")</f>
        <v/>
      </c>
      <c r="C14">
        <f>IF($AB14="","",INDEX('Per Line'!$A$2:$A$301,$AB14)&amp;"")</f>
        <v/>
      </c>
      <c r="D14">
        <f>IF($AB14="","",INDEX('Per Line'!$B$2:$B$301,$AB14))</f>
        <v/>
      </c>
      <c r="E14">
        <f>IF($AB14="","",INDEX('Per Line'!$C$2:$C$301,$AB14)&amp;"")</f>
        <v/>
      </c>
      <c r="F14">
        <f>IF($AB14="","",INDEX('Per Line'!$D$2:$D$301,$AB14)&amp;"")</f>
        <v/>
      </c>
      <c r="G14">
        <f>IF($AB14="","",INDEX('Per Line'!$F$2:$F$301,$AB14)&amp;"")</f>
        <v/>
      </c>
      <c r="H14" s="11">
        <f>IF($AB14="","",INDEX('Per Line'!$G$2:$G$301,$AB14))</f>
        <v/>
      </c>
      <c r="I14">
        <f>IF($AB14="","",INDEX('Per Line'!$H$2:$H$301,$AB14)&amp;"")</f>
        <v/>
      </c>
      <c r="J14">
        <f>IF($AB14="","",INDEX('Per Line'!$J$2:$J$301,$AB14)&amp;"")</f>
        <v/>
      </c>
      <c r="K14">
        <f>IF($AB14="","",INDEX('Per Line'!$K$2:$K$301,$AB14)&amp;"")</f>
        <v/>
      </c>
      <c r="L14">
        <f>IF($AB14="","",INDEX('Per Line'!$L$2:$L$301,$AB14)&amp;"")</f>
        <v/>
      </c>
      <c r="M14">
        <f>IF($AB14="","",INDEX('Per Line'!$M$2:$M$301,$AB14)&amp;"")</f>
        <v/>
      </c>
      <c r="N14">
        <f>IF($AB14="","",INDEX('Per Line'!$N$2:$N$301,$AB14))</f>
        <v/>
      </c>
      <c r="O14" s="7">
        <f>IF($AB14="","",N14*Z14/100)</f>
        <v/>
      </c>
      <c r="P14">
        <f>IF($AB14="","",INDEX('Per Line'!$X$2:$X$301,$AB14)&amp;"")</f>
        <v/>
      </c>
      <c r="Q14" s="7">
        <f>IF($AB14="","",SUMIFS('Per Line'!$W$2:$W$301,'Per Line'!$E$2:$E$301,$B14,'Per Line'!$AO$2:$AO$301,1))</f>
        <v/>
      </c>
      <c r="R14">
        <f>IF($AB14="","",Settings!$C$7)</f>
        <v/>
      </c>
      <c r="S14" s="7">
        <f>IF($AB14="","",SUMIFS('Per Line'!$W$2:$W$301,'Per Line'!$E$2:$E$301,$B14,'Per Line'!$AN$2:$AN$301,0,'Per Line'!$AO$2:$AO$301,0))</f>
        <v/>
      </c>
      <c r="T14" s="7">
        <f>IF($AB14="","",S14*R14)</f>
        <v/>
      </c>
      <c r="U14">
        <f>IF($AB14="","",Settings!$C$6)</f>
        <v/>
      </c>
      <c r="V14" s="7">
        <f>IF($AB14="","",SUMIFS('Per Line'!$W$2:$W$301,'Per Line'!$E$2:$E$301,$B14,'Per Line'!$AN$2:$AN$301,1,'Per Line'!$AO$2:$AO$301,0))</f>
        <v/>
      </c>
      <c r="W14" s="7">
        <f>IF($AB14="","",V14*U14)</f>
        <v/>
      </c>
      <c r="X14" s="7">
        <f>IF($AB14="","",W14+T14)</f>
        <v/>
      </c>
      <c r="Y14" s="7">
        <f>IF($AB14="","",Z14-X14)</f>
        <v/>
      </c>
      <c r="Z14" s="7">
        <f>IF($AB14="","",S14+V14+Q14)</f>
        <v/>
      </c>
      <c r="AA14" s="7">
        <f>IF($AB14="","",Z14-X14-O14)</f>
        <v/>
      </c>
      <c r="AB14" s="13">
        <f>IF(ROWS($AB$2:$AB14)&lt;=MAX('Per Line'!$AM$2:$AM$301),MATCH(ROWS($AB$2:$AB14),'Per Line'!$AM$2:$AM$301,0),"")</f>
        <v/>
      </c>
    </row>
    <row r="15">
      <c r="A15" s="12" t="n"/>
      <c r="B15">
        <f>IF($AB15="","",INDEX('Per Line'!$E$2:$E$301,$AB15)&amp;"")</f>
        <v/>
      </c>
      <c r="C15">
        <f>IF($AB15="","",INDEX('Per Line'!$A$2:$A$301,$AB15)&amp;"")</f>
        <v/>
      </c>
      <c r="D15">
        <f>IF($AB15="","",INDEX('Per Line'!$B$2:$B$301,$AB15))</f>
        <v/>
      </c>
      <c r="E15">
        <f>IF($AB15="","",INDEX('Per Line'!$C$2:$C$301,$AB15)&amp;"")</f>
        <v/>
      </c>
      <c r="F15">
        <f>IF($AB15="","",INDEX('Per Line'!$D$2:$D$301,$AB15)&amp;"")</f>
        <v/>
      </c>
      <c r="G15">
        <f>IF($AB15="","",INDEX('Per Line'!$F$2:$F$301,$AB15)&amp;"")</f>
        <v/>
      </c>
      <c r="H15" s="11">
        <f>IF($AB15="","",INDEX('Per Line'!$G$2:$G$301,$AB15))</f>
        <v/>
      </c>
      <c r="I15">
        <f>IF($AB15="","",INDEX('Per Line'!$H$2:$H$301,$AB15)&amp;"")</f>
        <v/>
      </c>
      <c r="J15">
        <f>IF($AB15="","",INDEX('Per Line'!$J$2:$J$301,$AB15)&amp;"")</f>
        <v/>
      </c>
      <c r="K15">
        <f>IF($AB15="","",INDEX('Per Line'!$K$2:$K$301,$AB15)&amp;"")</f>
        <v/>
      </c>
      <c r="L15">
        <f>IF($AB15="","",INDEX('Per Line'!$L$2:$L$301,$AB15)&amp;"")</f>
        <v/>
      </c>
      <c r="M15">
        <f>IF($AB15="","",INDEX('Per Line'!$M$2:$M$301,$AB15)&amp;"")</f>
        <v/>
      </c>
      <c r="N15">
        <f>IF($AB15="","",INDEX('Per Line'!$N$2:$N$301,$AB15))</f>
        <v/>
      </c>
      <c r="O15" s="7">
        <f>IF($AB15="","",N15*Z15/100)</f>
        <v/>
      </c>
      <c r="P15">
        <f>IF($AB15="","",INDEX('Per Line'!$X$2:$X$301,$AB15)&amp;"")</f>
        <v/>
      </c>
      <c r="Q15" s="7">
        <f>IF($AB15="","",SUMIFS('Per Line'!$W$2:$W$301,'Per Line'!$E$2:$E$301,$B15,'Per Line'!$AO$2:$AO$301,1))</f>
        <v/>
      </c>
      <c r="R15">
        <f>IF($AB15="","",Settings!$C$7)</f>
        <v/>
      </c>
      <c r="S15" s="7">
        <f>IF($AB15="","",SUMIFS('Per Line'!$W$2:$W$301,'Per Line'!$E$2:$E$301,$B15,'Per Line'!$AN$2:$AN$301,0,'Per Line'!$AO$2:$AO$301,0))</f>
        <v/>
      </c>
      <c r="T15" s="7">
        <f>IF($AB15="","",S15*R15)</f>
        <v/>
      </c>
      <c r="U15">
        <f>IF($AB15="","",Settings!$C$6)</f>
        <v/>
      </c>
      <c r="V15" s="7">
        <f>IF($AB15="","",SUMIFS('Per Line'!$W$2:$W$301,'Per Line'!$E$2:$E$301,$B15,'Per Line'!$AN$2:$AN$301,1,'Per Line'!$AO$2:$AO$301,0))</f>
        <v/>
      </c>
      <c r="W15" s="7">
        <f>IF($AB15="","",V15*U15)</f>
        <v/>
      </c>
      <c r="X15" s="7">
        <f>IF($AB15="","",W15+T15)</f>
        <v/>
      </c>
      <c r="Y15" s="7">
        <f>IF($AB15="","",Z15-X15)</f>
        <v/>
      </c>
      <c r="Z15" s="7">
        <f>IF($AB15="","",S15+V15+Q15)</f>
        <v/>
      </c>
      <c r="AA15" s="7">
        <f>IF($AB15="","",Z15-X15-O15)</f>
        <v/>
      </c>
      <c r="AB15" s="13">
        <f>IF(ROWS($AB$2:$AB15)&lt;=MAX('Per Line'!$AM$2:$AM$301),MATCH(ROWS($AB$2:$AB15),'Per Line'!$AM$2:$AM$301,0),"")</f>
        <v/>
      </c>
    </row>
    <row r="16">
      <c r="A16" s="12" t="n"/>
      <c r="B16">
        <f>IF($AB16="","",INDEX('Per Line'!$E$2:$E$301,$AB16)&amp;"")</f>
        <v/>
      </c>
      <c r="C16">
        <f>IF($AB16="","",INDEX('Per Line'!$A$2:$A$301,$AB16)&amp;"")</f>
        <v/>
      </c>
      <c r="D16">
        <f>IF($AB16="","",INDEX('Per Line'!$B$2:$B$301,$AB16))</f>
        <v/>
      </c>
      <c r="E16">
        <f>IF($AB16="","",INDEX('Per Line'!$C$2:$C$301,$AB16)&amp;"")</f>
        <v/>
      </c>
      <c r="F16">
        <f>IF($AB16="","",INDEX('Per Line'!$D$2:$D$301,$AB16)&amp;"")</f>
        <v/>
      </c>
      <c r="G16">
        <f>IF($AB16="","",INDEX('Per Line'!$F$2:$F$301,$AB16)&amp;"")</f>
        <v/>
      </c>
      <c r="H16" s="11">
        <f>IF($AB16="","",INDEX('Per Line'!$G$2:$G$301,$AB16))</f>
        <v/>
      </c>
      <c r="I16">
        <f>IF($AB16="","",INDEX('Per Line'!$H$2:$H$301,$AB16)&amp;"")</f>
        <v/>
      </c>
      <c r="J16">
        <f>IF($AB16="","",INDEX('Per Line'!$J$2:$J$301,$AB16)&amp;"")</f>
        <v/>
      </c>
      <c r="K16">
        <f>IF($AB16="","",INDEX('Per Line'!$K$2:$K$301,$AB16)&amp;"")</f>
        <v/>
      </c>
      <c r="L16">
        <f>IF($AB16="","",INDEX('Per Line'!$L$2:$L$301,$AB16)&amp;"")</f>
        <v/>
      </c>
      <c r="M16">
        <f>IF($AB16="","",INDEX('Per Line'!$M$2:$M$301,$AB16)&amp;"")</f>
        <v/>
      </c>
      <c r="N16">
        <f>IF($AB16="","",INDEX('Per Line'!$N$2:$N$301,$AB16))</f>
        <v/>
      </c>
      <c r="O16" s="7">
        <f>IF($AB16="","",N16*Z16/100)</f>
        <v/>
      </c>
      <c r="P16">
        <f>IF($AB16="","",INDEX('Per Line'!$X$2:$X$301,$AB16)&amp;"")</f>
        <v/>
      </c>
      <c r="Q16" s="7">
        <f>IF($AB16="","",SUMIFS('Per Line'!$W$2:$W$301,'Per Line'!$E$2:$E$301,$B16,'Per Line'!$AO$2:$AO$301,1))</f>
        <v/>
      </c>
      <c r="R16">
        <f>IF($AB16="","",Settings!$C$7)</f>
        <v/>
      </c>
      <c r="S16" s="7">
        <f>IF($AB16="","",SUMIFS('Per Line'!$W$2:$W$301,'Per Line'!$E$2:$E$301,$B16,'Per Line'!$AN$2:$AN$301,0,'Per Line'!$AO$2:$AO$301,0))</f>
        <v/>
      </c>
      <c r="T16" s="7">
        <f>IF($AB16="","",S16*R16)</f>
        <v/>
      </c>
      <c r="U16">
        <f>IF($AB16="","",Settings!$C$6)</f>
        <v/>
      </c>
      <c r="V16" s="7">
        <f>IF($AB16="","",SUMIFS('Per Line'!$W$2:$W$301,'Per Line'!$E$2:$E$301,$B16,'Per Line'!$AN$2:$AN$301,1,'Per Line'!$AO$2:$AO$301,0))</f>
        <v/>
      </c>
      <c r="W16" s="7">
        <f>IF($AB16="","",V16*U16)</f>
        <v/>
      </c>
      <c r="X16" s="7">
        <f>IF($AB16="","",W16+T16)</f>
        <v/>
      </c>
      <c r="Y16" s="7">
        <f>IF($AB16="","",Z16-X16)</f>
        <v/>
      </c>
      <c r="Z16" s="7">
        <f>IF($AB16="","",S16+V16+Q16)</f>
        <v/>
      </c>
      <c r="AA16" s="7">
        <f>IF($AB16="","",Z16-X16-O16)</f>
        <v/>
      </c>
      <c r="AB16" s="13">
        <f>IF(ROWS($AB$2:$AB16)&lt;=MAX('Per Line'!$AM$2:$AM$301),MATCH(ROWS($AB$2:$AB16),'Per Line'!$AM$2:$AM$301,0),"")</f>
        <v/>
      </c>
    </row>
    <row r="17">
      <c r="A17" s="12" t="n"/>
      <c r="B17">
        <f>IF($AB17="","",INDEX('Per Line'!$E$2:$E$301,$AB17)&amp;"")</f>
        <v/>
      </c>
      <c r="C17">
        <f>IF($AB17="","",INDEX('Per Line'!$A$2:$A$301,$AB17)&amp;"")</f>
        <v/>
      </c>
      <c r="D17">
        <f>IF($AB17="","",INDEX('Per Line'!$B$2:$B$301,$AB17))</f>
        <v/>
      </c>
      <c r="E17">
        <f>IF($AB17="","",INDEX('Per Line'!$C$2:$C$301,$AB17)&amp;"")</f>
        <v/>
      </c>
      <c r="F17">
        <f>IF($AB17="","",INDEX('Per Line'!$D$2:$D$301,$AB17)&amp;"")</f>
        <v/>
      </c>
      <c r="G17">
        <f>IF($AB17="","",INDEX('Per Line'!$F$2:$F$301,$AB17)&amp;"")</f>
        <v/>
      </c>
      <c r="H17" s="11">
        <f>IF($AB17="","",INDEX('Per Line'!$G$2:$G$301,$AB17))</f>
        <v/>
      </c>
      <c r="I17">
        <f>IF($AB17="","",INDEX('Per Line'!$H$2:$H$301,$AB17)&amp;"")</f>
        <v/>
      </c>
      <c r="J17">
        <f>IF($AB17="","",INDEX('Per Line'!$J$2:$J$301,$AB17)&amp;"")</f>
        <v/>
      </c>
      <c r="K17">
        <f>IF($AB17="","",INDEX('Per Line'!$K$2:$K$301,$AB17)&amp;"")</f>
        <v/>
      </c>
      <c r="L17">
        <f>IF($AB17="","",INDEX('Per Line'!$L$2:$L$301,$AB17)&amp;"")</f>
        <v/>
      </c>
      <c r="M17">
        <f>IF($AB17="","",INDEX('Per Line'!$M$2:$M$301,$AB17)&amp;"")</f>
        <v/>
      </c>
      <c r="N17">
        <f>IF($AB17="","",INDEX('Per Line'!$N$2:$N$301,$AB17))</f>
        <v/>
      </c>
      <c r="O17" s="7">
        <f>IF($AB17="","",N17*Z17/100)</f>
        <v/>
      </c>
      <c r="P17">
        <f>IF($AB17="","",INDEX('Per Line'!$X$2:$X$301,$AB17)&amp;"")</f>
        <v/>
      </c>
      <c r="Q17" s="7">
        <f>IF($AB17="","",SUMIFS('Per Line'!$W$2:$W$301,'Per Line'!$E$2:$E$301,$B17,'Per Line'!$AO$2:$AO$301,1))</f>
        <v/>
      </c>
      <c r="R17">
        <f>IF($AB17="","",Settings!$C$7)</f>
        <v/>
      </c>
      <c r="S17" s="7">
        <f>IF($AB17="","",SUMIFS('Per Line'!$W$2:$W$301,'Per Line'!$E$2:$E$301,$B17,'Per Line'!$AN$2:$AN$301,0,'Per Line'!$AO$2:$AO$301,0))</f>
        <v/>
      </c>
      <c r="T17" s="7">
        <f>IF($AB17="","",S17*R17)</f>
        <v/>
      </c>
      <c r="U17">
        <f>IF($AB17="","",Settings!$C$6)</f>
        <v/>
      </c>
      <c r="V17" s="7">
        <f>IF($AB17="","",SUMIFS('Per Line'!$W$2:$W$301,'Per Line'!$E$2:$E$301,$B17,'Per Line'!$AN$2:$AN$301,1,'Per Line'!$AO$2:$AO$301,0))</f>
        <v/>
      </c>
      <c r="W17" s="7">
        <f>IF($AB17="","",V17*U17)</f>
        <v/>
      </c>
      <c r="X17" s="7">
        <f>IF($AB17="","",W17+T17)</f>
        <v/>
      </c>
      <c r="Y17" s="7">
        <f>IF($AB17="","",Z17-X17)</f>
        <v/>
      </c>
      <c r="Z17" s="7">
        <f>IF($AB17="","",S17+V17+Q17)</f>
        <v/>
      </c>
      <c r="AA17" s="7">
        <f>IF($AB17="","",Z17-X17-O17)</f>
        <v/>
      </c>
      <c r="AB17" s="13">
        <f>IF(ROWS($AB$2:$AB17)&lt;=MAX('Per Line'!$AM$2:$AM$301),MATCH(ROWS($AB$2:$AB17),'Per Line'!$AM$2:$AM$301,0),"")</f>
        <v/>
      </c>
    </row>
    <row r="18">
      <c r="A18" s="12" t="n"/>
      <c r="B18">
        <f>IF($AB18="","",INDEX('Per Line'!$E$2:$E$301,$AB18)&amp;"")</f>
        <v/>
      </c>
      <c r="C18">
        <f>IF($AB18="","",INDEX('Per Line'!$A$2:$A$301,$AB18)&amp;"")</f>
        <v/>
      </c>
      <c r="D18">
        <f>IF($AB18="","",INDEX('Per Line'!$B$2:$B$301,$AB18))</f>
        <v/>
      </c>
      <c r="E18">
        <f>IF($AB18="","",INDEX('Per Line'!$C$2:$C$301,$AB18)&amp;"")</f>
        <v/>
      </c>
      <c r="F18">
        <f>IF($AB18="","",INDEX('Per Line'!$D$2:$D$301,$AB18)&amp;"")</f>
        <v/>
      </c>
      <c r="G18">
        <f>IF($AB18="","",INDEX('Per Line'!$F$2:$F$301,$AB18)&amp;"")</f>
        <v/>
      </c>
      <c r="H18" s="11">
        <f>IF($AB18="","",INDEX('Per Line'!$G$2:$G$301,$AB18))</f>
        <v/>
      </c>
      <c r="I18">
        <f>IF($AB18="","",INDEX('Per Line'!$H$2:$H$301,$AB18)&amp;"")</f>
        <v/>
      </c>
      <c r="J18">
        <f>IF($AB18="","",INDEX('Per Line'!$J$2:$J$301,$AB18)&amp;"")</f>
        <v/>
      </c>
      <c r="K18">
        <f>IF($AB18="","",INDEX('Per Line'!$K$2:$K$301,$AB18)&amp;"")</f>
        <v/>
      </c>
      <c r="L18">
        <f>IF($AB18="","",INDEX('Per Line'!$L$2:$L$301,$AB18)&amp;"")</f>
        <v/>
      </c>
      <c r="M18">
        <f>IF($AB18="","",INDEX('Per Line'!$M$2:$M$301,$AB18)&amp;"")</f>
        <v/>
      </c>
      <c r="N18">
        <f>IF($AB18="","",INDEX('Per Line'!$N$2:$N$301,$AB18))</f>
        <v/>
      </c>
      <c r="O18" s="7">
        <f>IF($AB18="","",N18*Z18/100)</f>
        <v/>
      </c>
      <c r="P18">
        <f>IF($AB18="","",INDEX('Per Line'!$X$2:$X$301,$AB18)&amp;"")</f>
        <v/>
      </c>
      <c r="Q18" s="7">
        <f>IF($AB18="","",SUMIFS('Per Line'!$W$2:$W$301,'Per Line'!$E$2:$E$301,$B18,'Per Line'!$AO$2:$AO$301,1))</f>
        <v/>
      </c>
      <c r="R18">
        <f>IF($AB18="","",Settings!$C$7)</f>
        <v/>
      </c>
      <c r="S18" s="7">
        <f>IF($AB18="","",SUMIFS('Per Line'!$W$2:$W$301,'Per Line'!$E$2:$E$301,$B18,'Per Line'!$AN$2:$AN$301,0,'Per Line'!$AO$2:$AO$301,0))</f>
        <v/>
      </c>
      <c r="T18" s="7">
        <f>IF($AB18="","",S18*R18)</f>
        <v/>
      </c>
      <c r="U18">
        <f>IF($AB18="","",Settings!$C$6)</f>
        <v/>
      </c>
      <c r="V18" s="7">
        <f>IF($AB18="","",SUMIFS('Per Line'!$W$2:$W$301,'Per Line'!$E$2:$E$301,$B18,'Per Line'!$AN$2:$AN$301,1,'Per Line'!$AO$2:$AO$301,0))</f>
        <v/>
      </c>
      <c r="W18" s="7">
        <f>IF($AB18="","",V18*U18)</f>
        <v/>
      </c>
      <c r="X18" s="7">
        <f>IF($AB18="","",W18+T18)</f>
        <v/>
      </c>
      <c r="Y18" s="7">
        <f>IF($AB18="","",Z18-X18)</f>
        <v/>
      </c>
      <c r="Z18" s="7">
        <f>IF($AB18="","",S18+V18+Q18)</f>
        <v/>
      </c>
      <c r="AA18" s="7">
        <f>IF($AB18="","",Z18-X18-O18)</f>
        <v/>
      </c>
      <c r="AB18" s="13">
        <f>IF(ROWS($AB$2:$AB18)&lt;=MAX('Per Line'!$AM$2:$AM$301),MATCH(ROWS($AB$2:$AB18),'Per Line'!$AM$2:$AM$301,0),"")</f>
        <v/>
      </c>
    </row>
    <row r="19">
      <c r="A19" s="12" t="n"/>
      <c r="B19">
        <f>IF($AB19="","",INDEX('Per Line'!$E$2:$E$301,$AB19)&amp;"")</f>
        <v/>
      </c>
      <c r="C19">
        <f>IF($AB19="","",INDEX('Per Line'!$A$2:$A$301,$AB19)&amp;"")</f>
        <v/>
      </c>
      <c r="D19">
        <f>IF($AB19="","",INDEX('Per Line'!$B$2:$B$301,$AB19))</f>
        <v/>
      </c>
      <c r="E19">
        <f>IF($AB19="","",INDEX('Per Line'!$C$2:$C$301,$AB19)&amp;"")</f>
        <v/>
      </c>
      <c r="F19">
        <f>IF($AB19="","",INDEX('Per Line'!$D$2:$D$301,$AB19)&amp;"")</f>
        <v/>
      </c>
      <c r="G19">
        <f>IF($AB19="","",INDEX('Per Line'!$F$2:$F$301,$AB19)&amp;"")</f>
        <v/>
      </c>
      <c r="H19" s="11">
        <f>IF($AB19="","",INDEX('Per Line'!$G$2:$G$301,$AB19))</f>
        <v/>
      </c>
      <c r="I19">
        <f>IF($AB19="","",INDEX('Per Line'!$H$2:$H$301,$AB19)&amp;"")</f>
        <v/>
      </c>
      <c r="J19">
        <f>IF($AB19="","",INDEX('Per Line'!$J$2:$J$301,$AB19)&amp;"")</f>
        <v/>
      </c>
      <c r="K19">
        <f>IF($AB19="","",INDEX('Per Line'!$K$2:$K$301,$AB19)&amp;"")</f>
        <v/>
      </c>
      <c r="L19">
        <f>IF($AB19="","",INDEX('Per Line'!$L$2:$L$301,$AB19)&amp;"")</f>
        <v/>
      </c>
      <c r="M19">
        <f>IF($AB19="","",INDEX('Per Line'!$M$2:$M$301,$AB19)&amp;"")</f>
        <v/>
      </c>
      <c r="N19">
        <f>IF($AB19="","",INDEX('Per Line'!$N$2:$N$301,$AB19))</f>
        <v/>
      </c>
      <c r="O19" s="7">
        <f>IF($AB19="","",N19*Z19/100)</f>
        <v/>
      </c>
      <c r="P19">
        <f>IF($AB19="","",INDEX('Per Line'!$X$2:$X$301,$AB19)&amp;"")</f>
        <v/>
      </c>
      <c r="Q19" s="7">
        <f>IF($AB19="","",SUMIFS('Per Line'!$W$2:$W$301,'Per Line'!$E$2:$E$301,$B19,'Per Line'!$AO$2:$AO$301,1))</f>
        <v/>
      </c>
      <c r="R19">
        <f>IF($AB19="","",Settings!$C$7)</f>
        <v/>
      </c>
      <c r="S19" s="7">
        <f>IF($AB19="","",SUMIFS('Per Line'!$W$2:$W$301,'Per Line'!$E$2:$E$301,$B19,'Per Line'!$AN$2:$AN$301,0,'Per Line'!$AO$2:$AO$301,0))</f>
        <v/>
      </c>
      <c r="T19" s="7">
        <f>IF($AB19="","",S19*R19)</f>
        <v/>
      </c>
      <c r="U19">
        <f>IF($AB19="","",Settings!$C$6)</f>
        <v/>
      </c>
      <c r="V19" s="7">
        <f>IF($AB19="","",SUMIFS('Per Line'!$W$2:$W$301,'Per Line'!$E$2:$E$301,$B19,'Per Line'!$AN$2:$AN$301,1,'Per Line'!$AO$2:$AO$301,0))</f>
        <v/>
      </c>
      <c r="W19" s="7">
        <f>IF($AB19="","",V19*U19)</f>
        <v/>
      </c>
      <c r="X19" s="7">
        <f>IF($AB19="","",W19+T19)</f>
        <v/>
      </c>
      <c r="Y19" s="7">
        <f>IF($AB19="","",Z19-X19)</f>
        <v/>
      </c>
      <c r="Z19" s="7">
        <f>IF($AB19="","",S19+V19+Q19)</f>
        <v/>
      </c>
      <c r="AA19" s="7">
        <f>IF($AB19="","",Z19-X19-O19)</f>
        <v/>
      </c>
      <c r="AB19" s="13">
        <f>IF(ROWS($AB$2:$AB19)&lt;=MAX('Per Line'!$AM$2:$AM$301),MATCH(ROWS($AB$2:$AB19),'Per Line'!$AM$2:$AM$301,0),"")</f>
        <v/>
      </c>
    </row>
    <row r="20">
      <c r="A20" s="12" t="n"/>
      <c r="B20">
        <f>IF($AB20="","",INDEX('Per Line'!$E$2:$E$301,$AB20)&amp;"")</f>
        <v/>
      </c>
      <c r="C20">
        <f>IF($AB20="","",INDEX('Per Line'!$A$2:$A$301,$AB20)&amp;"")</f>
        <v/>
      </c>
      <c r="D20">
        <f>IF($AB20="","",INDEX('Per Line'!$B$2:$B$301,$AB20))</f>
        <v/>
      </c>
      <c r="E20">
        <f>IF($AB20="","",INDEX('Per Line'!$C$2:$C$301,$AB20)&amp;"")</f>
        <v/>
      </c>
      <c r="F20">
        <f>IF($AB20="","",INDEX('Per Line'!$D$2:$D$301,$AB20)&amp;"")</f>
        <v/>
      </c>
      <c r="G20">
        <f>IF($AB20="","",INDEX('Per Line'!$F$2:$F$301,$AB20)&amp;"")</f>
        <v/>
      </c>
      <c r="H20" s="11">
        <f>IF($AB20="","",INDEX('Per Line'!$G$2:$G$301,$AB20))</f>
        <v/>
      </c>
      <c r="I20">
        <f>IF($AB20="","",INDEX('Per Line'!$H$2:$H$301,$AB20)&amp;"")</f>
        <v/>
      </c>
      <c r="J20">
        <f>IF($AB20="","",INDEX('Per Line'!$J$2:$J$301,$AB20)&amp;"")</f>
        <v/>
      </c>
      <c r="K20">
        <f>IF($AB20="","",INDEX('Per Line'!$K$2:$K$301,$AB20)&amp;"")</f>
        <v/>
      </c>
      <c r="L20">
        <f>IF($AB20="","",INDEX('Per Line'!$L$2:$L$301,$AB20)&amp;"")</f>
        <v/>
      </c>
      <c r="M20">
        <f>IF($AB20="","",INDEX('Per Line'!$M$2:$M$301,$AB20)&amp;"")</f>
        <v/>
      </c>
      <c r="N20">
        <f>IF($AB20="","",INDEX('Per Line'!$N$2:$N$301,$AB20))</f>
        <v/>
      </c>
      <c r="O20" s="7">
        <f>IF($AB20="","",N20*Z20/100)</f>
        <v/>
      </c>
      <c r="P20">
        <f>IF($AB20="","",INDEX('Per Line'!$X$2:$X$301,$AB20)&amp;"")</f>
        <v/>
      </c>
      <c r="Q20" s="7">
        <f>IF($AB20="","",SUMIFS('Per Line'!$W$2:$W$301,'Per Line'!$E$2:$E$301,$B20,'Per Line'!$AO$2:$AO$301,1))</f>
        <v/>
      </c>
      <c r="R20">
        <f>IF($AB20="","",Settings!$C$7)</f>
        <v/>
      </c>
      <c r="S20" s="7">
        <f>IF($AB20="","",SUMIFS('Per Line'!$W$2:$W$301,'Per Line'!$E$2:$E$301,$B20,'Per Line'!$AN$2:$AN$301,0,'Per Line'!$AO$2:$AO$301,0))</f>
        <v/>
      </c>
      <c r="T20" s="7">
        <f>IF($AB20="","",S20*R20)</f>
        <v/>
      </c>
      <c r="U20">
        <f>IF($AB20="","",Settings!$C$6)</f>
        <v/>
      </c>
      <c r="V20" s="7">
        <f>IF($AB20="","",SUMIFS('Per Line'!$W$2:$W$301,'Per Line'!$E$2:$E$301,$B20,'Per Line'!$AN$2:$AN$301,1,'Per Line'!$AO$2:$AO$301,0))</f>
        <v/>
      </c>
      <c r="W20" s="7">
        <f>IF($AB20="","",V20*U20)</f>
        <v/>
      </c>
      <c r="X20" s="7">
        <f>IF($AB20="","",W20+T20)</f>
        <v/>
      </c>
      <c r="Y20" s="7">
        <f>IF($AB20="","",Z20-X20)</f>
        <v/>
      </c>
      <c r="Z20" s="7">
        <f>IF($AB20="","",S20+V20+Q20)</f>
        <v/>
      </c>
      <c r="AA20" s="7">
        <f>IF($AB20="","",Z20-X20-O20)</f>
        <v/>
      </c>
      <c r="AB20" s="13">
        <f>IF(ROWS($AB$2:$AB20)&lt;=MAX('Per Line'!$AM$2:$AM$301),MATCH(ROWS($AB$2:$AB20),'Per Line'!$AM$2:$AM$301,0),"")</f>
        <v/>
      </c>
    </row>
    <row r="21">
      <c r="A21" s="12" t="n"/>
      <c r="B21">
        <f>IF($AB21="","",INDEX('Per Line'!$E$2:$E$301,$AB21)&amp;"")</f>
        <v/>
      </c>
      <c r="C21">
        <f>IF($AB21="","",INDEX('Per Line'!$A$2:$A$301,$AB21)&amp;"")</f>
        <v/>
      </c>
      <c r="D21">
        <f>IF($AB21="","",INDEX('Per Line'!$B$2:$B$301,$AB21))</f>
        <v/>
      </c>
      <c r="E21">
        <f>IF($AB21="","",INDEX('Per Line'!$C$2:$C$301,$AB21)&amp;"")</f>
        <v/>
      </c>
      <c r="F21">
        <f>IF($AB21="","",INDEX('Per Line'!$D$2:$D$301,$AB21)&amp;"")</f>
        <v/>
      </c>
      <c r="G21">
        <f>IF($AB21="","",INDEX('Per Line'!$F$2:$F$301,$AB21)&amp;"")</f>
        <v/>
      </c>
      <c r="H21" s="11">
        <f>IF($AB21="","",INDEX('Per Line'!$G$2:$G$301,$AB21))</f>
        <v/>
      </c>
      <c r="I21">
        <f>IF($AB21="","",INDEX('Per Line'!$H$2:$H$301,$AB21)&amp;"")</f>
        <v/>
      </c>
      <c r="J21">
        <f>IF($AB21="","",INDEX('Per Line'!$J$2:$J$301,$AB21)&amp;"")</f>
        <v/>
      </c>
      <c r="K21">
        <f>IF($AB21="","",INDEX('Per Line'!$K$2:$K$301,$AB21)&amp;"")</f>
        <v/>
      </c>
      <c r="L21">
        <f>IF($AB21="","",INDEX('Per Line'!$L$2:$L$301,$AB21)&amp;"")</f>
        <v/>
      </c>
      <c r="M21">
        <f>IF($AB21="","",INDEX('Per Line'!$M$2:$M$301,$AB21)&amp;"")</f>
        <v/>
      </c>
      <c r="N21">
        <f>IF($AB21="","",INDEX('Per Line'!$N$2:$N$301,$AB21))</f>
        <v/>
      </c>
      <c r="O21" s="7">
        <f>IF($AB21="","",N21*Z21/100)</f>
        <v/>
      </c>
      <c r="P21">
        <f>IF($AB21="","",INDEX('Per Line'!$X$2:$X$301,$AB21)&amp;"")</f>
        <v/>
      </c>
      <c r="Q21" s="7">
        <f>IF($AB21="","",SUMIFS('Per Line'!$W$2:$W$301,'Per Line'!$E$2:$E$301,$B21,'Per Line'!$AO$2:$AO$301,1))</f>
        <v/>
      </c>
      <c r="R21">
        <f>IF($AB21="","",Settings!$C$7)</f>
        <v/>
      </c>
      <c r="S21" s="7">
        <f>IF($AB21="","",SUMIFS('Per Line'!$W$2:$W$301,'Per Line'!$E$2:$E$301,$B21,'Per Line'!$AN$2:$AN$301,0,'Per Line'!$AO$2:$AO$301,0))</f>
        <v/>
      </c>
      <c r="T21" s="7">
        <f>IF($AB21="","",S21*R21)</f>
        <v/>
      </c>
      <c r="U21">
        <f>IF($AB21="","",Settings!$C$6)</f>
        <v/>
      </c>
      <c r="V21" s="7">
        <f>IF($AB21="","",SUMIFS('Per Line'!$W$2:$W$301,'Per Line'!$E$2:$E$301,$B21,'Per Line'!$AN$2:$AN$301,1,'Per Line'!$AO$2:$AO$301,0))</f>
        <v/>
      </c>
      <c r="W21" s="7">
        <f>IF($AB21="","",V21*U21)</f>
        <v/>
      </c>
      <c r="X21" s="7">
        <f>IF($AB21="","",W21+T21)</f>
        <v/>
      </c>
      <c r="Y21" s="7">
        <f>IF($AB21="","",Z21-X21)</f>
        <v/>
      </c>
      <c r="Z21" s="7">
        <f>IF($AB21="","",S21+V21+Q21)</f>
        <v/>
      </c>
      <c r="AA21" s="7">
        <f>IF($AB21="","",Z21-X21-O21)</f>
        <v/>
      </c>
      <c r="AB21" s="13">
        <f>IF(ROWS($AB$2:$AB21)&lt;=MAX('Per Line'!$AM$2:$AM$301),MATCH(ROWS($AB$2:$AB21),'Per Line'!$AM$2:$AM$301,0),"")</f>
        <v/>
      </c>
    </row>
    <row r="22">
      <c r="A22" s="12" t="n"/>
      <c r="B22">
        <f>IF($AB22="","",INDEX('Per Line'!$E$2:$E$301,$AB22)&amp;"")</f>
        <v/>
      </c>
      <c r="C22">
        <f>IF($AB22="","",INDEX('Per Line'!$A$2:$A$301,$AB22)&amp;"")</f>
        <v/>
      </c>
      <c r="D22">
        <f>IF($AB22="","",INDEX('Per Line'!$B$2:$B$301,$AB22))</f>
        <v/>
      </c>
      <c r="E22">
        <f>IF($AB22="","",INDEX('Per Line'!$C$2:$C$301,$AB22)&amp;"")</f>
        <v/>
      </c>
      <c r="F22">
        <f>IF($AB22="","",INDEX('Per Line'!$D$2:$D$301,$AB22)&amp;"")</f>
        <v/>
      </c>
      <c r="G22">
        <f>IF($AB22="","",INDEX('Per Line'!$F$2:$F$301,$AB22)&amp;"")</f>
        <v/>
      </c>
      <c r="H22" s="11">
        <f>IF($AB22="","",INDEX('Per Line'!$G$2:$G$301,$AB22))</f>
        <v/>
      </c>
      <c r="I22">
        <f>IF($AB22="","",INDEX('Per Line'!$H$2:$H$301,$AB22)&amp;"")</f>
        <v/>
      </c>
      <c r="J22">
        <f>IF($AB22="","",INDEX('Per Line'!$J$2:$J$301,$AB22)&amp;"")</f>
        <v/>
      </c>
      <c r="K22">
        <f>IF($AB22="","",INDEX('Per Line'!$K$2:$K$301,$AB22)&amp;"")</f>
        <v/>
      </c>
      <c r="L22">
        <f>IF($AB22="","",INDEX('Per Line'!$L$2:$L$301,$AB22)&amp;"")</f>
        <v/>
      </c>
      <c r="M22">
        <f>IF($AB22="","",INDEX('Per Line'!$M$2:$M$301,$AB22)&amp;"")</f>
        <v/>
      </c>
      <c r="N22">
        <f>IF($AB22="","",INDEX('Per Line'!$N$2:$N$301,$AB22))</f>
        <v/>
      </c>
      <c r="O22" s="7">
        <f>IF($AB22="","",N22*Z22/100)</f>
        <v/>
      </c>
      <c r="P22">
        <f>IF($AB22="","",INDEX('Per Line'!$X$2:$X$301,$AB22)&amp;"")</f>
        <v/>
      </c>
      <c r="Q22" s="7">
        <f>IF($AB22="","",SUMIFS('Per Line'!$W$2:$W$301,'Per Line'!$E$2:$E$301,$B22,'Per Line'!$AO$2:$AO$301,1))</f>
        <v/>
      </c>
      <c r="R22">
        <f>IF($AB22="","",Settings!$C$7)</f>
        <v/>
      </c>
      <c r="S22" s="7">
        <f>IF($AB22="","",SUMIFS('Per Line'!$W$2:$W$301,'Per Line'!$E$2:$E$301,$B22,'Per Line'!$AN$2:$AN$301,0,'Per Line'!$AO$2:$AO$301,0))</f>
        <v/>
      </c>
      <c r="T22" s="7">
        <f>IF($AB22="","",S22*R22)</f>
        <v/>
      </c>
      <c r="U22">
        <f>IF($AB22="","",Settings!$C$6)</f>
        <v/>
      </c>
      <c r="V22" s="7">
        <f>IF($AB22="","",SUMIFS('Per Line'!$W$2:$W$301,'Per Line'!$E$2:$E$301,$B22,'Per Line'!$AN$2:$AN$301,1,'Per Line'!$AO$2:$AO$301,0))</f>
        <v/>
      </c>
      <c r="W22" s="7">
        <f>IF($AB22="","",V22*U22)</f>
        <v/>
      </c>
      <c r="X22" s="7">
        <f>IF($AB22="","",W22+T22)</f>
        <v/>
      </c>
      <c r="Y22" s="7">
        <f>IF($AB22="","",Z22-X22)</f>
        <v/>
      </c>
      <c r="Z22" s="7">
        <f>IF($AB22="","",S22+V22+Q22)</f>
        <v/>
      </c>
      <c r="AA22" s="7">
        <f>IF($AB22="","",Z22-X22-O22)</f>
        <v/>
      </c>
      <c r="AB22" s="13">
        <f>IF(ROWS($AB$2:$AB22)&lt;=MAX('Per Line'!$AM$2:$AM$301),MATCH(ROWS($AB$2:$AB22),'Per Line'!$AM$2:$AM$301,0),"")</f>
        <v/>
      </c>
    </row>
    <row r="23">
      <c r="A23" s="12" t="n"/>
      <c r="B23">
        <f>IF($AB23="","",INDEX('Per Line'!$E$2:$E$301,$AB23)&amp;"")</f>
        <v/>
      </c>
      <c r="C23">
        <f>IF($AB23="","",INDEX('Per Line'!$A$2:$A$301,$AB23)&amp;"")</f>
        <v/>
      </c>
      <c r="D23">
        <f>IF($AB23="","",INDEX('Per Line'!$B$2:$B$301,$AB23))</f>
        <v/>
      </c>
      <c r="E23">
        <f>IF($AB23="","",INDEX('Per Line'!$C$2:$C$301,$AB23)&amp;"")</f>
        <v/>
      </c>
      <c r="F23">
        <f>IF($AB23="","",INDEX('Per Line'!$D$2:$D$301,$AB23)&amp;"")</f>
        <v/>
      </c>
      <c r="G23">
        <f>IF($AB23="","",INDEX('Per Line'!$F$2:$F$301,$AB23)&amp;"")</f>
        <v/>
      </c>
      <c r="H23" s="11">
        <f>IF($AB23="","",INDEX('Per Line'!$G$2:$G$301,$AB23))</f>
        <v/>
      </c>
      <c r="I23">
        <f>IF($AB23="","",INDEX('Per Line'!$H$2:$H$301,$AB23)&amp;"")</f>
        <v/>
      </c>
      <c r="J23">
        <f>IF($AB23="","",INDEX('Per Line'!$J$2:$J$301,$AB23)&amp;"")</f>
        <v/>
      </c>
      <c r="K23">
        <f>IF($AB23="","",INDEX('Per Line'!$K$2:$K$301,$AB23)&amp;"")</f>
        <v/>
      </c>
      <c r="L23">
        <f>IF($AB23="","",INDEX('Per Line'!$L$2:$L$301,$AB23)&amp;"")</f>
        <v/>
      </c>
      <c r="M23">
        <f>IF($AB23="","",INDEX('Per Line'!$M$2:$M$301,$AB23)&amp;"")</f>
        <v/>
      </c>
      <c r="N23">
        <f>IF($AB23="","",INDEX('Per Line'!$N$2:$N$301,$AB23))</f>
        <v/>
      </c>
      <c r="O23" s="7">
        <f>IF($AB23="","",N23*Z23/100)</f>
        <v/>
      </c>
      <c r="P23">
        <f>IF($AB23="","",INDEX('Per Line'!$X$2:$X$301,$AB23)&amp;"")</f>
        <v/>
      </c>
      <c r="Q23" s="7">
        <f>IF($AB23="","",SUMIFS('Per Line'!$W$2:$W$301,'Per Line'!$E$2:$E$301,$B23,'Per Line'!$AO$2:$AO$301,1))</f>
        <v/>
      </c>
      <c r="R23">
        <f>IF($AB23="","",Settings!$C$7)</f>
        <v/>
      </c>
      <c r="S23" s="7">
        <f>IF($AB23="","",SUMIFS('Per Line'!$W$2:$W$301,'Per Line'!$E$2:$E$301,$B23,'Per Line'!$AN$2:$AN$301,0,'Per Line'!$AO$2:$AO$301,0))</f>
        <v/>
      </c>
      <c r="T23" s="7">
        <f>IF($AB23="","",S23*R23)</f>
        <v/>
      </c>
      <c r="U23">
        <f>IF($AB23="","",Settings!$C$6)</f>
        <v/>
      </c>
      <c r="V23" s="7">
        <f>IF($AB23="","",SUMIFS('Per Line'!$W$2:$W$301,'Per Line'!$E$2:$E$301,$B23,'Per Line'!$AN$2:$AN$301,1,'Per Line'!$AO$2:$AO$301,0))</f>
        <v/>
      </c>
      <c r="W23" s="7">
        <f>IF($AB23="","",V23*U23)</f>
        <v/>
      </c>
      <c r="X23" s="7">
        <f>IF($AB23="","",W23+T23)</f>
        <v/>
      </c>
      <c r="Y23" s="7">
        <f>IF($AB23="","",Z23-X23)</f>
        <v/>
      </c>
      <c r="Z23" s="7">
        <f>IF($AB23="","",S23+V23+Q23)</f>
        <v/>
      </c>
      <c r="AA23" s="7">
        <f>IF($AB23="","",Z23-X23-O23)</f>
        <v/>
      </c>
      <c r="AB23" s="13">
        <f>IF(ROWS($AB$2:$AB23)&lt;=MAX('Per Line'!$AM$2:$AM$301),MATCH(ROWS($AB$2:$AB23),'Per Line'!$AM$2:$AM$301,0),"")</f>
        <v/>
      </c>
    </row>
    <row r="24">
      <c r="A24" s="12" t="n"/>
      <c r="B24">
        <f>IF($AB24="","",INDEX('Per Line'!$E$2:$E$301,$AB24)&amp;"")</f>
        <v/>
      </c>
      <c r="C24">
        <f>IF($AB24="","",INDEX('Per Line'!$A$2:$A$301,$AB24)&amp;"")</f>
        <v/>
      </c>
      <c r="D24">
        <f>IF($AB24="","",INDEX('Per Line'!$B$2:$B$301,$AB24))</f>
        <v/>
      </c>
      <c r="E24">
        <f>IF($AB24="","",INDEX('Per Line'!$C$2:$C$301,$AB24)&amp;"")</f>
        <v/>
      </c>
      <c r="F24">
        <f>IF($AB24="","",INDEX('Per Line'!$D$2:$D$301,$AB24)&amp;"")</f>
        <v/>
      </c>
      <c r="G24">
        <f>IF($AB24="","",INDEX('Per Line'!$F$2:$F$301,$AB24)&amp;"")</f>
        <v/>
      </c>
      <c r="H24" s="11">
        <f>IF($AB24="","",INDEX('Per Line'!$G$2:$G$301,$AB24))</f>
        <v/>
      </c>
      <c r="I24">
        <f>IF($AB24="","",INDEX('Per Line'!$H$2:$H$301,$AB24)&amp;"")</f>
        <v/>
      </c>
      <c r="J24">
        <f>IF($AB24="","",INDEX('Per Line'!$J$2:$J$301,$AB24)&amp;"")</f>
        <v/>
      </c>
      <c r="K24">
        <f>IF($AB24="","",INDEX('Per Line'!$K$2:$K$301,$AB24)&amp;"")</f>
        <v/>
      </c>
      <c r="L24">
        <f>IF($AB24="","",INDEX('Per Line'!$L$2:$L$301,$AB24)&amp;"")</f>
        <v/>
      </c>
      <c r="M24">
        <f>IF($AB24="","",INDEX('Per Line'!$M$2:$M$301,$AB24)&amp;"")</f>
        <v/>
      </c>
      <c r="N24">
        <f>IF($AB24="","",INDEX('Per Line'!$N$2:$N$301,$AB24))</f>
        <v/>
      </c>
      <c r="O24" s="7">
        <f>IF($AB24="","",N24*Z24/100)</f>
        <v/>
      </c>
      <c r="P24">
        <f>IF($AB24="","",INDEX('Per Line'!$X$2:$X$301,$AB24)&amp;"")</f>
        <v/>
      </c>
      <c r="Q24" s="7">
        <f>IF($AB24="","",SUMIFS('Per Line'!$W$2:$W$301,'Per Line'!$E$2:$E$301,$B24,'Per Line'!$AO$2:$AO$301,1))</f>
        <v/>
      </c>
      <c r="R24">
        <f>IF($AB24="","",Settings!$C$7)</f>
        <v/>
      </c>
      <c r="S24" s="7">
        <f>IF($AB24="","",SUMIFS('Per Line'!$W$2:$W$301,'Per Line'!$E$2:$E$301,$B24,'Per Line'!$AN$2:$AN$301,0,'Per Line'!$AO$2:$AO$301,0))</f>
        <v/>
      </c>
      <c r="T24" s="7">
        <f>IF($AB24="","",S24*R24)</f>
        <v/>
      </c>
      <c r="U24">
        <f>IF($AB24="","",Settings!$C$6)</f>
        <v/>
      </c>
      <c r="V24" s="7">
        <f>IF($AB24="","",SUMIFS('Per Line'!$W$2:$W$301,'Per Line'!$E$2:$E$301,$B24,'Per Line'!$AN$2:$AN$301,1,'Per Line'!$AO$2:$AO$301,0))</f>
        <v/>
      </c>
      <c r="W24" s="7">
        <f>IF($AB24="","",V24*U24)</f>
        <v/>
      </c>
      <c r="X24" s="7">
        <f>IF($AB24="","",W24+T24)</f>
        <v/>
      </c>
      <c r="Y24" s="7">
        <f>IF($AB24="","",Z24-X24)</f>
        <v/>
      </c>
      <c r="Z24" s="7">
        <f>IF($AB24="","",S24+V24+Q24)</f>
        <v/>
      </c>
      <c r="AA24" s="7">
        <f>IF($AB24="","",Z24-X24-O24)</f>
        <v/>
      </c>
      <c r="AB24" s="13">
        <f>IF(ROWS($AB$2:$AB24)&lt;=MAX('Per Line'!$AM$2:$AM$301),MATCH(ROWS($AB$2:$AB24),'Per Line'!$AM$2:$AM$301,0),"")</f>
        <v/>
      </c>
    </row>
    <row r="25">
      <c r="A25" s="12" t="n"/>
      <c r="B25">
        <f>IF($AB25="","",INDEX('Per Line'!$E$2:$E$301,$AB25)&amp;"")</f>
        <v/>
      </c>
      <c r="C25">
        <f>IF($AB25="","",INDEX('Per Line'!$A$2:$A$301,$AB25)&amp;"")</f>
        <v/>
      </c>
      <c r="D25">
        <f>IF($AB25="","",INDEX('Per Line'!$B$2:$B$301,$AB25))</f>
        <v/>
      </c>
      <c r="E25">
        <f>IF($AB25="","",INDEX('Per Line'!$C$2:$C$301,$AB25)&amp;"")</f>
        <v/>
      </c>
      <c r="F25">
        <f>IF($AB25="","",INDEX('Per Line'!$D$2:$D$301,$AB25)&amp;"")</f>
        <v/>
      </c>
      <c r="G25">
        <f>IF($AB25="","",INDEX('Per Line'!$F$2:$F$301,$AB25)&amp;"")</f>
        <v/>
      </c>
      <c r="H25" s="11">
        <f>IF($AB25="","",INDEX('Per Line'!$G$2:$G$301,$AB25))</f>
        <v/>
      </c>
      <c r="I25">
        <f>IF($AB25="","",INDEX('Per Line'!$H$2:$H$301,$AB25)&amp;"")</f>
        <v/>
      </c>
      <c r="J25">
        <f>IF($AB25="","",INDEX('Per Line'!$J$2:$J$301,$AB25)&amp;"")</f>
        <v/>
      </c>
      <c r="K25">
        <f>IF($AB25="","",INDEX('Per Line'!$K$2:$K$301,$AB25)&amp;"")</f>
        <v/>
      </c>
      <c r="L25">
        <f>IF($AB25="","",INDEX('Per Line'!$L$2:$L$301,$AB25)&amp;"")</f>
        <v/>
      </c>
      <c r="M25">
        <f>IF($AB25="","",INDEX('Per Line'!$M$2:$M$301,$AB25)&amp;"")</f>
        <v/>
      </c>
      <c r="N25">
        <f>IF($AB25="","",INDEX('Per Line'!$N$2:$N$301,$AB25))</f>
        <v/>
      </c>
      <c r="O25" s="7">
        <f>IF($AB25="","",N25*Z25/100)</f>
        <v/>
      </c>
      <c r="P25">
        <f>IF($AB25="","",INDEX('Per Line'!$X$2:$X$301,$AB25)&amp;"")</f>
        <v/>
      </c>
      <c r="Q25" s="7">
        <f>IF($AB25="","",SUMIFS('Per Line'!$W$2:$W$301,'Per Line'!$E$2:$E$301,$B25,'Per Line'!$AO$2:$AO$301,1))</f>
        <v/>
      </c>
      <c r="R25">
        <f>IF($AB25="","",Settings!$C$7)</f>
        <v/>
      </c>
      <c r="S25" s="7">
        <f>IF($AB25="","",SUMIFS('Per Line'!$W$2:$W$301,'Per Line'!$E$2:$E$301,$B25,'Per Line'!$AN$2:$AN$301,0,'Per Line'!$AO$2:$AO$301,0))</f>
        <v/>
      </c>
      <c r="T25" s="7">
        <f>IF($AB25="","",S25*R25)</f>
        <v/>
      </c>
      <c r="U25">
        <f>IF($AB25="","",Settings!$C$6)</f>
        <v/>
      </c>
      <c r="V25" s="7">
        <f>IF($AB25="","",SUMIFS('Per Line'!$W$2:$W$301,'Per Line'!$E$2:$E$301,$B25,'Per Line'!$AN$2:$AN$301,1,'Per Line'!$AO$2:$AO$301,0))</f>
        <v/>
      </c>
      <c r="W25" s="7">
        <f>IF($AB25="","",V25*U25)</f>
        <v/>
      </c>
      <c r="X25" s="7">
        <f>IF($AB25="","",W25+T25)</f>
        <v/>
      </c>
      <c r="Y25" s="7">
        <f>IF($AB25="","",Z25-X25)</f>
        <v/>
      </c>
      <c r="Z25" s="7">
        <f>IF($AB25="","",S25+V25+Q25)</f>
        <v/>
      </c>
      <c r="AA25" s="7">
        <f>IF($AB25="","",Z25-X25-O25)</f>
        <v/>
      </c>
      <c r="AB25" s="13">
        <f>IF(ROWS($AB$2:$AB25)&lt;=MAX('Per Line'!$AM$2:$AM$301),MATCH(ROWS($AB$2:$AB25),'Per Line'!$AM$2:$AM$301,0),"")</f>
        <v/>
      </c>
    </row>
    <row r="26">
      <c r="A26" s="12" t="n"/>
      <c r="B26">
        <f>IF($AB26="","",INDEX('Per Line'!$E$2:$E$301,$AB26)&amp;"")</f>
        <v/>
      </c>
      <c r="C26">
        <f>IF($AB26="","",INDEX('Per Line'!$A$2:$A$301,$AB26)&amp;"")</f>
        <v/>
      </c>
      <c r="D26">
        <f>IF($AB26="","",INDEX('Per Line'!$B$2:$B$301,$AB26))</f>
        <v/>
      </c>
      <c r="E26">
        <f>IF($AB26="","",INDEX('Per Line'!$C$2:$C$301,$AB26)&amp;"")</f>
        <v/>
      </c>
      <c r="F26">
        <f>IF($AB26="","",INDEX('Per Line'!$D$2:$D$301,$AB26)&amp;"")</f>
        <v/>
      </c>
      <c r="G26">
        <f>IF($AB26="","",INDEX('Per Line'!$F$2:$F$301,$AB26)&amp;"")</f>
        <v/>
      </c>
      <c r="H26" s="11">
        <f>IF($AB26="","",INDEX('Per Line'!$G$2:$G$301,$AB26))</f>
        <v/>
      </c>
      <c r="I26">
        <f>IF($AB26="","",INDEX('Per Line'!$H$2:$H$301,$AB26)&amp;"")</f>
        <v/>
      </c>
      <c r="J26">
        <f>IF($AB26="","",INDEX('Per Line'!$J$2:$J$301,$AB26)&amp;"")</f>
        <v/>
      </c>
      <c r="K26">
        <f>IF($AB26="","",INDEX('Per Line'!$K$2:$K$301,$AB26)&amp;"")</f>
        <v/>
      </c>
      <c r="L26">
        <f>IF($AB26="","",INDEX('Per Line'!$L$2:$L$301,$AB26)&amp;"")</f>
        <v/>
      </c>
      <c r="M26">
        <f>IF($AB26="","",INDEX('Per Line'!$M$2:$M$301,$AB26)&amp;"")</f>
        <v/>
      </c>
      <c r="N26">
        <f>IF($AB26="","",INDEX('Per Line'!$N$2:$N$301,$AB26))</f>
        <v/>
      </c>
      <c r="O26" s="7">
        <f>IF($AB26="","",N26*Z26/100)</f>
        <v/>
      </c>
      <c r="P26">
        <f>IF($AB26="","",INDEX('Per Line'!$X$2:$X$301,$AB26)&amp;"")</f>
        <v/>
      </c>
      <c r="Q26" s="7">
        <f>IF($AB26="","",SUMIFS('Per Line'!$W$2:$W$301,'Per Line'!$E$2:$E$301,$B26,'Per Line'!$AO$2:$AO$301,1))</f>
        <v/>
      </c>
      <c r="R26">
        <f>IF($AB26="","",Settings!$C$7)</f>
        <v/>
      </c>
      <c r="S26" s="7">
        <f>IF($AB26="","",SUMIFS('Per Line'!$W$2:$W$301,'Per Line'!$E$2:$E$301,$B26,'Per Line'!$AN$2:$AN$301,0,'Per Line'!$AO$2:$AO$301,0))</f>
        <v/>
      </c>
      <c r="T26" s="7">
        <f>IF($AB26="","",S26*R26)</f>
        <v/>
      </c>
      <c r="U26">
        <f>IF($AB26="","",Settings!$C$6)</f>
        <v/>
      </c>
      <c r="V26" s="7">
        <f>IF($AB26="","",SUMIFS('Per Line'!$W$2:$W$301,'Per Line'!$E$2:$E$301,$B26,'Per Line'!$AN$2:$AN$301,1,'Per Line'!$AO$2:$AO$301,0))</f>
        <v/>
      </c>
      <c r="W26" s="7">
        <f>IF($AB26="","",V26*U26)</f>
        <v/>
      </c>
      <c r="X26" s="7">
        <f>IF($AB26="","",W26+T26)</f>
        <v/>
      </c>
      <c r="Y26" s="7">
        <f>IF($AB26="","",Z26-X26)</f>
        <v/>
      </c>
      <c r="Z26" s="7">
        <f>IF($AB26="","",S26+V26+Q26)</f>
        <v/>
      </c>
      <c r="AA26" s="7">
        <f>IF($AB26="","",Z26-X26-O26)</f>
        <v/>
      </c>
      <c r="AB26" s="13">
        <f>IF(ROWS($AB$2:$AB26)&lt;=MAX('Per Line'!$AM$2:$AM$301),MATCH(ROWS($AB$2:$AB26),'Per Line'!$AM$2:$AM$301,0),"")</f>
        <v/>
      </c>
    </row>
    <row r="27">
      <c r="A27" s="12" t="n"/>
      <c r="B27">
        <f>IF($AB27="","",INDEX('Per Line'!$E$2:$E$301,$AB27)&amp;"")</f>
        <v/>
      </c>
      <c r="C27">
        <f>IF($AB27="","",INDEX('Per Line'!$A$2:$A$301,$AB27)&amp;"")</f>
        <v/>
      </c>
      <c r="D27">
        <f>IF($AB27="","",INDEX('Per Line'!$B$2:$B$301,$AB27))</f>
        <v/>
      </c>
      <c r="E27">
        <f>IF($AB27="","",INDEX('Per Line'!$C$2:$C$301,$AB27)&amp;"")</f>
        <v/>
      </c>
      <c r="F27">
        <f>IF($AB27="","",INDEX('Per Line'!$D$2:$D$301,$AB27)&amp;"")</f>
        <v/>
      </c>
      <c r="G27">
        <f>IF($AB27="","",INDEX('Per Line'!$F$2:$F$301,$AB27)&amp;"")</f>
        <v/>
      </c>
      <c r="H27" s="11">
        <f>IF($AB27="","",INDEX('Per Line'!$G$2:$G$301,$AB27))</f>
        <v/>
      </c>
      <c r="I27">
        <f>IF($AB27="","",INDEX('Per Line'!$H$2:$H$301,$AB27)&amp;"")</f>
        <v/>
      </c>
      <c r="J27">
        <f>IF($AB27="","",INDEX('Per Line'!$J$2:$J$301,$AB27)&amp;"")</f>
        <v/>
      </c>
      <c r="K27">
        <f>IF($AB27="","",INDEX('Per Line'!$K$2:$K$301,$AB27)&amp;"")</f>
        <v/>
      </c>
      <c r="L27">
        <f>IF($AB27="","",INDEX('Per Line'!$L$2:$L$301,$AB27)&amp;"")</f>
        <v/>
      </c>
      <c r="M27">
        <f>IF($AB27="","",INDEX('Per Line'!$M$2:$M$301,$AB27)&amp;"")</f>
        <v/>
      </c>
      <c r="N27">
        <f>IF($AB27="","",INDEX('Per Line'!$N$2:$N$301,$AB27))</f>
        <v/>
      </c>
      <c r="O27" s="7">
        <f>IF($AB27="","",N27*Z27/100)</f>
        <v/>
      </c>
      <c r="P27">
        <f>IF($AB27="","",INDEX('Per Line'!$X$2:$X$301,$AB27)&amp;"")</f>
        <v/>
      </c>
      <c r="Q27" s="7">
        <f>IF($AB27="","",SUMIFS('Per Line'!$W$2:$W$301,'Per Line'!$E$2:$E$301,$B27,'Per Line'!$AO$2:$AO$301,1))</f>
        <v/>
      </c>
      <c r="R27">
        <f>IF($AB27="","",Settings!$C$7)</f>
        <v/>
      </c>
      <c r="S27" s="7">
        <f>IF($AB27="","",SUMIFS('Per Line'!$W$2:$W$301,'Per Line'!$E$2:$E$301,$B27,'Per Line'!$AN$2:$AN$301,0,'Per Line'!$AO$2:$AO$301,0))</f>
        <v/>
      </c>
      <c r="T27" s="7">
        <f>IF($AB27="","",S27*R27)</f>
        <v/>
      </c>
      <c r="U27">
        <f>IF($AB27="","",Settings!$C$6)</f>
        <v/>
      </c>
      <c r="V27" s="7">
        <f>IF($AB27="","",SUMIFS('Per Line'!$W$2:$W$301,'Per Line'!$E$2:$E$301,$B27,'Per Line'!$AN$2:$AN$301,1,'Per Line'!$AO$2:$AO$301,0))</f>
        <v/>
      </c>
      <c r="W27" s="7">
        <f>IF($AB27="","",V27*U27)</f>
        <v/>
      </c>
      <c r="X27" s="7">
        <f>IF($AB27="","",W27+T27)</f>
        <v/>
      </c>
      <c r="Y27" s="7">
        <f>IF($AB27="","",Z27-X27)</f>
        <v/>
      </c>
      <c r="Z27" s="7">
        <f>IF($AB27="","",S27+V27+Q27)</f>
        <v/>
      </c>
      <c r="AA27" s="7">
        <f>IF($AB27="","",Z27-X27-O27)</f>
        <v/>
      </c>
      <c r="AB27" s="13">
        <f>IF(ROWS($AB$2:$AB27)&lt;=MAX('Per Line'!$AM$2:$AM$301),MATCH(ROWS($AB$2:$AB27),'Per Line'!$AM$2:$AM$301,0),"")</f>
        <v/>
      </c>
    </row>
    <row r="28">
      <c r="A28" s="12" t="n"/>
      <c r="B28">
        <f>IF($AB28="","",INDEX('Per Line'!$E$2:$E$301,$AB28)&amp;"")</f>
        <v/>
      </c>
      <c r="C28">
        <f>IF($AB28="","",INDEX('Per Line'!$A$2:$A$301,$AB28)&amp;"")</f>
        <v/>
      </c>
      <c r="D28">
        <f>IF($AB28="","",INDEX('Per Line'!$B$2:$B$301,$AB28))</f>
        <v/>
      </c>
      <c r="E28">
        <f>IF($AB28="","",INDEX('Per Line'!$C$2:$C$301,$AB28)&amp;"")</f>
        <v/>
      </c>
      <c r="F28">
        <f>IF($AB28="","",INDEX('Per Line'!$D$2:$D$301,$AB28)&amp;"")</f>
        <v/>
      </c>
      <c r="G28">
        <f>IF($AB28="","",INDEX('Per Line'!$F$2:$F$301,$AB28)&amp;"")</f>
        <v/>
      </c>
      <c r="H28" s="11">
        <f>IF($AB28="","",INDEX('Per Line'!$G$2:$G$301,$AB28))</f>
        <v/>
      </c>
      <c r="I28">
        <f>IF($AB28="","",INDEX('Per Line'!$H$2:$H$301,$AB28)&amp;"")</f>
        <v/>
      </c>
      <c r="J28">
        <f>IF($AB28="","",INDEX('Per Line'!$J$2:$J$301,$AB28)&amp;"")</f>
        <v/>
      </c>
      <c r="K28">
        <f>IF($AB28="","",INDEX('Per Line'!$K$2:$K$301,$AB28)&amp;"")</f>
        <v/>
      </c>
      <c r="L28">
        <f>IF($AB28="","",INDEX('Per Line'!$L$2:$L$301,$AB28)&amp;"")</f>
        <v/>
      </c>
      <c r="M28">
        <f>IF($AB28="","",INDEX('Per Line'!$M$2:$M$301,$AB28)&amp;"")</f>
        <v/>
      </c>
      <c r="N28">
        <f>IF($AB28="","",INDEX('Per Line'!$N$2:$N$301,$AB28))</f>
        <v/>
      </c>
      <c r="O28" s="7">
        <f>IF($AB28="","",N28*Z28/100)</f>
        <v/>
      </c>
      <c r="P28">
        <f>IF($AB28="","",INDEX('Per Line'!$X$2:$X$301,$AB28)&amp;"")</f>
        <v/>
      </c>
      <c r="Q28" s="7">
        <f>IF($AB28="","",SUMIFS('Per Line'!$W$2:$W$301,'Per Line'!$E$2:$E$301,$B28,'Per Line'!$AO$2:$AO$301,1))</f>
        <v/>
      </c>
      <c r="R28">
        <f>IF($AB28="","",Settings!$C$7)</f>
        <v/>
      </c>
      <c r="S28" s="7">
        <f>IF($AB28="","",SUMIFS('Per Line'!$W$2:$W$301,'Per Line'!$E$2:$E$301,$B28,'Per Line'!$AN$2:$AN$301,0,'Per Line'!$AO$2:$AO$301,0))</f>
        <v/>
      </c>
      <c r="T28" s="7">
        <f>IF($AB28="","",S28*R28)</f>
        <v/>
      </c>
      <c r="U28">
        <f>IF($AB28="","",Settings!$C$6)</f>
        <v/>
      </c>
      <c r="V28" s="7">
        <f>IF($AB28="","",SUMIFS('Per Line'!$W$2:$W$301,'Per Line'!$E$2:$E$301,$B28,'Per Line'!$AN$2:$AN$301,1,'Per Line'!$AO$2:$AO$301,0))</f>
        <v/>
      </c>
      <c r="W28" s="7">
        <f>IF($AB28="","",V28*U28)</f>
        <v/>
      </c>
      <c r="X28" s="7">
        <f>IF($AB28="","",W28+T28)</f>
        <v/>
      </c>
      <c r="Y28" s="7">
        <f>IF($AB28="","",Z28-X28)</f>
        <v/>
      </c>
      <c r="Z28" s="7">
        <f>IF($AB28="","",S28+V28+Q28)</f>
        <v/>
      </c>
      <c r="AA28" s="7">
        <f>IF($AB28="","",Z28-X28-O28)</f>
        <v/>
      </c>
      <c r="AB28" s="13">
        <f>IF(ROWS($AB$2:$AB28)&lt;=MAX('Per Line'!$AM$2:$AM$301),MATCH(ROWS($AB$2:$AB28),'Per Line'!$AM$2:$AM$301,0),"")</f>
        <v/>
      </c>
    </row>
    <row r="29">
      <c r="A29" s="12" t="n"/>
      <c r="B29">
        <f>IF($AB29="","",INDEX('Per Line'!$E$2:$E$301,$AB29)&amp;"")</f>
        <v/>
      </c>
      <c r="C29">
        <f>IF($AB29="","",INDEX('Per Line'!$A$2:$A$301,$AB29)&amp;"")</f>
        <v/>
      </c>
      <c r="D29">
        <f>IF($AB29="","",INDEX('Per Line'!$B$2:$B$301,$AB29))</f>
        <v/>
      </c>
      <c r="E29">
        <f>IF($AB29="","",INDEX('Per Line'!$C$2:$C$301,$AB29)&amp;"")</f>
        <v/>
      </c>
      <c r="F29">
        <f>IF($AB29="","",INDEX('Per Line'!$D$2:$D$301,$AB29)&amp;"")</f>
        <v/>
      </c>
      <c r="G29">
        <f>IF($AB29="","",INDEX('Per Line'!$F$2:$F$301,$AB29)&amp;"")</f>
        <v/>
      </c>
      <c r="H29" s="11">
        <f>IF($AB29="","",INDEX('Per Line'!$G$2:$G$301,$AB29))</f>
        <v/>
      </c>
      <c r="I29">
        <f>IF($AB29="","",INDEX('Per Line'!$H$2:$H$301,$AB29)&amp;"")</f>
        <v/>
      </c>
      <c r="J29">
        <f>IF($AB29="","",INDEX('Per Line'!$J$2:$J$301,$AB29)&amp;"")</f>
        <v/>
      </c>
      <c r="K29">
        <f>IF($AB29="","",INDEX('Per Line'!$K$2:$K$301,$AB29)&amp;"")</f>
        <v/>
      </c>
      <c r="L29">
        <f>IF($AB29="","",INDEX('Per Line'!$L$2:$L$301,$AB29)&amp;"")</f>
        <v/>
      </c>
      <c r="M29">
        <f>IF($AB29="","",INDEX('Per Line'!$M$2:$M$301,$AB29)&amp;"")</f>
        <v/>
      </c>
      <c r="N29">
        <f>IF($AB29="","",INDEX('Per Line'!$N$2:$N$301,$AB29))</f>
        <v/>
      </c>
      <c r="O29" s="7">
        <f>IF($AB29="","",N29*Z29/100)</f>
        <v/>
      </c>
      <c r="P29">
        <f>IF($AB29="","",INDEX('Per Line'!$X$2:$X$301,$AB29)&amp;"")</f>
        <v/>
      </c>
      <c r="Q29" s="7">
        <f>IF($AB29="","",SUMIFS('Per Line'!$W$2:$W$301,'Per Line'!$E$2:$E$301,$B29,'Per Line'!$AO$2:$AO$301,1))</f>
        <v/>
      </c>
      <c r="R29">
        <f>IF($AB29="","",Settings!$C$7)</f>
        <v/>
      </c>
      <c r="S29" s="7">
        <f>IF($AB29="","",SUMIFS('Per Line'!$W$2:$W$301,'Per Line'!$E$2:$E$301,$B29,'Per Line'!$AN$2:$AN$301,0,'Per Line'!$AO$2:$AO$301,0))</f>
        <v/>
      </c>
      <c r="T29" s="7">
        <f>IF($AB29="","",S29*R29)</f>
        <v/>
      </c>
      <c r="U29">
        <f>IF($AB29="","",Settings!$C$6)</f>
        <v/>
      </c>
      <c r="V29" s="7">
        <f>IF($AB29="","",SUMIFS('Per Line'!$W$2:$W$301,'Per Line'!$E$2:$E$301,$B29,'Per Line'!$AN$2:$AN$301,1,'Per Line'!$AO$2:$AO$301,0))</f>
        <v/>
      </c>
      <c r="W29" s="7">
        <f>IF($AB29="","",V29*U29)</f>
        <v/>
      </c>
      <c r="X29" s="7">
        <f>IF($AB29="","",W29+T29)</f>
        <v/>
      </c>
      <c r="Y29" s="7">
        <f>IF($AB29="","",Z29-X29)</f>
        <v/>
      </c>
      <c r="Z29" s="7">
        <f>IF($AB29="","",S29+V29+Q29)</f>
        <v/>
      </c>
      <c r="AA29" s="7">
        <f>IF($AB29="","",Z29-X29-O29)</f>
        <v/>
      </c>
      <c r="AB29" s="13">
        <f>IF(ROWS($AB$2:$AB29)&lt;=MAX('Per Line'!$AM$2:$AM$301),MATCH(ROWS($AB$2:$AB29),'Per Line'!$AM$2:$AM$301,0),"")</f>
        <v/>
      </c>
    </row>
    <row r="30">
      <c r="A30" s="12" t="n"/>
      <c r="B30">
        <f>IF($AB30="","",INDEX('Per Line'!$E$2:$E$301,$AB30)&amp;"")</f>
        <v/>
      </c>
      <c r="C30">
        <f>IF($AB30="","",INDEX('Per Line'!$A$2:$A$301,$AB30)&amp;"")</f>
        <v/>
      </c>
      <c r="D30">
        <f>IF($AB30="","",INDEX('Per Line'!$B$2:$B$301,$AB30))</f>
        <v/>
      </c>
      <c r="E30">
        <f>IF($AB30="","",INDEX('Per Line'!$C$2:$C$301,$AB30)&amp;"")</f>
        <v/>
      </c>
      <c r="F30">
        <f>IF($AB30="","",INDEX('Per Line'!$D$2:$D$301,$AB30)&amp;"")</f>
        <v/>
      </c>
      <c r="G30">
        <f>IF($AB30="","",INDEX('Per Line'!$F$2:$F$301,$AB30)&amp;"")</f>
        <v/>
      </c>
      <c r="H30" s="11">
        <f>IF($AB30="","",INDEX('Per Line'!$G$2:$G$301,$AB30))</f>
        <v/>
      </c>
      <c r="I30">
        <f>IF($AB30="","",INDEX('Per Line'!$H$2:$H$301,$AB30)&amp;"")</f>
        <v/>
      </c>
      <c r="J30">
        <f>IF($AB30="","",INDEX('Per Line'!$J$2:$J$301,$AB30)&amp;"")</f>
        <v/>
      </c>
      <c r="K30">
        <f>IF($AB30="","",INDEX('Per Line'!$K$2:$K$301,$AB30)&amp;"")</f>
        <v/>
      </c>
      <c r="L30">
        <f>IF($AB30="","",INDEX('Per Line'!$L$2:$L$301,$AB30)&amp;"")</f>
        <v/>
      </c>
      <c r="M30">
        <f>IF($AB30="","",INDEX('Per Line'!$M$2:$M$301,$AB30)&amp;"")</f>
        <v/>
      </c>
      <c r="N30">
        <f>IF($AB30="","",INDEX('Per Line'!$N$2:$N$301,$AB30))</f>
        <v/>
      </c>
      <c r="O30" s="7">
        <f>IF($AB30="","",N30*Z30/100)</f>
        <v/>
      </c>
      <c r="P30">
        <f>IF($AB30="","",INDEX('Per Line'!$X$2:$X$301,$AB30)&amp;"")</f>
        <v/>
      </c>
      <c r="Q30" s="7">
        <f>IF($AB30="","",SUMIFS('Per Line'!$W$2:$W$301,'Per Line'!$E$2:$E$301,$B30,'Per Line'!$AO$2:$AO$301,1))</f>
        <v/>
      </c>
      <c r="R30">
        <f>IF($AB30="","",Settings!$C$7)</f>
        <v/>
      </c>
      <c r="S30" s="7">
        <f>IF($AB30="","",SUMIFS('Per Line'!$W$2:$W$301,'Per Line'!$E$2:$E$301,$B30,'Per Line'!$AN$2:$AN$301,0,'Per Line'!$AO$2:$AO$301,0))</f>
        <v/>
      </c>
      <c r="T30" s="7">
        <f>IF($AB30="","",S30*R30)</f>
        <v/>
      </c>
      <c r="U30">
        <f>IF($AB30="","",Settings!$C$6)</f>
        <v/>
      </c>
      <c r="V30" s="7">
        <f>IF($AB30="","",SUMIFS('Per Line'!$W$2:$W$301,'Per Line'!$E$2:$E$301,$B30,'Per Line'!$AN$2:$AN$301,1,'Per Line'!$AO$2:$AO$301,0))</f>
        <v/>
      </c>
      <c r="W30" s="7">
        <f>IF($AB30="","",V30*U30)</f>
        <v/>
      </c>
      <c r="X30" s="7">
        <f>IF($AB30="","",W30+T30)</f>
        <v/>
      </c>
      <c r="Y30" s="7">
        <f>IF($AB30="","",Z30-X30)</f>
        <v/>
      </c>
      <c r="Z30" s="7">
        <f>IF($AB30="","",S30+V30+Q30)</f>
        <v/>
      </c>
      <c r="AA30" s="7">
        <f>IF($AB30="","",Z30-X30-O30)</f>
        <v/>
      </c>
      <c r="AB30" s="13">
        <f>IF(ROWS($AB$2:$AB30)&lt;=MAX('Per Line'!$AM$2:$AM$301),MATCH(ROWS($AB$2:$AB30),'Per Line'!$AM$2:$AM$301,0),"")</f>
        <v/>
      </c>
    </row>
    <row r="31">
      <c r="A31" s="12" t="n"/>
      <c r="B31">
        <f>IF($AB31="","",INDEX('Per Line'!$E$2:$E$301,$AB31)&amp;"")</f>
        <v/>
      </c>
      <c r="C31">
        <f>IF($AB31="","",INDEX('Per Line'!$A$2:$A$301,$AB31)&amp;"")</f>
        <v/>
      </c>
      <c r="D31">
        <f>IF($AB31="","",INDEX('Per Line'!$B$2:$B$301,$AB31))</f>
        <v/>
      </c>
      <c r="E31">
        <f>IF($AB31="","",INDEX('Per Line'!$C$2:$C$301,$AB31)&amp;"")</f>
        <v/>
      </c>
      <c r="F31">
        <f>IF($AB31="","",INDEX('Per Line'!$D$2:$D$301,$AB31)&amp;"")</f>
        <v/>
      </c>
      <c r="G31">
        <f>IF($AB31="","",INDEX('Per Line'!$F$2:$F$301,$AB31)&amp;"")</f>
        <v/>
      </c>
      <c r="H31" s="11">
        <f>IF($AB31="","",INDEX('Per Line'!$G$2:$G$301,$AB31))</f>
        <v/>
      </c>
      <c r="I31">
        <f>IF($AB31="","",INDEX('Per Line'!$H$2:$H$301,$AB31)&amp;"")</f>
        <v/>
      </c>
      <c r="J31">
        <f>IF($AB31="","",INDEX('Per Line'!$J$2:$J$301,$AB31)&amp;"")</f>
        <v/>
      </c>
      <c r="K31">
        <f>IF($AB31="","",INDEX('Per Line'!$K$2:$K$301,$AB31)&amp;"")</f>
        <v/>
      </c>
      <c r="L31">
        <f>IF($AB31="","",INDEX('Per Line'!$L$2:$L$301,$AB31)&amp;"")</f>
        <v/>
      </c>
      <c r="M31">
        <f>IF($AB31="","",INDEX('Per Line'!$M$2:$M$301,$AB31)&amp;"")</f>
        <v/>
      </c>
      <c r="N31">
        <f>IF($AB31="","",INDEX('Per Line'!$N$2:$N$301,$AB31))</f>
        <v/>
      </c>
      <c r="O31" s="7">
        <f>IF($AB31="","",N31*Z31/100)</f>
        <v/>
      </c>
      <c r="P31">
        <f>IF($AB31="","",INDEX('Per Line'!$X$2:$X$301,$AB31)&amp;"")</f>
        <v/>
      </c>
      <c r="Q31" s="7">
        <f>IF($AB31="","",SUMIFS('Per Line'!$W$2:$W$301,'Per Line'!$E$2:$E$301,$B31,'Per Line'!$AO$2:$AO$301,1))</f>
        <v/>
      </c>
      <c r="R31">
        <f>IF($AB31="","",Settings!$C$7)</f>
        <v/>
      </c>
      <c r="S31" s="7">
        <f>IF($AB31="","",SUMIFS('Per Line'!$W$2:$W$301,'Per Line'!$E$2:$E$301,$B31,'Per Line'!$AN$2:$AN$301,0,'Per Line'!$AO$2:$AO$301,0))</f>
        <v/>
      </c>
      <c r="T31" s="7">
        <f>IF($AB31="","",S31*R31)</f>
        <v/>
      </c>
      <c r="U31">
        <f>IF($AB31="","",Settings!$C$6)</f>
        <v/>
      </c>
      <c r="V31" s="7">
        <f>IF($AB31="","",SUMIFS('Per Line'!$W$2:$W$301,'Per Line'!$E$2:$E$301,$B31,'Per Line'!$AN$2:$AN$301,1,'Per Line'!$AO$2:$AO$301,0))</f>
        <v/>
      </c>
      <c r="W31" s="7">
        <f>IF($AB31="","",V31*U31)</f>
        <v/>
      </c>
      <c r="X31" s="7">
        <f>IF($AB31="","",W31+T31)</f>
        <v/>
      </c>
      <c r="Y31" s="7">
        <f>IF($AB31="","",Z31-X31)</f>
        <v/>
      </c>
      <c r="Z31" s="7">
        <f>IF($AB31="","",S31+V31+Q31)</f>
        <v/>
      </c>
      <c r="AA31" s="7">
        <f>IF($AB31="","",Z31-X31-O31)</f>
        <v/>
      </c>
      <c r="AB31" s="13">
        <f>IF(ROWS($AB$2:$AB31)&lt;=MAX('Per Line'!$AM$2:$AM$301),MATCH(ROWS($AB$2:$AB31),'Per Line'!$AM$2:$AM$301,0),"")</f>
        <v/>
      </c>
    </row>
    <row r="32">
      <c r="A32" s="12" t="n"/>
      <c r="B32">
        <f>IF($AB32="","",INDEX('Per Line'!$E$2:$E$301,$AB32)&amp;"")</f>
        <v/>
      </c>
      <c r="C32">
        <f>IF($AB32="","",INDEX('Per Line'!$A$2:$A$301,$AB32)&amp;"")</f>
        <v/>
      </c>
      <c r="D32">
        <f>IF($AB32="","",INDEX('Per Line'!$B$2:$B$301,$AB32))</f>
        <v/>
      </c>
      <c r="E32">
        <f>IF($AB32="","",INDEX('Per Line'!$C$2:$C$301,$AB32)&amp;"")</f>
        <v/>
      </c>
      <c r="F32">
        <f>IF($AB32="","",INDEX('Per Line'!$D$2:$D$301,$AB32)&amp;"")</f>
        <v/>
      </c>
      <c r="G32">
        <f>IF($AB32="","",INDEX('Per Line'!$F$2:$F$301,$AB32)&amp;"")</f>
        <v/>
      </c>
      <c r="H32" s="11">
        <f>IF($AB32="","",INDEX('Per Line'!$G$2:$G$301,$AB32))</f>
        <v/>
      </c>
      <c r="I32">
        <f>IF($AB32="","",INDEX('Per Line'!$H$2:$H$301,$AB32)&amp;"")</f>
        <v/>
      </c>
      <c r="J32">
        <f>IF($AB32="","",INDEX('Per Line'!$J$2:$J$301,$AB32)&amp;"")</f>
        <v/>
      </c>
      <c r="K32">
        <f>IF($AB32="","",INDEX('Per Line'!$K$2:$K$301,$AB32)&amp;"")</f>
        <v/>
      </c>
      <c r="L32">
        <f>IF($AB32="","",INDEX('Per Line'!$L$2:$L$301,$AB32)&amp;"")</f>
        <v/>
      </c>
      <c r="M32">
        <f>IF($AB32="","",INDEX('Per Line'!$M$2:$M$301,$AB32)&amp;"")</f>
        <v/>
      </c>
      <c r="N32">
        <f>IF($AB32="","",INDEX('Per Line'!$N$2:$N$301,$AB32))</f>
        <v/>
      </c>
      <c r="O32" s="7">
        <f>IF($AB32="","",N32*Z32/100)</f>
        <v/>
      </c>
      <c r="P32">
        <f>IF($AB32="","",INDEX('Per Line'!$X$2:$X$301,$AB32)&amp;"")</f>
        <v/>
      </c>
      <c r="Q32" s="7">
        <f>IF($AB32="","",SUMIFS('Per Line'!$W$2:$W$301,'Per Line'!$E$2:$E$301,$B32,'Per Line'!$AO$2:$AO$301,1))</f>
        <v/>
      </c>
      <c r="R32">
        <f>IF($AB32="","",Settings!$C$7)</f>
        <v/>
      </c>
      <c r="S32" s="7">
        <f>IF($AB32="","",SUMIFS('Per Line'!$W$2:$W$301,'Per Line'!$E$2:$E$301,$B32,'Per Line'!$AN$2:$AN$301,0,'Per Line'!$AO$2:$AO$301,0))</f>
        <v/>
      </c>
      <c r="T32" s="7">
        <f>IF($AB32="","",S32*R32)</f>
        <v/>
      </c>
      <c r="U32">
        <f>IF($AB32="","",Settings!$C$6)</f>
        <v/>
      </c>
      <c r="V32" s="7">
        <f>IF($AB32="","",SUMIFS('Per Line'!$W$2:$W$301,'Per Line'!$E$2:$E$301,$B32,'Per Line'!$AN$2:$AN$301,1,'Per Line'!$AO$2:$AO$301,0))</f>
        <v/>
      </c>
      <c r="W32" s="7">
        <f>IF($AB32="","",V32*U32)</f>
        <v/>
      </c>
      <c r="X32" s="7">
        <f>IF($AB32="","",W32+T32)</f>
        <v/>
      </c>
      <c r="Y32" s="7">
        <f>IF($AB32="","",Z32-X32)</f>
        <v/>
      </c>
      <c r="Z32" s="7">
        <f>IF($AB32="","",S32+V32+Q32)</f>
        <v/>
      </c>
      <c r="AA32" s="7">
        <f>IF($AB32="","",Z32-X32-O32)</f>
        <v/>
      </c>
      <c r="AB32" s="13">
        <f>IF(ROWS($AB$2:$AB32)&lt;=MAX('Per Line'!$AM$2:$AM$301),MATCH(ROWS($AB$2:$AB32),'Per Line'!$AM$2:$AM$301,0),"")</f>
        <v/>
      </c>
    </row>
    <row r="33">
      <c r="A33" s="12" t="n"/>
      <c r="B33">
        <f>IF($AB33="","",INDEX('Per Line'!$E$2:$E$301,$AB33)&amp;"")</f>
        <v/>
      </c>
      <c r="C33">
        <f>IF($AB33="","",INDEX('Per Line'!$A$2:$A$301,$AB33)&amp;"")</f>
        <v/>
      </c>
      <c r="D33">
        <f>IF($AB33="","",INDEX('Per Line'!$B$2:$B$301,$AB33))</f>
        <v/>
      </c>
      <c r="E33">
        <f>IF($AB33="","",INDEX('Per Line'!$C$2:$C$301,$AB33)&amp;"")</f>
        <v/>
      </c>
      <c r="F33">
        <f>IF($AB33="","",INDEX('Per Line'!$D$2:$D$301,$AB33)&amp;"")</f>
        <v/>
      </c>
      <c r="G33">
        <f>IF($AB33="","",INDEX('Per Line'!$F$2:$F$301,$AB33)&amp;"")</f>
        <v/>
      </c>
      <c r="H33" s="11">
        <f>IF($AB33="","",INDEX('Per Line'!$G$2:$G$301,$AB33))</f>
        <v/>
      </c>
      <c r="I33">
        <f>IF($AB33="","",INDEX('Per Line'!$H$2:$H$301,$AB33)&amp;"")</f>
        <v/>
      </c>
      <c r="J33">
        <f>IF($AB33="","",INDEX('Per Line'!$J$2:$J$301,$AB33)&amp;"")</f>
        <v/>
      </c>
      <c r="K33">
        <f>IF($AB33="","",INDEX('Per Line'!$K$2:$K$301,$AB33)&amp;"")</f>
        <v/>
      </c>
      <c r="L33">
        <f>IF($AB33="","",INDEX('Per Line'!$L$2:$L$301,$AB33)&amp;"")</f>
        <v/>
      </c>
      <c r="M33">
        <f>IF($AB33="","",INDEX('Per Line'!$M$2:$M$301,$AB33)&amp;"")</f>
        <v/>
      </c>
      <c r="N33">
        <f>IF($AB33="","",INDEX('Per Line'!$N$2:$N$301,$AB33))</f>
        <v/>
      </c>
      <c r="O33" s="7">
        <f>IF($AB33="","",N33*Z33/100)</f>
        <v/>
      </c>
      <c r="P33">
        <f>IF($AB33="","",INDEX('Per Line'!$X$2:$X$301,$AB33)&amp;"")</f>
        <v/>
      </c>
      <c r="Q33" s="7">
        <f>IF($AB33="","",SUMIFS('Per Line'!$W$2:$W$301,'Per Line'!$E$2:$E$301,$B33,'Per Line'!$AO$2:$AO$301,1))</f>
        <v/>
      </c>
      <c r="R33">
        <f>IF($AB33="","",Settings!$C$7)</f>
        <v/>
      </c>
      <c r="S33" s="7">
        <f>IF($AB33="","",SUMIFS('Per Line'!$W$2:$W$301,'Per Line'!$E$2:$E$301,$B33,'Per Line'!$AN$2:$AN$301,0,'Per Line'!$AO$2:$AO$301,0))</f>
        <v/>
      </c>
      <c r="T33" s="7">
        <f>IF($AB33="","",S33*R33)</f>
        <v/>
      </c>
      <c r="U33">
        <f>IF($AB33="","",Settings!$C$6)</f>
        <v/>
      </c>
      <c r="V33" s="7">
        <f>IF($AB33="","",SUMIFS('Per Line'!$W$2:$W$301,'Per Line'!$E$2:$E$301,$B33,'Per Line'!$AN$2:$AN$301,1,'Per Line'!$AO$2:$AO$301,0))</f>
        <v/>
      </c>
      <c r="W33" s="7">
        <f>IF($AB33="","",V33*U33)</f>
        <v/>
      </c>
      <c r="X33" s="7">
        <f>IF($AB33="","",W33+T33)</f>
        <v/>
      </c>
      <c r="Y33" s="7">
        <f>IF($AB33="","",Z33-X33)</f>
        <v/>
      </c>
      <c r="Z33" s="7">
        <f>IF($AB33="","",S33+V33+Q33)</f>
        <v/>
      </c>
      <c r="AA33" s="7">
        <f>IF($AB33="","",Z33-X33-O33)</f>
        <v/>
      </c>
      <c r="AB33" s="13">
        <f>IF(ROWS($AB$2:$AB33)&lt;=MAX('Per Line'!$AM$2:$AM$301),MATCH(ROWS($AB$2:$AB33),'Per Line'!$AM$2:$AM$301,0),"")</f>
        <v/>
      </c>
    </row>
    <row r="34">
      <c r="A34" s="12" t="n"/>
      <c r="B34">
        <f>IF($AB34="","",INDEX('Per Line'!$E$2:$E$301,$AB34)&amp;"")</f>
        <v/>
      </c>
      <c r="C34">
        <f>IF($AB34="","",INDEX('Per Line'!$A$2:$A$301,$AB34)&amp;"")</f>
        <v/>
      </c>
      <c r="D34">
        <f>IF($AB34="","",INDEX('Per Line'!$B$2:$B$301,$AB34))</f>
        <v/>
      </c>
      <c r="E34">
        <f>IF($AB34="","",INDEX('Per Line'!$C$2:$C$301,$AB34)&amp;"")</f>
        <v/>
      </c>
      <c r="F34">
        <f>IF($AB34="","",INDEX('Per Line'!$D$2:$D$301,$AB34)&amp;"")</f>
        <v/>
      </c>
      <c r="G34">
        <f>IF($AB34="","",INDEX('Per Line'!$F$2:$F$301,$AB34)&amp;"")</f>
        <v/>
      </c>
      <c r="H34" s="11">
        <f>IF($AB34="","",INDEX('Per Line'!$G$2:$G$301,$AB34))</f>
        <v/>
      </c>
      <c r="I34">
        <f>IF($AB34="","",INDEX('Per Line'!$H$2:$H$301,$AB34)&amp;"")</f>
        <v/>
      </c>
      <c r="J34">
        <f>IF($AB34="","",INDEX('Per Line'!$J$2:$J$301,$AB34)&amp;"")</f>
        <v/>
      </c>
      <c r="K34">
        <f>IF($AB34="","",INDEX('Per Line'!$K$2:$K$301,$AB34)&amp;"")</f>
        <v/>
      </c>
      <c r="L34">
        <f>IF($AB34="","",INDEX('Per Line'!$L$2:$L$301,$AB34)&amp;"")</f>
        <v/>
      </c>
      <c r="M34">
        <f>IF($AB34="","",INDEX('Per Line'!$M$2:$M$301,$AB34)&amp;"")</f>
        <v/>
      </c>
      <c r="N34">
        <f>IF($AB34="","",INDEX('Per Line'!$N$2:$N$301,$AB34))</f>
        <v/>
      </c>
      <c r="O34" s="7">
        <f>IF($AB34="","",N34*Z34/100)</f>
        <v/>
      </c>
      <c r="P34">
        <f>IF($AB34="","",INDEX('Per Line'!$X$2:$X$301,$AB34)&amp;"")</f>
        <v/>
      </c>
      <c r="Q34" s="7">
        <f>IF($AB34="","",SUMIFS('Per Line'!$W$2:$W$301,'Per Line'!$E$2:$E$301,$B34,'Per Line'!$AO$2:$AO$301,1))</f>
        <v/>
      </c>
      <c r="R34">
        <f>IF($AB34="","",Settings!$C$7)</f>
        <v/>
      </c>
      <c r="S34" s="7">
        <f>IF($AB34="","",SUMIFS('Per Line'!$W$2:$W$301,'Per Line'!$E$2:$E$301,$B34,'Per Line'!$AN$2:$AN$301,0,'Per Line'!$AO$2:$AO$301,0))</f>
        <v/>
      </c>
      <c r="T34" s="7">
        <f>IF($AB34="","",S34*R34)</f>
        <v/>
      </c>
      <c r="U34">
        <f>IF($AB34="","",Settings!$C$6)</f>
        <v/>
      </c>
      <c r="V34" s="7">
        <f>IF($AB34="","",SUMIFS('Per Line'!$W$2:$W$301,'Per Line'!$E$2:$E$301,$B34,'Per Line'!$AN$2:$AN$301,1,'Per Line'!$AO$2:$AO$301,0))</f>
        <v/>
      </c>
      <c r="W34" s="7">
        <f>IF($AB34="","",V34*U34)</f>
        <v/>
      </c>
      <c r="X34" s="7">
        <f>IF($AB34="","",W34+T34)</f>
        <v/>
      </c>
      <c r="Y34" s="7">
        <f>IF($AB34="","",Z34-X34)</f>
        <v/>
      </c>
      <c r="Z34" s="7">
        <f>IF($AB34="","",S34+V34+Q34)</f>
        <v/>
      </c>
      <c r="AA34" s="7">
        <f>IF($AB34="","",Z34-X34-O34)</f>
        <v/>
      </c>
      <c r="AB34" s="13">
        <f>IF(ROWS($AB$2:$AB34)&lt;=MAX('Per Line'!$AM$2:$AM$301),MATCH(ROWS($AB$2:$AB34),'Per Line'!$AM$2:$AM$301,0),"")</f>
        <v/>
      </c>
    </row>
    <row r="35">
      <c r="A35" s="12" t="n"/>
      <c r="B35">
        <f>IF($AB35="","",INDEX('Per Line'!$E$2:$E$301,$AB35)&amp;"")</f>
        <v/>
      </c>
      <c r="C35">
        <f>IF($AB35="","",INDEX('Per Line'!$A$2:$A$301,$AB35)&amp;"")</f>
        <v/>
      </c>
      <c r="D35">
        <f>IF($AB35="","",INDEX('Per Line'!$B$2:$B$301,$AB35))</f>
        <v/>
      </c>
      <c r="E35">
        <f>IF($AB35="","",INDEX('Per Line'!$C$2:$C$301,$AB35)&amp;"")</f>
        <v/>
      </c>
      <c r="F35">
        <f>IF($AB35="","",INDEX('Per Line'!$D$2:$D$301,$AB35)&amp;"")</f>
        <v/>
      </c>
      <c r="G35">
        <f>IF($AB35="","",INDEX('Per Line'!$F$2:$F$301,$AB35)&amp;"")</f>
        <v/>
      </c>
      <c r="H35" s="11">
        <f>IF($AB35="","",INDEX('Per Line'!$G$2:$G$301,$AB35))</f>
        <v/>
      </c>
      <c r="I35">
        <f>IF($AB35="","",INDEX('Per Line'!$H$2:$H$301,$AB35)&amp;"")</f>
        <v/>
      </c>
      <c r="J35">
        <f>IF($AB35="","",INDEX('Per Line'!$J$2:$J$301,$AB35)&amp;"")</f>
        <v/>
      </c>
      <c r="K35">
        <f>IF($AB35="","",INDEX('Per Line'!$K$2:$K$301,$AB35)&amp;"")</f>
        <v/>
      </c>
      <c r="L35">
        <f>IF($AB35="","",INDEX('Per Line'!$L$2:$L$301,$AB35)&amp;"")</f>
        <v/>
      </c>
      <c r="M35">
        <f>IF($AB35="","",INDEX('Per Line'!$M$2:$M$301,$AB35)&amp;"")</f>
        <v/>
      </c>
      <c r="N35">
        <f>IF($AB35="","",INDEX('Per Line'!$N$2:$N$301,$AB35))</f>
        <v/>
      </c>
      <c r="O35" s="7">
        <f>IF($AB35="","",N35*Z35/100)</f>
        <v/>
      </c>
      <c r="P35">
        <f>IF($AB35="","",INDEX('Per Line'!$X$2:$X$301,$AB35)&amp;"")</f>
        <v/>
      </c>
      <c r="Q35" s="7">
        <f>IF($AB35="","",SUMIFS('Per Line'!$W$2:$W$301,'Per Line'!$E$2:$E$301,$B35,'Per Line'!$AO$2:$AO$301,1))</f>
        <v/>
      </c>
      <c r="R35">
        <f>IF($AB35="","",Settings!$C$7)</f>
        <v/>
      </c>
      <c r="S35" s="7">
        <f>IF($AB35="","",SUMIFS('Per Line'!$W$2:$W$301,'Per Line'!$E$2:$E$301,$B35,'Per Line'!$AN$2:$AN$301,0,'Per Line'!$AO$2:$AO$301,0))</f>
        <v/>
      </c>
      <c r="T35" s="7">
        <f>IF($AB35="","",S35*R35)</f>
        <v/>
      </c>
      <c r="U35">
        <f>IF($AB35="","",Settings!$C$6)</f>
        <v/>
      </c>
      <c r="V35" s="7">
        <f>IF($AB35="","",SUMIFS('Per Line'!$W$2:$W$301,'Per Line'!$E$2:$E$301,$B35,'Per Line'!$AN$2:$AN$301,1,'Per Line'!$AO$2:$AO$301,0))</f>
        <v/>
      </c>
      <c r="W35" s="7">
        <f>IF($AB35="","",V35*U35)</f>
        <v/>
      </c>
      <c r="X35" s="7">
        <f>IF($AB35="","",W35+T35)</f>
        <v/>
      </c>
      <c r="Y35" s="7">
        <f>IF($AB35="","",Z35-X35)</f>
        <v/>
      </c>
      <c r="Z35" s="7">
        <f>IF($AB35="","",S35+V35+Q35)</f>
        <v/>
      </c>
      <c r="AA35" s="7">
        <f>IF($AB35="","",Z35-X35-O35)</f>
        <v/>
      </c>
      <c r="AB35" s="13">
        <f>IF(ROWS($AB$2:$AB35)&lt;=MAX('Per Line'!$AM$2:$AM$301),MATCH(ROWS($AB$2:$AB35),'Per Line'!$AM$2:$AM$301,0),"")</f>
        <v/>
      </c>
    </row>
    <row r="36">
      <c r="A36" s="12" t="n"/>
      <c r="B36">
        <f>IF($AB36="","",INDEX('Per Line'!$E$2:$E$301,$AB36)&amp;"")</f>
        <v/>
      </c>
      <c r="C36">
        <f>IF($AB36="","",INDEX('Per Line'!$A$2:$A$301,$AB36)&amp;"")</f>
        <v/>
      </c>
      <c r="D36">
        <f>IF($AB36="","",INDEX('Per Line'!$B$2:$B$301,$AB36))</f>
        <v/>
      </c>
      <c r="E36">
        <f>IF($AB36="","",INDEX('Per Line'!$C$2:$C$301,$AB36)&amp;"")</f>
        <v/>
      </c>
      <c r="F36">
        <f>IF($AB36="","",INDEX('Per Line'!$D$2:$D$301,$AB36)&amp;"")</f>
        <v/>
      </c>
      <c r="G36">
        <f>IF($AB36="","",INDEX('Per Line'!$F$2:$F$301,$AB36)&amp;"")</f>
        <v/>
      </c>
      <c r="H36" s="11">
        <f>IF($AB36="","",INDEX('Per Line'!$G$2:$G$301,$AB36))</f>
        <v/>
      </c>
      <c r="I36">
        <f>IF($AB36="","",INDEX('Per Line'!$H$2:$H$301,$AB36)&amp;"")</f>
        <v/>
      </c>
      <c r="J36">
        <f>IF($AB36="","",INDEX('Per Line'!$J$2:$J$301,$AB36)&amp;"")</f>
        <v/>
      </c>
      <c r="K36">
        <f>IF($AB36="","",INDEX('Per Line'!$K$2:$K$301,$AB36)&amp;"")</f>
        <v/>
      </c>
      <c r="L36">
        <f>IF($AB36="","",INDEX('Per Line'!$L$2:$L$301,$AB36)&amp;"")</f>
        <v/>
      </c>
      <c r="M36">
        <f>IF($AB36="","",INDEX('Per Line'!$M$2:$M$301,$AB36)&amp;"")</f>
        <v/>
      </c>
      <c r="N36">
        <f>IF($AB36="","",INDEX('Per Line'!$N$2:$N$301,$AB36))</f>
        <v/>
      </c>
      <c r="O36" s="7">
        <f>IF($AB36="","",N36*Z36/100)</f>
        <v/>
      </c>
      <c r="P36">
        <f>IF($AB36="","",INDEX('Per Line'!$X$2:$X$301,$AB36)&amp;"")</f>
        <v/>
      </c>
      <c r="Q36" s="7">
        <f>IF($AB36="","",SUMIFS('Per Line'!$W$2:$W$301,'Per Line'!$E$2:$E$301,$B36,'Per Line'!$AO$2:$AO$301,1))</f>
        <v/>
      </c>
      <c r="R36">
        <f>IF($AB36="","",Settings!$C$7)</f>
        <v/>
      </c>
      <c r="S36" s="7">
        <f>IF($AB36="","",SUMIFS('Per Line'!$W$2:$W$301,'Per Line'!$E$2:$E$301,$B36,'Per Line'!$AN$2:$AN$301,0,'Per Line'!$AO$2:$AO$301,0))</f>
        <v/>
      </c>
      <c r="T36" s="7">
        <f>IF($AB36="","",S36*R36)</f>
        <v/>
      </c>
      <c r="U36">
        <f>IF($AB36="","",Settings!$C$6)</f>
        <v/>
      </c>
      <c r="V36" s="7">
        <f>IF($AB36="","",SUMIFS('Per Line'!$W$2:$W$301,'Per Line'!$E$2:$E$301,$B36,'Per Line'!$AN$2:$AN$301,1,'Per Line'!$AO$2:$AO$301,0))</f>
        <v/>
      </c>
      <c r="W36" s="7">
        <f>IF($AB36="","",V36*U36)</f>
        <v/>
      </c>
      <c r="X36" s="7">
        <f>IF($AB36="","",W36+T36)</f>
        <v/>
      </c>
      <c r="Y36" s="7">
        <f>IF($AB36="","",Z36-X36)</f>
        <v/>
      </c>
      <c r="Z36" s="7">
        <f>IF($AB36="","",S36+V36+Q36)</f>
        <v/>
      </c>
      <c r="AA36" s="7">
        <f>IF($AB36="","",Z36-X36-O36)</f>
        <v/>
      </c>
      <c r="AB36" s="13">
        <f>IF(ROWS($AB$2:$AB36)&lt;=MAX('Per Line'!$AM$2:$AM$301),MATCH(ROWS($AB$2:$AB36),'Per Line'!$AM$2:$AM$301,0),"")</f>
        <v/>
      </c>
    </row>
    <row r="37">
      <c r="A37" s="12" t="n"/>
      <c r="B37">
        <f>IF($AB37="","",INDEX('Per Line'!$E$2:$E$301,$AB37)&amp;"")</f>
        <v/>
      </c>
      <c r="C37">
        <f>IF($AB37="","",INDEX('Per Line'!$A$2:$A$301,$AB37)&amp;"")</f>
        <v/>
      </c>
      <c r="D37">
        <f>IF($AB37="","",INDEX('Per Line'!$B$2:$B$301,$AB37))</f>
        <v/>
      </c>
      <c r="E37">
        <f>IF($AB37="","",INDEX('Per Line'!$C$2:$C$301,$AB37)&amp;"")</f>
        <v/>
      </c>
      <c r="F37">
        <f>IF($AB37="","",INDEX('Per Line'!$D$2:$D$301,$AB37)&amp;"")</f>
        <v/>
      </c>
      <c r="G37">
        <f>IF($AB37="","",INDEX('Per Line'!$F$2:$F$301,$AB37)&amp;"")</f>
        <v/>
      </c>
      <c r="H37" s="11">
        <f>IF($AB37="","",INDEX('Per Line'!$G$2:$G$301,$AB37))</f>
        <v/>
      </c>
      <c r="I37">
        <f>IF($AB37="","",INDEX('Per Line'!$H$2:$H$301,$AB37)&amp;"")</f>
        <v/>
      </c>
      <c r="J37">
        <f>IF($AB37="","",INDEX('Per Line'!$J$2:$J$301,$AB37)&amp;"")</f>
        <v/>
      </c>
      <c r="K37">
        <f>IF($AB37="","",INDEX('Per Line'!$K$2:$K$301,$AB37)&amp;"")</f>
        <v/>
      </c>
      <c r="L37">
        <f>IF($AB37="","",INDEX('Per Line'!$L$2:$L$301,$AB37)&amp;"")</f>
        <v/>
      </c>
      <c r="M37">
        <f>IF($AB37="","",INDEX('Per Line'!$M$2:$M$301,$AB37)&amp;"")</f>
        <v/>
      </c>
      <c r="N37">
        <f>IF($AB37="","",INDEX('Per Line'!$N$2:$N$301,$AB37))</f>
        <v/>
      </c>
      <c r="O37" s="7">
        <f>IF($AB37="","",N37*Z37/100)</f>
        <v/>
      </c>
      <c r="P37">
        <f>IF($AB37="","",INDEX('Per Line'!$X$2:$X$301,$AB37)&amp;"")</f>
        <v/>
      </c>
      <c r="Q37" s="7">
        <f>IF($AB37="","",SUMIFS('Per Line'!$W$2:$W$301,'Per Line'!$E$2:$E$301,$B37,'Per Line'!$AO$2:$AO$301,1))</f>
        <v/>
      </c>
      <c r="R37">
        <f>IF($AB37="","",Settings!$C$7)</f>
        <v/>
      </c>
      <c r="S37" s="7">
        <f>IF($AB37="","",SUMIFS('Per Line'!$W$2:$W$301,'Per Line'!$E$2:$E$301,$B37,'Per Line'!$AN$2:$AN$301,0,'Per Line'!$AO$2:$AO$301,0))</f>
        <v/>
      </c>
      <c r="T37" s="7">
        <f>IF($AB37="","",S37*R37)</f>
        <v/>
      </c>
      <c r="U37">
        <f>IF($AB37="","",Settings!$C$6)</f>
        <v/>
      </c>
      <c r="V37" s="7">
        <f>IF($AB37="","",SUMIFS('Per Line'!$W$2:$W$301,'Per Line'!$E$2:$E$301,$B37,'Per Line'!$AN$2:$AN$301,1,'Per Line'!$AO$2:$AO$301,0))</f>
        <v/>
      </c>
      <c r="W37" s="7">
        <f>IF($AB37="","",V37*U37)</f>
        <v/>
      </c>
      <c r="X37" s="7">
        <f>IF($AB37="","",W37+T37)</f>
        <v/>
      </c>
      <c r="Y37" s="7">
        <f>IF($AB37="","",Z37-X37)</f>
        <v/>
      </c>
      <c r="Z37" s="7">
        <f>IF($AB37="","",S37+V37+Q37)</f>
        <v/>
      </c>
      <c r="AA37" s="7">
        <f>IF($AB37="","",Z37-X37-O37)</f>
        <v/>
      </c>
      <c r="AB37" s="13">
        <f>IF(ROWS($AB$2:$AB37)&lt;=MAX('Per Line'!$AM$2:$AM$301),MATCH(ROWS($AB$2:$AB37),'Per Line'!$AM$2:$AM$301,0),"")</f>
        <v/>
      </c>
    </row>
    <row r="38">
      <c r="A38" s="12" t="n"/>
      <c r="B38">
        <f>IF($AB38="","",INDEX('Per Line'!$E$2:$E$301,$AB38)&amp;"")</f>
        <v/>
      </c>
      <c r="C38">
        <f>IF($AB38="","",INDEX('Per Line'!$A$2:$A$301,$AB38)&amp;"")</f>
        <v/>
      </c>
      <c r="D38">
        <f>IF($AB38="","",INDEX('Per Line'!$B$2:$B$301,$AB38))</f>
        <v/>
      </c>
      <c r="E38">
        <f>IF($AB38="","",INDEX('Per Line'!$C$2:$C$301,$AB38)&amp;"")</f>
        <v/>
      </c>
      <c r="F38">
        <f>IF($AB38="","",INDEX('Per Line'!$D$2:$D$301,$AB38)&amp;"")</f>
        <v/>
      </c>
      <c r="G38">
        <f>IF($AB38="","",INDEX('Per Line'!$F$2:$F$301,$AB38)&amp;"")</f>
        <v/>
      </c>
      <c r="H38" s="11">
        <f>IF($AB38="","",INDEX('Per Line'!$G$2:$G$301,$AB38))</f>
        <v/>
      </c>
      <c r="I38">
        <f>IF($AB38="","",INDEX('Per Line'!$H$2:$H$301,$AB38)&amp;"")</f>
        <v/>
      </c>
      <c r="J38">
        <f>IF($AB38="","",INDEX('Per Line'!$J$2:$J$301,$AB38)&amp;"")</f>
        <v/>
      </c>
      <c r="K38">
        <f>IF($AB38="","",INDEX('Per Line'!$K$2:$K$301,$AB38)&amp;"")</f>
        <v/>
      </c>
      <c r="L38">
        <f>IF($AB38="","",INDEX('Per Line'!$L$2:$L$301,$AB38)&amp;"")</f>
        <v/>
      </c>
      <c r="M38">
        <f>IF($AB38="","",INDEX('Per Line'!$M$2:$M$301,$AB38)&amp;"")</f>
        <v/>
      </c>
      <c r="N38">
        <f>IF($AB38="","",INDEX('Per Line'!$N$2:$N$301,$AB38))</f>
        <v/>
      </c>
      <c r="O38" s="7">
        <f>IF($AB38="","",N38*Z38/100)</f>
        <v/>
      </c>
      <c r="P38">
        <f>IF($AB38="","",INDEX('Per Line'!$X$2:$X$301,$AB38)&amp;"")</f>
        <v/>
      </c>
      <c r="Q38" s="7">
        <f>IF($AB38="","",SUMIFS('Per Line'!$W$2:$W$301,'Per Line'!$E$2:$E$301,$B38,'Per Line'!$AO$2:$AO$301,1))</f>
        <v/>
      </c>
      <c r="R38">
        <f>IF($AB38="","",Settings!$C$7)</f>
        <v/>
      </c>
      <c r="S38" s="7">
        <f>IF($AB38="","",SUMIFS('Per Line'!$W$2:$W$301,'Per Line'!$E$2:$E$301,$B38,'Per Line'!$AN$2:$AN$301,0,'Per Line'!$AO$2:$AO$301,0))</f>
        <v/>
      </c>
      <c r="T38" s="7">
        <f>IF($AB38="","",S38*R38)</f>
        <v/>
      </c>
      <c r="U38">
        <f>IF($AB38="","",Settings!$C$6)</f>
        <v/>
      </c>
      <c r="V38" s="7">
        <f>IF($AB38="","",SUMIFS('Per Line'!$W$2:$W$301,'Per Line'!$E$2:$E$301,$B38,'Per Line'!$AN$2:$AN$301,1,'Per Line'!$AO$2:$AO$301,0))</f>
        <v/>
      </c>
      <c r="W38" s="7">
        <f>IF($AB38="","",V38*U38)</f>
        <v/>
      </c>
      <c r="X38" s="7">
        <f>IF($AB38="","",W38+T38)</f>
        <v/>
      </c>
      <c r="Y38" s="7">
        <f>IF($AB38="","",Z38-X38)</f>
        <v/>
      </c>
      <c r="Z38" s="7">
        <f>IF($AB38="","",S38+V38+Q38)</f>
        <v/>
      </c>
      <c r="AA38" s="7">
        <f>IF($AB38="","",Z38-X38-O38)</f>
        <v/>
      </c>
      <c r="AB38" s="13">
        <f>IF(ROWS($AB$2:$AB38)&lt;=MAX('Per Line'!$AM$2:$AM$301),MATCH(ROWS($AB$2:$AB38),'Per Line'!$AM$2:$AM$301,0),"")</f>
        <v/>
      </c>
    </row>
    <row r="39">
      <c r="A39" s="12" t="n"/>
      <c r="B39">
        <f>IF($AB39="","",INDEX('Per Line'!$E$2:$E$301,$AB39)&amp;"")</f>
        <v/>
      </c>
      <c r="C39">
        <f>IF($AB39="","",INDEX('Per Line'!$A$2:$A$301,$AB39)&amp;"")</f>
        <v/>
      </c>
      <c r="D39">
        <f>IF($AB39="","",INDEX('Per Line'!$B$2:$B$301,$AB39))</f>
        <v/>
      </c>
      <c r="E39">
        <f>IF($AB39="","",INDEX('Per Line'!$C$2:$C$301,$AB39)&amp;"")</f>
        <v/>
      </c>
      <c r="F39">
        <f>IF($AB39="","",INDEX('Per Line'!$D$2:$D$301,$AB39)&amp;"")</f>
        <v/>
      </c>
      <c r="G39">
        <f>IF($AB39="","",INDEX('Per Line'!$F$2:$F$301,$AB39)&amp;"")</f>
        <v/>
      </c>
      <c r="H39" s="11">
        <f>IF($AB39="","",INDEX('Per Line'!$G$2:$G$301,$AB39))</f>
        <v/>
      </c>
      <c r="I39">
        <f>IF($AB39="","",INDEX('Per Line'!$H$2:$H$301,$AB39)&amp;"")</f>
        <v/>
      </c>
      <c r="J39">
        <f>IF($AB39="","",INDEX('Per Line'!$J$2:$J$301,$AB39)&amp;"")</f>
        <v/>
      </c>
      <c r="K39">
        <f>IF($AB39="","",INDEX('Per Line'!$K$2:$K$301,$AB39)&amp;"")</f>
        <v/>
      </c>
      <c r="L39">
        <f>IF($AB39="","",INDEX('Per Line'!$L$2:$L$301,$AB39)&amp;"")</f>
        <v/>
      </c>
      <c r="M39">
        <f>IF($AB39="","",INDEX('Per Line'!$M$2:$M$301,$AB39)&amp;"")</f>
        <v/>
      </c>
      <c r="N39">
        <f>IF($AB39="","",INDEX('Per Line'!$N$2:$N$301,$AB39))</f>
        <v/>
      </c>
      <c r="O39" s="7">
        <f>IF($AB39="","",N39*Z39/100)</f>
        <v/>
      </c>
      <c r="P39">
        <f>IF($AB39="","",INDEX('Per Line'!$X$2:$X$301,$AB39)&amp;"")</f>
        <v/>
      </c>
      <c r="Q39" s="7">
        <f>IF($AB39="","",SUMIFS('Per Line'!$W$2:$W$301,'Per Line'!$E$2:$E$301,$B39,'Per Line'!$AO$2:$AO$301,1))</f>
        <v/>
      </c>
      <c r="R39">
        <f>IF($AB39="","",Settings!$C$7)</f>
        <v/>
      </c>
      <c r="S39" s="7">
        <f>IF($AB39="","",SUMIFS('Per Line'!$W$2:$W$301,'Per Line'!$E$2:$E$301,$B39,'Per Line'!$AN$2:$AN$301,0,'Per Line'!$AO$2:$AO$301,0))</f>
        <v/>
      </c>
      <c r="T39" s="7">
        <f>IF($AB39="","",S39*R39)</f>
        <v/>
      </c>
      <c r="U39">
        <f>IF($AB39="","",Settings!$C$6)</f>
        <v/>
      </c>
      <c r="V39" s="7">
        <f>IF($AB39="","",SUMIFS('Per Line'!$W$2:$W$301,'Per Line'!$E$2:$E$301,$B39,'Per Line'!$AN$2:$AN$301,1,'Per Line'!$AO$2:$AO$301,0))</f>
        <v/>
      </c>
      <c r="W39" s="7">
        <f>IF($AB39="","",V39*U39)</f>
        <v/>
      </c>
      <c r="X39" s="7">
        <f>IF($AB39="","",W39+T39)</f>
        <v/>
      </c>
      <c r="Y39" s="7">
        <f>IF($AB39="","",Z39-X39)</f>
        <v/>
      </c>
      <c r="Z39" s="7">
        <f>IF($AB39="","",S39+V39+Q39)</f>
        <v/>
      </c>
      <c r="AA39" s="7">
        <f>IF($AB39="","",Z39-X39-O39)</f>
        <v/>
      </c>
      <c r="AB39" s="13">
        <f>IF(ROWS($AB$2:$AB39)&lt;=MAX('Per Line'!$AM$2:$AM$301),MATCH(ROWS($AB$2:$AB39),'Per Line'!$AM$2:$AM$301,0),"")</f>
        <v/>
      </c>
    </row>
    <row r="40">
      <c r="A40" s="12" t="n"/>
      <c r="B40">
        <f>IF($AB40="","",INDEX('Per Line'!$E$2:$E$301,$AB40)&amp;"")</f>
        <v/>
      </c>
      <c r="C40">
        <f>IF($AB40="","",INDEX('Per Line'!$A$2:$A$301,$AB40)&amp;"")</f>
        <v/>
      </c>
      <c r="D40">
        <f>IF($AB40="","",INDEX('Per Line'!$B$2:$B$301,$AB40))</f>
        <v/>
      </c>
      <c r="E40">
        <f>IF($AB40="","",INDEX('Per Line'!$C$2:$C$301,$AB40)&amp;"")</f>
        <v/>
      </c>
      <c r="F40">
        <f>IF($AB40="","",INDEX('Per Line'!$D$2:$D$301,$AB40)&amp;"")</f>
        <v/>
      </c>
      <c r="G40">
        <f>IF($AB40="","",INDEX('Per Line'!$F$2:$F$301,$AB40)&amp;"")</f>
        <v/>
      </c>
      <c r="H40" s="11">
        <f>IF($AB40="","",INDEX('Per Line'!$G$2:$G$301,$AB40))</f>
        <v/>
      </c>
      <c r="I40">
        <f>IF($AB40="","",INDEX('Per Line'!$H$2:$H$301,$AB40)&amp;"")</f>
        <v/>
      </c>
      <c r="J40">
        <f>IF($AB40="","",INDEX('Per Line'!$J$2:$J$301,$AB40)&amp;"")</f>
        <v/>
      </c>
      <c r="K40">
        <f>IF($AB40="","",INDEX('Per Line'!$K$2:$K$301,$AB40)&amp;"")</f>
        <v/>
      </c>
      <c r="L40">
        <f>IF($AB40="","",INDEX('Per Line'!$L$2:$L$301,$AB40)&amp;"")</f>
        <v/>
      </c>
      <c r="M40">
        <f>IF($AB40="","",INDEX('Per Line'!$M$2:$M$301,$AB40)&amp;"")</f>
        <v/>
      </c>
      <c r="N40">
        <f>IF($AB40="","",INDEX('Per Line'!$N$2:$N$301,$AB40))</f>
        <v/>
      </c>
      <c r="O40" s="7">
        <f>IF($AB40="","",N40*Z40/100)</f>
        <v/>
      </c>
      <c r="P40">
        <f>IF($AB40="","",INDEX('Per Line'!$X$2:$X$301,$AB40)&amp;"")</f>
        <v/>
      </c>
      <c r="Q40" s="7">
        <f>IF($AB40="","",SUMIFS('Per Line'!$W$2:$W$301,'Per Line'!$E$2:$E$301,$B40,'Per Line'!$AO$2:$AO$301,1))</f>
        <v/>
      </c>
      <c r="R40">
        <f>IF($AB40="","",Settings!$C$7)</f>
        <v/>
      </c>
      <c r="S40" s="7">
        <f>IF($AB40="","",SUMIFS('Per Line'!$W$2:$W$301,'Per Line'!$E$2:$E$301,$B40,'Per Line'!$AN$2:$AN$301,0,'Per Line'!$AO$2:$AO$301,0))</f>
        <v/>
      </c>
      <c r="T40" s="7">
        <f>IF($AB40="","",S40*R40)</f>
        <v/>
      </c>
      <c r="U40">
        <f>IF($AB40="","",Settings!$C$6)</f>
        <v/>
      </c>
      <c r="V40" s="7">
        <f>IF($AB40="","",SUMIFS('Per Line'!$W$2:$W$301,'Per Line'!$E$2:$E$301,$B40,'Per Line'!$AN$2:$AN$301,1,'Per Line'!$AO$2:$AO$301,0))</f>
        <v/>
      </c>
      <c r="W40" s="7">
        <f>IF($AB40="","",V40*U40)</f>
        <v/>
      </c>
      <c r="X40" s="7">
        <f>IF($AB40="","",W40+T40)</f>
        <v/>
      </c>
      <c r="Y40" s="7">
        <f>IF($AB40="","",Z40-X40)</f>
        <v/>
      </c>
      <c r="Z40" s="7">
        <f>IF($AB40="","",S40+V40+Q40)</f>
        <v/>
      </c>
      <c r="AA40" s="7">
        <f>IF($AB40="","",Z40-X40-O40)</f>
        <v/>
      </c>
      <c r="AB40" s="13">
        <f>IF(ROWS($AB$2:$AB40)&lt;=MAX('Per Line'!$AM$2:$AM$301),MATCH(ROWS($AB$2:$AB40),'Per Line'!$AM$2:$AM$301,0),"")</f>
        <v/>
      </c>
    </row>
    <row r="41">
      <c r="A41" s="12" t="n"/>
      <c r="B41">
        <f>IF($AB41="","",INDEX('Per Line'!$E$2:$E$301,$AB41)&amp;"")</f>
        <v/>
      </c>
      <c r="C41">
        <f>IF($AB41="","",INDEX('Per Line'!$A$2:$A$301,$AB41)&amp;"")</f>
        <v/>
      </c>
      <c r="D41">
        <f>IF($AB41="","",INDEX('Per Line'!$B$2:$B$301,$AB41))</f>
        <v/>
      </c>
      <c r="E41">
        <f>IF($AB41="","",INDEX('Per Line'!$C$2:$C$301,$AB41)&amp;"")</f>
        <v/>
      </c>
      <c r="F41">
        <f>IF($AB41="","",INDEX('Per Line'!$D$2:$D$301,$AB41)&amp;"")</f>
        <v/>
      </c>
      <c r="G41">
        <f>IF($AB41="","",INDEX('Per Line'!$F$2:$F$301,$AB41)&amp;"")</f>
        <v/>
      </c>
      <c r="H41" s="11">
        <f>IF($AB41="","",INDEX('Per Line'!$G$2:$G$301,$AB41))</f>
        <v/>
      </c>
      <c r="I41">
        <f>IF($AB41="","",INDEX('Per Line'!$H$2:$H$301,$AB41)&amp;"")</f>
        <v/>
      </c>
      <c r="J41">
        <f>IF($AB41="","",INDEX('Per Line'!$J$2:$J$301,$AB41)&amp;"")</f>
        <v/>
      </c>
      <c r="K41">
        <f>IF($AB41="","",INDEX('Per Line'!$K$2:$K$301,$AB41)&amp;"")</f>
        <v/>
      </c>
      <c r="L41">
        <f>IF($AB41="","",INDEX('Per Line'!$L$2:$L$301,$AB41)&amp;"")</f>
        <v/>
      </c>
      <c r="M41">
        <f>IF($AB41="","",INDEX('Per Line'!$M$2:$M$301,$AB41)&amp;"")</f>
        <v/>
      </c>
      <c r="N41">
        <f>IF($AB41="","",INDEX('Per Line'!$N$2:$N$301,$AB41))</f>
        <v/>
      </c>
      <c r="O41" s="7">
        <f>IF($AB41="","",N41*Z41/100)</f>
        <v/>
      </c>
      <c r="P41">
        <f>IF($AB41="","",INDEX('Per Line'!$X$2:$X$301,$AB41)&amp;"")</f>
        <v/>
      </c>
      <c r="Q41" s="7">
        <f>IF($AB41="","",SUMIFS('Per Line'!$W$2:$W$301,'Per Line'!$E$2:$E$301,$B41,'Per Line'!$AO$2:$AO$301,1))</f>
        <v/>
      </c>
      <c r="R41">
        <f>IF($AB41="","",Settings!$C$7)</f>
        <v/>
      </c>
      <c r="S41" s="7">
        <f>IF($AB41="","",SUMIFS('Per Line'!$W$2:$W$301,'Per Line'!$E$2:$E$301,$B41,'Per Line'!$AN$2:$AN$301,0,'Per Line'!$AO$2:$AO$301,0))</f>
        <v/>
      </c>
      <c r="T41" s="7">
        <f>IF($AB41="","",S41*R41)</f>
        <v/>
      </c>
      <c r="U41">
        <f>IF($AB41="","",Settings!$C$6)</f>
        <v/>
      </c>
      <c r="V41" s="7">
        <f>IF($AB41="","",SUMIFS('Per Line'!$W$2:$W$301,'Per Line'!$E$2:$E$301,$B41,'Per Line'!$AN$2:$AN$301,1,'Per Line'!$AO$2:$AO$301,0))</f>
        <v/>
      </c>
      <c r="W41" s="7">
        <f>IF($AB41="","",V41*U41)</f>
        <v/>
      </c>
      <c r="X41" s="7">
        <f>IF($AB41="","",W41+T41)</f>
        <v/>
      </c>
      <c r="Y41" s="7">
        <f>IF($AB41="","",Z41-X41)</f>
        <v/>
      </c>
      <c r="Z41" s="7">
        <f>IF($AB41="","",S41+V41+Q41)</f>
        <v/>
      </c>
      <c r="AA41" s="7">
        <f>IF($AB41="","",Z41-X41-O41)</f>
        <v/>
      </c>
      <c r="AB41" s="13">
        <f>IF(ROWS($AB$2:$AB41)&lt;=MAX('Per Line'!$AM$2:$AM$301),MATCH(ROWS($AB$2:$AB41),'Per Line'!$AM$2:$AM$301,0),"")</f>
        <v/>
      </c>
    </row>
    <row r="42">
      <c r="A42" s="12" t="n"/>
      <c r="B42">
        <f>IF($AB42="","",INDEX('Per Line'!$E$2:$E$301,$AB42)&amp;"")</f>
        <v/>
      </c>
      <c r="C42">
        <f>IF($AB42="","",INDEX('Per Line'!$A$2:$A$301,$AB42)&amp;"")</f>
        <v/>
      </c>
      <c r="D42">
        <f>IF($AB42="","",INDEX('Per Line'!$B$2:$B$301,$AB42))</f>
        <v/>
      </c>
      <c r="E42">
        <f>IF($AB42="","",INDEX('Per Line'!$C$2:$C$301,$AB42)&amp;"")</f>
        <v/>
      </c>
      <c r="F42">
        <f>IF($AB42="","",INDEX('Per Line'!$D$2:$D$301,$AB42)&amp;"")</f>
        <v/>
      </c>
      <c r="G42">
        <f>IF($AB42="","",INDEX('Per Line'!$F$2:$F$301,$AB42)&amp;"")</f>
        <v/>
      </c>
      <c r="H42" s="11">
        <f>IF($AB42="","",INDEX('Per Line'!$G$2:$G$301,$AB42))</f>
        <v/>
      </c>
      <c r="I42">
        <f>IF($AB42="","",INDEX('Per Line'!$H$2:$H$301,$AB42)&amp;"")</f>
        <v/>
      </c>
      <c r="J42">
        <f>IF($AB42="","",INDEX('Per Line'!$J$2:$J$301,$AB42)&amp;"")</f>
        <v/>
      </c>
      <c r="K42">
        <f>IF($AB42="","",INDEX('Per Line'!$K$2:$K$301,$AB42)&amp;"")</f>
        <v/>
      </c>
      <c r="L42">
        <f>IF($AB42="","",INDEX('Per Line'!$L$2:$L$301,$AB42)&amp;"")</f>
        <v/>
      </c>
      <c r="M42">
        <f>IF($AB42="","",INDEX('Per Line'!$M$2:$M$301,$AB42)&amp;"")</f>
        <v/>
      </c>
      <c r="N42">
        <f>IF($AB42="","",INDEX('Per Line'!$N$2:$N$301,$AB42))</f>
        <v/>
      </c>
      <c r="O42" s="7">
        <f>IF($AB42="","",N42*Z42/100)</f>
        <v/>
      </c>
      <c r="P42">
        <f>IF($AB42="","",INDEX('Per Line'!$X$2:$X$301,$AB42)&amp;"")</f>
        <v/>
      </c>
      <c r="Q42" s="7">
        <f>IF($AB42="","",SUMIFS('Per Line'!$W$2:$W$301,'Per Line'!$E$2:$E$301,$B42,'Per Line'!$AO$2:$AO$301,1))</f>
        <v/>
      </c>
      <c r="R42">
        <f>IF($AB42="","",Settings!$C$7)</f>
        <v/>
      </c>
      <c r="S42" s="7">
        <f>IF($AB42="","",SUMIFS('Per Line'!$W$2:$W$301,'Per Line'!$E$2:$E$301,$B42,'Per Line'!$AN$2:$AN$301,0,'Per Line'!$AO$2:$AO$301,0))</f>
        <v/>
      </c>
      <c r="T42" s="7">
        <f>IF($AB42="","",S42*R42)</f>
        <v/>
      </c>
      <c r="U42">
        <f>IF($AB42="","",Settings!$C$6)</f>
        <v/>
      </c>
      <c r="V42" s="7">
        <f>IF($AB42="","",SUMIFS('Per Line'!$W$2:$W$301,'Per Line'!$E$2:$E$301,$B42,'Per Line'!$AN$2:$AN$301,1,'Per Line'!$AO$2:$AO$301,0))</f>
        <v/>
      </c>
      <c r="W42" s="7">
        <f>IF($AB42="","",V42*U42)</f>
        <v/>
      </c>
      <c r="X42" s="7">
        <f>IF($AB42="","",W42+T42)</f>
        <v/>
      </c>
      <c r="Y42" s="7">
        <f>IF($AB42="","",Z42-X42)</f>
        <v/>
      </c>
      <c r="Z42" s="7">
        <f>IF($AB42="","",S42+V42+Q42)</f>
        <v/>
      </c>
      <c r="AA42" s="7">
        <f>IF($AB42="","",Z42-X42-O42)</f>
        <v/>
      </c>
      <c r="AB42" s="13">
        <f>IF(ROWS($AB$2:$AB42)&lt;=MAX('Per Line'!$AM$2:$AM$301),MATCH(ROWS($AB$2:$AB42),'Per Line'!$AM$2:$AM$301,0),"")</f>
        <v/>
      </c>
    </row>
    <row r="43">
      <c r="A43" s="12" t="n"/>
      <c r="B43">
        <f>IF($AB43="","",INDEX('Per Line'!$E$2:$E$301,$AB43)&amp;"")</f>
        <v/>
      </c>
      <c r="C43">
        <f>IF($AB43="","",INDEX('Per Line'!$A$2:$A$301,$AB43)&amp;"")</f>
        <v/>
      </c>
      <c r="D43">
        <f>IF($AB43="","",INDEX('Per Line'!$B$2:$B$301,$AB43))</f>
        <v/>
      </c>
      <c r="E43">
        <f>IF($AB43="","",INDEX('Per Line'!$C$2:$C$301,$AB43)&amp;"")</f>
        <v/>
      </c>
      <c r="F43">
        <f>IF($AB43="","",INDEX('Per Line'!$D$2:$D$301,$AB43)&amp;"")</f>
        <v/>
      </c>
      <c r="G43">
        <f>IF($AB43="","",INDEX('Per Line'!$F$2:$F$301,$AB43)&amp;"")</f>
        <v/>
      </c>
      <c r="H43" s="11">
        <f>IF($AB43="","",INDEX('Per Line'!$G$2:$G$301,$AB43))</f>
        <v/>
      </c>
      <c r="I43">
        <f>IF($AB43="","",INDEX('Per Line'!$H$2:$H$301,$AB43)&amp;"")</f>
        <v/>
      </c>
      <c r="J43">
        <f>IF($AB43="","",INDEX('Per Line'!$J$2:$J$301,$AB43)&amp;"")</f>
        <v/>
      </c>
      <c r="K43">
        <f>IF($AB43="","",INDEX('Per Line'!$K$2:$K$301,$AB43)&amp;"")</f>
        <v/>
      </c>
      <c r="L43">
        <f>IF($AB43="","",INDEX('Per Line'!$L$2:$L$301,$AB43)&amp;"")</f>
        <v/>
      </c>
      <c r="M43">
        <f>IF($AB43="","",INDEX('Per Line'!$M$2:$M$301,$AB43)&amp;"")</f>
        <v/>
      </c>
      <c r="N43">
        <f>IF($AB43="","",INDEX('Per Line'!$N$2:$N$301,$AB43))</f>
        <v/>
      </c>
      <c r="O43" s="7">
        <f>IF($AB43="","",N43*Z43/100)</f>
        <v/>
      </c>
      <c r="P43">
        <f>IF($AB43="","",INDEX('Per Line'!$X$2:$X$301,$AB43)&amp;"")</f>
        <v/>
      </c>
      <c r="Q43" s="7">
        <f>IF($AB43="","",SUMIFS('Per Line'!$W$2:$W$301,'Per Line'!$E$2:$E$301,$B43,'Per Line'!$AO$2:$AO$301,1))</f>
        <v/>
      </c>
      <c r="R43">
        <f>IF($AB43="","",Settings!$C$7)</f>
        <v/>
      </c>
      <c r="S43" s="7">
        <f>IF($AB43="","",SUMIFS('Per Line'!$W$2:$W$301,'Per Line'!$E$2:$E$301,$B43,'Per Line'!$AN$2:$AN$301,0,'Per Line'!$AO$2:$AO$301,0))</f>
        <v/>
      </c>
      <c r="T43" s="7">
        <f>IF($AB43="","",S43*R43)</f>
        <v/>
      </c>
      <c r="U43">
        <f>IF($AB43="","",Settings!$C$6)</f>
        <v/>
      </c>
      <c r="V43" s="7">
        <f>IF($AB43="","",SUMIFS('Per Line'!$W$2:$W$301,'Per Line'!$E$2:$E$301,$B43,'Per Line'!$AN$2:$AN$301,1,'Per Line'!$AO$2:$AO$301,0))</f>
        <v/>
      </c>
      <c r="W43" s="7">
        <f>IF($AB43="","",V43*U43)</f>
        <v/>
      </c>
      <c r="X43" s="7">
        <f>IF($AB43="","",W43+T43)</f>
        <v/>
      </c>
      <c r="Y43" s="7">
        <f>IF($AB43="","",Z43-X43)</f>
        <v/>
      </c>
      <c r="Z43" s="7">
        <f>IF($AB43="","",S43+V43+Q43)</f>
        <v/>
      </c>
      <c r="AA43" s="7">
        <f>IF($AB43="","",Z43-X43-O43)</f>
        <v/>
      </c>
      <c r="AB43" s="13">
        <f>IF(ROWS($AB$2:$AB43)&lt;=MAX('Per Line'!$AM$2:$AM$301),MATCH(ROWS($AB$2:$AB43),'Per Line'!$AM$2:$AM$301,0),"")</f>
        <v/>
      </c>
    </row>
    <row r="44">
      <c r="A44" s="12" t="n"/>
      <c r="B44">
        <f>IF($AB44="","",INDEX('Per Line'!$E$2:$E$301,$AB44)&amp;"")</f>
        <v/>
      </c>
      <c r="C44">
        <f>IF($AB44="","",INDEX('Per Line'!$A$2:$A$301,$AB44)&amp;"")</f>
        <v/>
      </c>
      <c r="D44">
        <f>IF($AB44="","",INDEX('Per Line'!$B$2:$B$301,$AB44))</f>
        <v/>
      </c>
      <c r="E44">
        <f>IF($AB44="","",INDEX('Per Line'!$C$2:$C$301,$AB44)&amp;"")</f>
        <v/>
      </c>
      <c r="F44">
        <f>IF($AB44="","",INDEX('Per Line'!$D$2:$D$301,$AB44)&amp;"")</f>
        <v/>
      </c>
      <c r="G44">
        <f>IF($AB44="","",INDEX('Per Line'!$F$2:$F$301,$AB44)&amp;"")</f>
        <v/>
      </c>
      <c r="H44" s="11">
        <f>IF($AB44="","",INDEX('Per Line'!$G$2:$G$301,$AB44))</f>
        <v/>
      </c>
      <c r="I44">
        <f>IF($AB44="","",INDEX('Per Line'!$H$2:$H$301,$AB44)&amp;"")</f>
        <v/>
      </c>
      <c r="J44">
        <f>IF($AB44="","",INDEX('Per Line'!$J$2:$J$301,$AB44)&amp;"")</f>
        <v/>
      </c>
      <c r="K44">
        <f>IF($AB44="","",INDEX('Per Line'!$K$2:$K$301,$AB44)&amp;"")</f>
        <v/>
      </c>
      <c r="L44">
        <f>IF($AB44="","",INDEX('Per Line'!$L$2:$L$301,$AB44)&amp;"")</f>
        <v/>
      </c>
      <c r="M44">
        <f>IF($AB44="","",INDEX('Per Line'!$M$2:$M$301,$AB44)&amp;"")</f>
        <v/>
      </c>
      <c r="N44">
        <f>IF($AB44="","",INDEX('Per Line'!$N$2:$N$301,$AB44))</f>
        <v/>
      </c>
      <c r="O44" s="7">
        <f>IF($AB44="","",N44*Z44/100)</f>
        <v/>
      </c>
      <c r="P44">
        <f>IF($AB44="","",INDEX('Per Line'!$X$2:$X$301,$AB44)&amp;"")</f>
        <v/>
      </c>
      <c r="Q44" s="7">
        <f>IF($AB44="","",SUMIFS('Per Line'!$W$2:$W$301,'Per Line'!$E$2:$E$301,$B44,'Per Line'!$AO$2:$AO$301,1))</f>
        <v/>
      </c>
      <c r="R44">
        <f>IF($AB44="","",Settings!$C$7)</f>
        <v/>
      </c>
      <c r="S44" s="7">
        <f>IF($AB44="","",SUMIFS('Per Line'!$W$2:$W$301,'Per Line'!$E$2:$E$301,$B44,'Per Line'!$AN$2:$AN$301,0,'Per Line'!$AO$2:$AO$301,0))</f>
        <v/>
      </c>
      <c r="T44" s="7">
        <f>IF($AB44="","",S44*R44)</f>
        <v/>
      </c>
      <c r="U44">
        <f>IF($AB44="","",Settings!$C$6)</f>
        <v/>
      </c>
      <c r="V44" s="7">
        <f>IF($AB44="","",SUMIFS('Per Line'!$W$2:$W$301,'Per Line'!$E$2:$E$301,$B44,'Per Line'!$AN$2:$AN$301,1,'Per Line'!$AO$2:$AO$301,0))</f>
        <v/>
      </c>
      <c r="W44" s="7">
        <f>IF($AB44="","",V44*U44)</f>
        <v/>
      </c>
      <c r="X44" s="7">
        <f>IF($AB44="","",W44+T44)</f>
        <v/>
      </c>
      <c r="Y44" s="7">
        <f>IF($AB44="","",Z44-X44)</f>
        <v/>
      </c>
      <c r="Z44" s="7">
        <f>IF($AB44="","",S44+V44+Q44)</f>
        <v/>
      </c>
      <c r="AA44" s="7">
        <f>IF($AB44="","",Z44-X44-O44)</f>
        <v/>
      </c>
      <c r="AB44" s="13">
        <f>IF(ROWS($AB$2:$AB44)&lt;=MAX('Per Line'!$AM$2:$AM$301),MATCH(ROWS($AB$2:$AB44),'Per Line'!$AM$2:$AM$301,0),"")</f>
        <v/>
      </c>
    </row>
    <row r="45">
      <c r="A45" s="12" t="n"/>
      <c r="B45">
        <f>IF($AB45="","",INDEX('Per Line'!$E$2:$E$301,$AB45)&amp;"")</f>
        <v/>
      </c>
      <c r="C45">
        <f>IF($AB45="","",INDEX('Per Line'!$A$2:$A$301,$AB45)&amp;"")</f>
        <v/>
      </c>
      <c r="D45">
        <f>IF($AB45="","",INDEX('Per Line'!$B$2:$B$301,$AB45))</f>
        <v/>
      </c>
      <c r="E45">
        <f>IF($AB45="","",INDEX('Per Line'!$C$2:$C$301,$AB45)&amp;"")</f>
        <v/>
      </c>
      <c r="F45">
        <f>IF($AB45="","",INDEX('Per Line'!$D$2:$D$301,$AB45)&amp;"")</f>
        <v/>
      </c>
      <c r="G45">
        <f>IF($AB45="","",INDEX('Per Line'!$F$2:$F$301,$AB45)&amp;"")</f>
        <v/>
      </c>
      <c r="H45" s="11">
        <f>IF($AB45="","",INDEX('Per Line'!$G$2:$G$301,$AB45))</f>
        <v/>
      </c>
      <c r="I45">
        <f>IF($AB45="","",INDEX('Per Line'!$H$2:$H$301,$AB45)&amp;"")</f>
        <v/>
      </c>
      <c r="J45">
        <f>IF($AB45="","",INDEX('Per Line'!$J$2:$J$301,$AB45)&amp;"")</f>
        <v/>
      </c>
      <c r="K45">
        <f>IF($AB45="","",INDEX('Per Line'!$K$2:$K$301,$AB45)&amp;"")</f>
        <v/>
      </c>
      <c r="L45">
        <f>IF($AB45="","",INDEX('Per Line'!$L$2:$L$301,$AB45)&amp;"")</f>
        <v/>
      </c>
      <c r="M45">
        <f>IF($AB45="","",INDEX('Per Line'!$M$2:$M$301,$AB45)&amp;"")</f>
        <v/>
      </c>
      <c r="N45">
        <f>IF($AB45="","",INDEX('Per Line'!$N$2:$N$301,$AB45))</f>
        <v/>
      </c>
      <c r="O45" s="7">
        <f>IF($AB45="","",N45*Z45/100)</f>
        <v/>
      </c>
      <c r="P45">
        <f>IF($AB45="","",INDEX('Per Line'!$X$2:$X$301,$AB45)&amp;"")</f>
        <v/>
      </c>
      <c r="Q45" s="7">
        <f>IF($AB45="","",SUMIFS('Per Line'!$W$2:$W$301,'Per Line'!$E$2:$E$301,$B45,'Per Line'!$AO$2:$AO$301,1))</f>
        <v/>
      </c>
      <c r="R45">
        <f>IF($AB45="","",Settings!$C$7)</f>
        <v/>
      </c>
      <c r="S45" s="7">
        <f>IF($AB45="","",SUMIFS('Per Line'!$W$2:$W$301,'Per Line'!$E$2:$E$301,$B45,'Per Line'!$AN$2:$AN$301,0,'Per Line'!$AO$2:$AO$301,0))</f>
        <v/>
      </c>
      <c r="T45" s="7">
        <f>IF($AB45="","",S45*R45)</f>
        <v/>
      </c>
      <c r="U45">
        <f>IF($AB45="","",Settings!$C$6)</f>
        <v/>
      </c>
      <c r="V45" s="7">
        <f>IF($AB45="","",SUMIFS('Per Line'!$W$2:$W$301,'Per Line'!$E$2:$E$301,$B45,'Per Line'!$AN$2:$AN$301,1,'Per Line'!$AO$2:$AO$301,0))</f>
        <v/>
      </c>
      <c r="W45" s="7">
        <f>IF($AB45="","",V45*U45)</f>
        <v/>
      </c>
      <c r="X45" s="7">
        <f>IF($AB45="","",W45+T45)</f>
        <v/>
      </c>
      <c r="Y45" s="7">
        <f>IF($AB45="","",Z45-X45)</f>
        <v/>
      </c>
      <c r="Z45" s="7">
        <f>IF($AB45="","",S45+V45+Q45)</f>
        <v/>
      </c>
      <c r="AA45" s="7">
        <f>IF($AB45="","",Z45-X45-O45)</f>
        <v/>
      </c>
      <c r="AB45" s="13">
        <f>IF(ROWS($AB$2:$AB45)&lt;=MAX('Per Line'!$AM$2:$AM$301),MATCH(ROWS($AB$2:$AB45),'Per Line'!$AM$2:$AM$301,0),"")</f>
        <v/>
      </c>
    </row>
    <row r="46">
      <c r="A46" s="12" t="n"/>
      <c r="B46">
        <f>IF($AB46="","",INDEX('Per Line'!$E$2:$E$301,$AB46)&amp;"")</f>
        <v/>
      </c>
      <c r="C46">
        <f>IF($AB46="","",INDEX('Per Line'!$A$2:$A$301,$AB46)&amp;"")</f>
        <v/>
      </c>
      <c r="D46">
        <f>IF($AB46="","",INDEX('Per Line'!$B$2:$B$301,$AB46))</f>
        <v/>
      </c>
      <c r="E46">
        <f>IF($AB46="","",INDEX('Per Line'!$C$2:$C$301,$AB46)&amp;"")</f>
        <v/>
      </c>
      <c r="F46">
        <f>IF($AB46="","",INDEX('Per Line'!$D$2:$D$301,$AB46)&amp;"")</f>
        <v/>
      </c>
      <c r="G46">
        <f>IF($AB46="","",INDEX('Per Line'!$F$2:$F$301,$AB46)&amp;"")</f>
        <v/>
      </c>
      <c r="H46" s="11">
        <f>IF($AB46="","",INDEX('Per Line'!$G$2:$G$301,$AB46))</f>
        <v/>
      </c>
      <c r="I46">
        <f>IF($AB46="","",INDEX('Per Line'!$H$2:$H$301,$AB46)&amp;"")</f>
        <v/>
      </c>
      <c r="J46">
        <f>IF($AB46="","",INDEX('Per Line'!$J$2:$J$301,$AB46)&amp;"")</f>
        <v/>
      </c>
      <c r="K46">
        <f>IF($AB46="","",INDEX('Per Line'!$K$2:$K$301,$AB46)&amp;"")</f>
        <v/>
      </c>
      <c r="L46">
        <f>IF($AB46="","",INDEX('Per Line'!$L$2:$L$301,$AB46)&amp;"")</f>
        <v/>
      </c>
      <c r="M46">
        <f>IF($AB46="","",INDEX('Per Line'!$M$2:$M$301,$AB46)&amp;"")</f>
        <v/>
      </c>
      <c r="N46">
        <f>IF($AB46="","",INDEX('Per Line'!$N$2:$N$301,$AB46))</f>
        <v/>
      </c>
      <c r="O46" s="7">
        <f>IF($AB46="","",N46*Z46/100)</f>
        <v/>
      </c>
      <c r="P46">
        <f>IF($AB46="","",INDEX('Per Line'!$X$2:$X$301,$AB46)&amp;"")</f>
        <v/>
      </c>
      <c r="Q46" s="7">
        <f>IF($AB46="","",SUMIFS('Per Line'!$W$2:$W$301,'Per Line'!$E$2:$E$301,$B46,'Per Line'!$AO$2:$AO$301,1))</f>
        <v/>
      </c>
      <c r="R46">
        <f>IF($AB46="","",Settings!$C$7)</f>
        <v/>
      </c>
      <c r="S46" s="7">
        <f>IF($AB46="","",SUMIFS('Per Line'!$W$2:$W$301,'Per Line'!$E$2:$E$301,$B46,'Per Line'!$AN$2:$AN$301,0,'Per Line'!$AO$2:$AO$301,0))</f>
        <v/>
      </c>
      <c r="T46" s="7">
        <f>IF($AB46="","",S46*R46)</f>
        <v/>
      </c>
      <c r="U46">
        <f>IF($AB46="","",Settings!$C$6)</f>
        <v/>
      </c>
      <c r="V46" s="7">
        <f>IF($AB46="","",SUMIFS('Per Line'!$W$2:$W$301,'Per Line'!$E$2:$E$301,$B46,'Per Line'!$AN$2:$AN$301,1,'Per Line'!$AO$2:$AO$301,0))</f>
        <v/>
      </c>
      <c r="W46" s="7">
        <f>IF($AB46="","",V46*U46)</f>
        <v/>
      </c>
      <c r="X46" s="7">
        <f>IF($AB46="","",W46+T46)</f>
        <v/>
      </c>
      <c r="Y46" s="7">
        <f>IF($AB46="","",Z46-X46)</f>
        <v/>
      </c>
      <c r="Z46" s="7">
        <f>IF($AB46="","",S46+V46+Q46)</f>
        <v/>
      </c>
      <c r="AA46" s="7">
        <f>IF($AB46="","",Z46-X46-O46)</f>
        <v/>
      </c>
      <c r="AB46" s="13">
        <f>IF(ROWS($AB$2:$AB46)&lt;=MAX('Per Line'!$AM$2:$AM$301),MATCH(ROWS($AB$2:$AB46),'Per Line'!$AM$2:$AM$301,0),"")</f>
        <v/>
      </c>
    </row>
    <row r="47">
      <c r="A47" s="12" t="n"/>
      <c r="B47">
        <f>IF($AB47="","",INDEX('Per Line'!$E$2:$E$301,$AB47)&amp;"")</f>
        <v/>
      </c>
      <c r="C47">
        <f>IF($AB47="","",INDEX('Per Line'!$A$2:$A$301,$AB47)&amp;"")</f>
        <v/>
      </c>
      <c r="D47">
        <f>IF($AB47="","",INDEX('Per Line'!$B$2:$B$301,$AB47))</f>
        <v/>
      </c>
      <c r="E47">
        <f>IF($AB47="","",INDEX('Per Line'!$C$2:$C$301,$AB47)&amp;"")</f>
        <v/>
      </c>
      <c r="F47">
        <f>IF($AB47="","",INDEX('Per Line'!$D$2:$D$301,$AB47)&amp;"")</f>
        <v/>
      </c>
      <c r="G47">
        <f>IF($AB47="","",INDEX('Per Line'!$F$2:$F$301,$AB47)&amp;"")</f>
        <v/>
      </c>
      <c r="H47" s="11">
        <f>IF($AB47="","",INDEX('Per Line'!$G$2:$G$301,$AB47))</f>
        <v/>
      </c>
      <c r="I47">
        <f>IF($AB47="","",INDEX('Per Line'!$H$2:$H$301,$AB47)&amp;"")</f>
        <v/>
      </c>
      <c r="J47">
        <f>IF($AB47="","",INDEX('Per Line'!$J$2:$J$301,$AB47)&amp;"")</f>
        <v/>
      </c>
      <c r="K47">
        <f>IF($AB47="","",INDEX('Per Line'!$K$2:$K$301,$AB47)&amp;"")</f>
        <v/>
      </c>
      <c r="L47">
        <f>IF($AB47="","",INDEX('Per Line'!$L$2:$L$301,$AB47)&amp;"")</f>
        <v/>
      </c>
      <c r="M47">
        <f>IF($AB47="","",INDEX('Per Line'!$M$2:$M$301,$AB47)&amp;"")</f>
        <v/>
      </c>
      <c r="N47">
        <f>IF($AB47="","",INDEX('Per Line'!$N$2:$N$301,$AB47))</f>
        <v/>
      </c>
      <c r="O47" s="7">
        <f>IF($AB47="","",N47*Z47/100)</f>
        <v/>
      </c>
      <c r="P47">
        <f>IF($AB47="","",INDEX('Per Line'!$X$2:$X$301,$AB47)&amp;"")</f>
        <v/>
      </c>
      <c r="Q47" s="7">
        <f>IF($AB47="","",SUMIFS('Per Line'!$W$2:$W$301,'Per Line'!$E$2:$E$301,$B47,'Per Line'!$AO$2:$AO$301,1))</f>
        <v/>
      </c>
      <c r="R47">
        <f>IF($AB47="","",Settings!$C$7)</f>
        <v/>
      </c>
      <c r="S47" s="7">
        <f>IF($AB47="","",SUMIFS('Per Line'!$W$2:$W$301,'Per Line'!$E$2:$E$301,$B47,'Per Line'!$AN$2:$AN$301,0,'Per Line'!$AO$2:$AO$301,0))</f>
        <v/>
      </c>
      <c r="T47" s="7">
        <f>IF($AB47="","",S47*R47)</f>
        <v/>
      </c>
      <c r="U47">
        <f>IF($AB47="","",Settings!$C$6)</f>
        <v/>
      </c>
      <c r="V47" s="7">
        <f>IF($AB47="","",SUMIFS('Per Line'!$W$2:$W$301,'Per Line'!$E$2:$E$301,$B47,'Per Line'!$AN$2:$AN$301,1,'Per Line'!$AO$2:$AO$301,0))</f>
        <v/>
      </c>
      <c r="W47" s="7">
        <f>IF($AB47="","",V47*U47)</f>
        <v/>
      </c>
      <c r="X47" s="7">
        <f>IF($AB47="","",W47+T47)</f>
        <v/>
      </c>
      <c r="Y47" s="7">
        <f>IF($AB47="","",Z47-X47)</f>
        <v/>
      </c>
      <c r="Z47" s="7">
        <f>IF($AB47="","",S47+V47+Q47)</f>
        <v/>
      </c>
      <c r="AA47" s="7">
        <f>IF($AB47="","",Z47-X47-O47)</f>
        <v/>
      </c>
      <c r="AB47" s="13">
        <f>IF(ROWS($AB$2:$AB47)&lt;=MAX('Per Line'!$AM$2:$AM$301),MATCH(ROWS($AB$2:$AB47),'Per Line'!$AM$2:$AM$301,0),"")</f>
        <v/>
      </c>
    </row>
    <row r="48">
      <c r="A48" s="12" t="n"/>
      <c r="B48">
        <f>IF($AB48="","",INDEX('Per Line'!$E$2:$E$301,$AB48)&amp;"")</f>
        <v/>
      </c>
      <c r="C48">
        <f>IF($AB48="","",INDEX('Per Line'!$A$2:$A$301,$AB48)&amp;"")</f>
        <v/>
      </c>
      <c r="D48">
        <f>IF($AB48="","",INDEX('Per Line'!$B$2:$B$301,$AB48))</f>
        <v/>
      </c>
      <c r="E48">
        <f>IF($AB48="","",INDEX('Per Line'!$C$2:$C$301,$AB48)&amp;"")</f>
        <v/>
      </c>
      <c r="F48">
        <f>IF($AB48="","",INDEX('Per Line'!$D$2:$D$301,$AB48)&amp;"")</f>
        <v/>
      </c>
      <c r="G48">
        <f>IF($AB48="","",INDEX('Per Line'!$F$2:$F$301,$AB48)&amp;"")</f>
        <v/>
      </c>
      <c r="H48" s="11">
        <f>IF($AB48="","",INDEX('Per Line'!$G$2:$G$301,$AB48))</f>
        <v/>
      </c>
      <c r="I48">
        <f>IF($AB48="","",INDEX('Per Line'!$H$2:$H$301,$AB48)&amp;"")</f>
        <v/>
      </c>
      <c r="J48">
        <f>IF($AB48="","",INDEX('Per Line'!$J$2:$J$301,$AB48)&amp;"")</f>
        <v/>
      </c>
      <c r="K48">
        <f>IF($AB48="","",INDEX('Per Line'!$K$2:$K$301,$AB48)&amp;"")</f>
        <v/>
      </c>
      <c r="L48">
        <f>IF($AB48="","",INDEX('Per Line'!$L$2:$L$301,$AB48)&amp;"")</f>
        <v/>
      </c>
      <c r="M48">
        <f>IF($AB48="","",INDEX('Per Line'!$M$2:$M$301,$AB48)&amp;"")</f>
        <v/>
      </c>
      <c r="N48">
        <f>IF($AB48="","",INDEX('Per Line'!$N$2:$N$301,$AB48))</f>
        <v/>
      </c>
      <c r="O48" s="7">
        <f>IF($AB48="","",N48*Z48/100)</f>
        <v/>
      </c>
      <c r="P48">
        <f>IF($AB48="","",INDEX('Per Line'!$X$2:$X$301,$AB48)&amp;"")</f>
        <v/>
      </c>
      <c r="Q48" s="7">
        <f>IF($AB48="","",SUMIFS('Per Line'!$W$2:$W$301,'Per Line'!$E$2:$E$301,$B48,'Per Line'!$AO$2:$AO$301,1))</f>
        <v/>
      </c>
      <c r="R48">
        <f>IF($AB48="","",Settings!$C$7)</f>
        <v/>
      </c>
      <c r="S48" s="7">
        <f>IF($AB48="","",SUMIFS('Per Line'!$W$2:$W$301,'Per Line'!$E$2:$E$301,$B48,'Per Line'!$AN$2:$AN$301,0,'Per Line'!$AO$2:$AO$301,0))</f>
        <v/>
      </c>
      <c r="T48" s="7">
        <f>IF($AB48="","",S48*R48)</f>
        <v/>
      </c>
      <c r="U48">
        <f>IF($AB48="","",Settings!$C$6)</f>
        <v/>
      </c>
      <c r="V48" s="7">
        <f>IF($AB48="","",SUMIFS('Per Line'!$W$2:$W$301,'Per Line'!$E$2:$E$301,$B48,'Per Line'!$AN$2:$AN$301,1,'Per Line'!$AO$2:$AO$301,0))</f>
        <v/>
      </c>
      <c r="W48" s="7">
        <f>IF($AB48="","",V48*U48)</f>
        <v/>
      </c>
      <c r="X48" s="7">
        <f>IF($AB48="","",W48+T48)</f>
        <v/>
      </c>
      <c r="Y48" s="7">
        <f>IF($AB48="","",Z48-X48)</f>
        <v/>
      </c>
      <c r="Z48" s="7">
        <f>IF($AB48="","",S48+V48+Q48)</f>
        <v/>
      </c>
      <c r="AA48" s="7">
        <f>IF($AB48="","",Z48-X48-O48)</f>
        <v/>
      </c>
      <c r="AB48" s="13">
        <f>IF(ROWS($AB$2:$AB48)&lt;=MAX('Per Line'!$AM$2:$AM$301),MATCH(ROWS($AB$2:$AB48),'Per Line'!$AM$2:$AM$301,0),"")</f>
        <v/>
      </c>
    </row>
    <row r="49">
      <c r="A49" s="12" t="n"/>
      <c r="B49">
        <f>IF($AB49="","",INDEX('Per Line'!$E$2:$E$301,$AB49)&amp;"")</f>
        <v/>
      </c>
      <c r="C49">
        <f>IF($AB49="","",INDEX('Per Line'!$A$2:$A$301,$AB49)&amp;"")</f>
        <v/>
      </c>
      <c r="D49">
        <f>IF($AB49="","",INDEX('Per Line'!$B$2:$B$301,$AB49))</f>
        <v/>
      </c>
      <c r="E49">
        <f>IF($AB49="","",INDEX('Per Line'!$C$2:$C$301,$AB49)&amp;"")</f>
        <v/>
      </c>
      <c r="F49">
        <f>IF($AB49="","",INDEX('Per Line'!$D$2:$D$301,$AB49)&amp;"")</f>
        <v/>
      </c>
      <c r="G49">
        <f>IF($AB49="","",INDEX('Per Line'!$F$2:$F$301,$AB49)&amp;"")</f>
        <v/>
      </c>
      <c r="H49" s="11">
        <f>IF($AB49="","",INDEX('Per Line'!$G$2:$G$301,$AB49))</f>
        <v/>
      </c>
      <c r="I49">
        <f>IF($AB49="","",INDEX('Per Line'!$H$2:$H$301,$AB49)&amp;"")</f>
        <v/>
      </c>
      <c r="J49">
        <f>IF($AB49="","",INDEX('Per Line'!$J$2:$J$301,$AB49)&amp;"")</f>
        <v/>
      </c>
      <c r="K49">
        <f>IF($AB49="","",INDEX('Per Line'!$K$2:$K$301,$AB49)&amp;"")</f>
        <v/>
      </c>
      <c r="L49">
        <f>IF($AB49="","",INDEX('Per Line'!$L$2:$L$301,$AB49)&amp;"")</f>
        <v/>
      </c>
      <c r="M49">
        <f>IF($AB49="","",INDEX('Per Line'!$M$2:$M$301,$AB49)&amp;"")</f>
        <v/>
      </c>
      <c r="N49">
        <f>IF($AB49="","",INDEX('Per Line'!$N$2:$N$301,$AB49))</f>
        <v/>
      </c>
      <c r="O49" s="7">
        <f>IF($AB49="","",N49*Z49/100)</f>
        <v/>
      </c>
      <c r="P49">
        <f>IF($AB49="","",INDEX('Per Line'!$X$2:$X$301,$AB49)&amp;"")</f>
        <v/>
      </c>
      <c r="Q49" s="7">
        <f>IF($AB49="","",SUMIFS('Per Line'!$W$2:$W$301,'Per Line'!$E$2:$E$301,$B49,'Per Line'!$AO$2:$AO$301,1))</f>
        <v/>
      </c>
      <c r="R49">
        <f>IF($AB49="","",Settings!$C$7)</f>
        <v/>
      </c>
      <c r="S49" s="7">
        <f>IF($AB49="","",SUMIFS('Per Line'!$W$2:$W$301,'Per Line'!$E$2:$E$301,$B49,'Per Line'!$AN$2:$AN$301,0,'Per Line'!$AO$2:$AO$301,0))</f>
        <v/>
      </c>
      <c r="T49" s="7">
        <f>IF($AB49="","",S49*R49)</f>
        <v/>
      </c>
      <c r="U49">
        <f>IF($AB49="","",Settings!$C$6)</f>
        <v/>
      </c>
      <c r="V49" s="7">
        <f>IF($AB49="","",SUMIFS('Per Line'!$W$2:$W$301,'Per Line'!$E$2:$E$301,$B49,'Per Line'!$AN$2:$AN$301,1,'Per Line'!$AO$2:$AO$301,0))</f>
        <v/>
      </c>
      <c r="W49" s="7">
        <f>IF($AB49="","",V49*U49)</f>
        <v/>
      </c>
      <c r="X49" s="7">
        <f>IF($AB49="","",W49+T49)</f>
        <v/>
      </c>
      <c r="Y49" s="7">
        <f>IF($AB49="","",Z49-X49)</f>
        <v/>
      </c>
      <c r="Z49" s="7">
        <f>IF($AB49="","",S49+V49+Q49)</f>
        <v/>
      </c>
      <c r="AA49" s="7">
        <f>IF($AB49="","",Z49-X49-O49)</f>
        <v/>
      </c>
      <c r="AB49" s="13">
        <f>IF(ROWS($AB$2:$AB49)&lt;=MAX('Per Line'!$AM$2:$AM$301),MATCH(ROWS($AB$2:$AB49),'Per Line'!$AM$2:$AM$301,0),"")</f>
        <v/>
      </c>
    </row>
    <row r="50">
      <c r="A50" s="12" t="n"/>
      <c r="B50">
        <f>IF($AB50="","",INDEX('Per Line'!$E$2:$E$301,$AB50)&amp;"")</f>
        <v/>
      </c>
      <c r="C50">
        <f>IF($AB50="","",INDEX('Per Line'!$A$2:$A$301,$AB50)&amp;"")</f>
        <v/>
      </c>
      <c r="D50">
        <f>IF($AB50="","",INDEX('Per Line'!$B$2:$B$301,$AB50))</f>
        <v/>
      </c>
      <c r="E50">
        <f>IF($AB50="","",INDEX('Per Line'!$C$2:$C$301,$AB50)&amp;"")</f>
        <v/>
      </c>
      <c r="F50">
        <f>IF($AB50="","",INDEX('Per Line'!$D$2:$D$301,$AB50)&amp;"")</f>
        <v/>
      </c>
      <c r="G50">
        <f>IF($AB50="","",INDEX('Per Line'!$F$2:$F$301,$AB50)&amp;"")</f>
        <v/>
      </c>
      <c r="H50" s="11">
        <f>IF($AB50="","",INDEX('Per Line'!$G$2:$G$301,$AB50))</f>
        <v/>
      </c>
      <c r="I50">
        <f>IF($AB50="","",INDEX('Per Line'!$H$2:$H$301,$AB50)&amp;"")</f>
        <v/>
      </c>
      <c r="J50">
        <f>IF($AB50="","",INDEX('Per Line'!$J$2:$J$301,$AB50)&amp;"")</f>
        <v/>
      </c>
      <c r="K50">
        <f>IF($AB50="","",INDEX('Per Line'!$K$2:$K$301,$AB50)&amp;"")</f>
        <v/>
      </c>
      <c r="L50">
        <f>IF($AB50="","",INDEX('Per Line'!$L$2:$L$301,$AB50)&amp;"")</f>
        <v/>
      </c>
      <c r="M50">
        <f>IF($AB50="","",INDEX('Per Line'!$M$2:$M$301,$AB50)&amp;"")</f>
        <v/>
      </c>
      <c r="N50">
        <f>IF($AB50="","",INDEX('Per Line'!$N$2:$N$301,$AB50))</f>
        <v/>
      </c>
      <c r="O50" s="7">
        <f>IF($AB50="","",N50*Z50/100)</f>
        <v/>
      </c>
      <c r="P50">
        <f>IF($AB50="","",INDEX('Per Line'!$X$2:$X$301,$AB50)&amp;"")</f>
        <v/>
      </c>
      <c r="Q50" s="7">
        <f>IF($AB50="","",SUMIFS('Per Line'!$W$2:$W$301,'Per Line'!$E$2:$E$301,$B50,'Per Line'!$AO$2:$AO$301,1))</f>
        <v/>
      </c>
      <c r="R50">
        <f>IF($AB50="","",Settings!$C$7)</f>
        <v/>
      </c>
      <c r="S50" s="7">
        <f>IF($AB50="","",SUMIFS('Per Line'!$W$2:$W$301,'Per Line'!$E$2:$E$301,$B50,'Per Line'!$AN$2:$AN$301,0,'Per Line'!$AO$2:$AO$301,0))</f>
        <v/>
      </c>
      <c r="T50" s="7">
        <f>IF($AB50="","",S50*R50)</f>
        <v/>
      </c>
      <c r="U50">
        <f>IF($AB50="","",Settings!$C$6)</f>
        <v/>
      </c>
      <c r="V50" s="7">
        <f>IF($AB50="","",SUMIFS('Per Line'!$W$2:$W$301,'Per Line'!$E$2:$E$301,$B50,'Per Line'!$AN$2:$AN$301,1,'Per Line'!$AO$2:$AO$301,0))</f>
        <v/>
      </c>
      <c r="W50" s="7">
        <f>IF($AB50="","",V50*U50)</f>
        <v/>
      </c>
      <c r="X50" s="7">
        <f>IF($AB50="","",W50+T50)</f>
        <v/>
      </c>
      <c r="Y50" s="7">
        <f>IF($AB50="","",Z50-X50)</f>
        <v/>
      </c>
      <c r="Z50" s="7">
        <f>IF($AB50="","",S50+V50+Q50)</f>
        <v/>
      </c>
      <c r="AA50" s="7">
        <f>IF($AB50="","",Z50-X50-O50)</f>
        <v/>
      </c>
      <c r="AB50" s="13">
        <f>IF(ROWS($AB$2:$AB50)&lt;=MAX('Per Line'!$AM$2:$AM$301),MATCH(ROWS($AB$2:$AB50),'Per Line'!$AM$2:$AM$301,0),"")</f>
        <v/>
      </c>
    </row>
    <row r="51">
      <c r="A51" s="12" t="n"/>
      <c r="B51">
        <f>IF($AB51="","",INDEX('Per Line'!$E$2:$E$301,$AB51)&amp;"")</f>
        <v/>
      </c>
      <c r="C51">
        <f>IF($AB51="","",INDEX('Per Line'!$A$2:$A$301,$AB51)&amp;"")</f>
        <v/>
      </c>
      <c r="D51">
        <f>IF($AB51="","",INDEX('Per Line'!$B$2:$B$301,$AB51))</f>
        <v/>
      </c>
      <c r="E51">
        <f>IF($AB51="","",INDEX('Per Line'!$C$2:$C$301,$AB51)&amp;"")</f>
        <v/>
      </c>
      <c r="F51">
        <f>IF($AB51="","",INDEX('Per Line'!$D$2:$D$301,$AB51)&amp;"")</f>
        <v/>
      </c>
      <c r="G51">
        <f>IF($AB51="","",INDEX('Per Line'!$F$2:$F$301,$AB51)&amp;"")</f>
        <v/>
      </c>
      <c r="H51" s="11">
        <f>IF($AB51="","",INDEX('Per Line'!$G$2:$G$301,$AB51))</f>
        <v/>
      </c>
      <c r="I51">
        <f>IF($AB51="","",INDEX('Per Line'!$H$2:$H$301,$AB51)&amp;"")</f>
        <v/>
      </c>
      <c r="J51">
        <f>IF($AB51="","",INDEX('Per Line'!$J$2:$J$301,$AB51)&amp;"")</f>
        <v/>
      </c>
      <c r="K51">
        <f>IF($AB51="","",INDEX('Per Line'!$K$2:$K$301,$AB51)&amp;"")</f>
        <v/>
      </c>
      <c r="L51">
        <f>IF($AB51="","",INDEX('Per Line'!$L$2:$L$301,$AB51)&amp;"")</f>
        <v/>
      </c>
      <c r="M51">
        <f>IF($AB51="","",INDEX('Per Line'!$M$2:$M$301,$AB51)&amp;"")</f>
        <v/>
      </c>
      <c r="N51">
        <f>IF($AB51="","",INDEX('Per Line'!$N$2:$N$301,$AB51))</f>
        <v/>
      </c>
      <c r="O51" s="7">
        <f>IF($AB51="","",N51*Z51/100)</f>
        <v/>
      </c>
      <c r="P51">
        <f>IF($AB51="","",INDEX('Per Line'!$X$2:$X$301,$AB51)&amp;"")</f>
        <v/>
      </c>
      <c r="Q51" s="7">
        <f>IF($AB51="","",SUMIFS('Per Line'!$W$2:$W$301,'Per Line'!$E$2:$E$301,$B51,'Per Line'!$AO$2:$AO$301,1))</f>
        <v/>
      </c>
      <c r="R51">
        <f>IF($AB51="","",Settings!$C$7)</f>
        <v/>
      </c>
      <c r="S51" s="7">
        <f>IF($AB51="","",SUMIFS('Per Line'!$W$2:$W$301,'Per Line'!$E$2:$E$301,$B51,'Per Line'!$AN$2:$AN$301,0,'Per Line'!$AO$2:$AO$301,0))</f>
        <v/>
      </c>
      <c r="T51" s="7">
        <f>IF($AB51="","",S51*R51)</f>
        <v/>
      </c>
      <c r="U51">
        <f>IF($AB51="","",Settings!$C$6)</f>
        <v/>
      </c>
      <c r="V51" s="7">
        <f>IF($AB51="","",SUMIFS('Per Line'!$W$2:$W$301,'Per Line'!$E$2:$E$301,$B51,'Per Line'!$AN$2:$AN$301,1,'Per Line'!$AO$2:$AO$301,0))</f>
        <v/>
      </c>
      <c r="W51" s="7">
        <f>IF($AB51="","",V51*U51)</f>
        <v/>
      </c>
      <c r="X51" s="7">
        <f>IF($AB51="","",W51+T51)</f>
        <v/>
      </c>
      <c r="Y51" s="7">
        <f>IF($AB51="","",Z51-X51)</f>
        <v/>
      </c>
      <c r="Z51" s="7">
        <f>IF($AB51="","",S51+V51+Q51)</f>
        <v/>
      </c>
      <c r="AA51" s="7">
        <f>IF($AB51="","",Z51-X51-O51)</f>
        <v/>
      </c>
      <c r="AB51" s="13">
        <f>IF(ROWS($AB$2:$AB51)&lt;=MAX('Per Line'!$AM$2:$AM$301),MATCH(ROWS($AB$2:$AB51),'Per Line'!$AM$2:$AM$301,0),"")</f>
        <v/>
      </c>
    </row>
    <row r="52">
      <c r="A52" s="12" t="n"/>
      <c r="B52">
        <f>IF($AB52="","",INDEX('Per Line'!$E$2:$E$301,$AB52)&amp;"")</f>
        <v/>
      </c>
      <c r="C52">
        <f>IF($AB52="","",INDEX('Per Line'!$A$2:$A$301,$AB52)&amp;"")</f>
        <v/>
      </c>
      <c r="D52">
        <f>IF($AB52="","",INDEX('Per Line'!$B$2:$B$301,$AB52))</f>
        <v/>
      </c>
      <c r="E52">
        <f>IF($AB52="","",INDEX('Per Line'!$C$2:$C$301,$AB52)&amp;"")</f>
        <v/>
      </c>
      <c r="F52">
        <f>IF($AB52="","",INDEX('Per Line'!$D$2:$D$301,$AB52)&amp;"")</f>
        <v/>
      </c>
      <c r="G52">
        <f>IF($AB52="","",INDEX('Per Line'!$F$2:$F$301,$AB52)&amp;"")</f>
        <v/>
      </c>
      <c r="H52" s="11">
        <f>IF($AB52="","",INDEX('Per Line'!$G$2:$G$301,$AB52))</f>
        <v/>
      </c>
      <c r="I52">
        <f>IF($AB52="","",INDEX('Per Line'!$H$2:$H$301,$AB52)&amp;"")</f>
        <v/>
      </c>
      <c r="J52">
        <f>IF($AB52="","",INDEX('Per Line'!$J$2:$J$301,$AB52)&amp;"")</f>
        <v/>
      </c>
      <c r="K52">
        <f>IF($AB52="","",INDEX('Per Line'!$K$2:$K$301,$AB52)&amp;"")</f>
        <v/>
      </c>
      <c r="L52">
        <f>IF($AB52="","",INDEX('Per Line'!$L$2:$L$301,$AB52)&amp;"")</f>
        <v/>
      </c>
      <c r="M52">
        <f>IF($AB52="","",INDEX('Per Line'!$M$2:$M$301,$AB52)&amp;"")</f>
        <v/>
      </c>
      <c r="N52">
        <f>IF($AB52="","",INDEX('Per Line'!$N$2:$N$301,$AB52))</f>
        <v/>
      </c>
      <c r="O52" s="7">
        <f>IF($AB52="","",N52*Z52/100)</f>
        <v/>
      </c>
      <c r="P52">
        <f>IF($AB52="","",INDEX('Per Line'!$X$2:$X$301,$AB52)&amp;"")</f>
        <v/>
      </c>
      <c r="Q52" s="7">
        <f>IF($AB52="","",SUMIFS('Per Line'!$W$2:$W$301,'Per Line'!$E$2:$E$301,$B52,'Per Line'!$AO$2:$AO$301,1))</f>
        <v/>
      </c>
      <c r="R52">
        <f>IF($AB52="","",Settings!$C$7)</f>
        <v/>
      </c>
      <c r="S52" s="7">
        <f>IF($AB52="","",SUMIFS('Per Line'!$W$2:$W$301,'Per Line'!$E$2:$E$301,$B52,'Per Line'!$AN$2:$AN$301,0,'Per Line'!$AO$2:$AO$301,0))</f>
        <v/>
      </c>
      <c r="T52" s="7">
        <f>IF($AB52="","",S52*R52)</f>
        <v/>
      </c>
      <c r="U52">
        <f>IF($AB52="","",Settings!$C$6)</f>
        <v/>
      </c>
      <c r="V52" s="7">
        <f>IF($AB52="","",SUMIFS('Per Line'!$W$2:$W$301,'Per Line'!$E$2:$E$301,$B52,'Per Line'!$AN$2:$AN$301,1,'Per Line'!$AO$2:$AO$301,0))</f>
        <v/>
      </c>
      <c r="W52" s="7">
        <f>IF($AB52="","",V52*U52)</f>
        <v/>
      </c>
      <c r="X52" s="7">
        <f>IF($AB52="","",W52+T52)</f>
        <v/>
      </c>
      <c r="Y52" s="7">
        <f>IF($AB52="","",Z52-X52)</f>
        <v/>
      </c>
      <c r="Z52" s="7">
        <f>IF($AB52="","",S52+V52+Q52)</f>
        <v/>
      </c>
      <c r="AA52" s="7">
        <f>IF($AB52="","",Z52-X52-O52)</f>
        <v/>
      </c>
      <c r="AB52" s="13">
        <f>IF(ROWS($AB$2:$AB52)&lt;=MAX('Per Line'!$AM$2:$AM$301),MATCH(ROWS($AB$2:$AB52),'Per Line'!$AM$2:$AM$301,0),"")</f>
        <v/>
      </c>
    </row>
    <row r="53">
      <c r="A53" s="12" t="n"/>
      <c r="B53">
        <f>IF($AB53="","",INDEX('Per Line'!$E$2:$E$301,$AB53)&amp;"")</f>
        <v/>
      </c>
      <c r="C53">
        <f>IF($AB53="","",INDEX('Per Line'!$A$2:$A$301,$AB53)&amp;"")</f>
        <v/>
      </c>
      <c r="D53">
        <f>IF($AB53="","",INDEX('Per Line'!$B$2:$B$301,$AB53))</f>
        <v/>
      </c>
      <c r="E53">
        <f>IF($AB53="","",INDEX('Per Line'!$C$2:$C$301,$AB53)&amp;"")</f>
        <v/>
      </c>
      <c r="F53">
        <f>IF($AB53="","",INDEX('Per Line'!$D$2:$D$301,$AB53)&amp;"")</f>
        <v/>
      </c>
      <c r="G53">
        <f>IF($AB53="","",INDEX('Per Line'!$F$2:$F$301,$AB53)&amp;"")</f>
        <v/>
      </c>
      <c r="H53" s="11">
        <f>IF($AB53="","",INDEX('Per Line'!$G$2:$G$301,$AB53))</f>
        <v/>
      </c>
      <c r="I53">
        <f>IF($AB53="","",INDEX('Per Line'!$H$2:$H$301,$AB53)&amp;"")</f>
        <v/>
      </c>
      <c r="J53">
        <f>IF($AB53="","",INDEX('Per Line'!$J$2:$J$301,$AB53)&amp;"")</f>
        <v/>
      </c>
      <c r="K53">
        <f>IF($AB53="","",INDEX('Per Line'!$K$2:$K$301,$AB53)&amp;"")</f>
        <v/>
      </c>
      <c r="L53">
        <f>IF($AB53="","",INDEX('Per Line'!$L$2:$L$301,$AB53)&amp;"")</f>
        <v/>
      </c>
      <c r="M53">
        <f>IF($AB53="","",INDEX('Per Line'!$M$2:$M$301,$AB53)&amp;"")</f>
        <v/>
      </c>
      <c r="N53">
        <f>IF($AB53="","",INDEX('Per Line'!$N$2:$N$301,$AB53))</f>
        <v/>
      </c>
      <c r="O53" s="7">
        <f>IF($AB53="","",N53*Z53/100)</f>
        <v/>
      </c>
      <c r="P53">
        <f>IF($AB53="","",INDEX('Per Line'!$X$2:$X$301,$AB53)&amp;"")</f>
        <v/>
      </c>
      <c r="Q53" s="7">
        <f>IF($AB53="","",SUMIFS('Per Line'!$W$2:$W$301,'Per Line'!$E$2:$E$301,$B53,'Per Line'!$AO$2:$AO$301,1))</f>
        <v/>
      </c>
      <c r="R53">
        <f>IF($AB53="","",Settings!$C$7)</f>
        <v/>
      </c>
      <c r="S53" s="7">
        <f>IF($AB53="","",SUMIFS('Per Line'!$W$2:$W$301,'Per Line'!$E$2:$E$301,$B53,'Per Line'!$AN$2:$AN$301,0,'Per Line'!$AO$2:$AO$301,0))</f>
        <v/>
      </c>
      <c r="T53" s="7">
        <f>IF($AB53="","",S53*R53)</f>
        <v/>
      </c>
      <c r="U53">
        <f>IF($AB53="","",Settings!$C$6)</f>
        <v/>
      </c>
      <c r="V53" s="7">
        <f>IF($AB53="","",SUMIFS('Per Line'!$W$2:$W$301,'Per Line'!$E$2:$E$301,$B53,'Per Line'!$AN$2:$AN$301,1,'Per Line'!$AO$2:$AO$301,0))</f>
        <v/>
      </c>
      <c r="W53" s="7">
        <f>IF($AB53="","",V53*U53)</f>
        <v/>
      </c>
      <c r="X53" s="7">
        <f>IF($AB53="","",W53+T53)</f>
        <v/>
      </c>
      <c r="Y53" s="7">
        <f>IF($AB53="","",Z53-X53)</f>
        <v/>
      </c>
      <c r="Z53" s="7">
        <f>IF($AB53="","",S53+V53+Q53)</f>
        <v/>
      </c>
      <c r="AA53" s="7">
        <f>IF($AB53="","",Z53-X53-O53)</f>
        <v/>
      </c>
      <c r="AB53" s="13">
        <f>IF(ROWS($AB$2:$AB53)&lt;=MAX('Per Line'!$AM$2:$AM$301),MATCH(ROWS($AB$2:$AB53),'Per Line'!$AM$2:$AM$301,0),"")</f>
        <v/>
      </c>
    </row>
    <row r="54">
      <c r="A54" s="12" t="n"/>
      <c r="B54">
        <f>IF($AB54="","",INDEX('Per Line'!$E$2:$E$301,$AB54)&amp;"")</f>
        <v/>
      </c>
      <c r="C54">
        <f>IF($AB54="","",INDEX('Per Line'!$A$2:$A$301,$AB54)&amp;"")</f>
        <v/>
      </c>
      <c r="D54">
        <f>IF($AB54="","",INDEX('Per Line'!$B$2:$B$301,$AB54))</f>
        <v/>
      </c>
      <c r="E54">
        <f>IF($AB54="","",INDEX('Per Line'!$C$2:$C$301,$AB54)&amp;"")</f>
        <v/>
      </c>
      <c r="F54">
        <f>IF($AB54="","",INDEX('Per Line'!$D$2:$D$301,$AB54)&amp;"")</f>
        <v/>
      </c>
      <c r="G54">
        <f>IF($AB54="","",INDEX('Per Line'!$F$2:$F$301,$AB54)&amp;"")</f>
        <v/>
      </c>
      <c r="H54" s="11">
        <f>IF($AB54="","",INDEX('Per Line'!$G$2:$G$301,$AB54))</f>
        <v/>
      </c>
      <c r="I54">
        <f>IF($AB54="","",INDEX('Per Line'!$H$2:$H$301,$AB54)&amp;"")</f>
        <v/>
      </c>
      <c r="J54">
        <f>IF($AB54="","",INDEX('Per Line'!$J$2:$J$301,$AB54)&amp;"")</f>
        <v/>
      </c>
      <c r="K54">
        <f>IF($AB54="","",INDEX('Per Line'!$K$2:$K$301,$AB54)&amp;"")</f>
        <v/>
      </c>
      <c r="L54">
        <f>IF($AB54="","",INDEX('Per Line'!$L$2:$L$301,$AB54)&amp;"")</f>
        <v/>
      </c>
      <c r="M54">
        <f>IF($AB54="","",INDEX('Per Line'!$M$2:$M$301,$AB54)&amp;"")</f>
        <v/>
      </c>
      <c r="N54">
        <f>IF($AB54="","",INDEX('Per Line'!$N$2:$N$301,$AB54))</f>
        <v/>
      </c>
      <c r="O54" s="7">
        <f>IF($AB54="","",N54*Z54/100)</f>
        <v/>
      </c>
      <c r="P54">
        <f>IF($AB54="","",INDEX('Per Line'!$X$2:$X$301,$AB54)&amp;"")</f>
        <v/>
      </c>
      <c r="Q54" s="7">
        <f>IF($AB54="","",SUMIFS('Per Line'!$W$2:$W$301,'Per Line'!$E$2:$E$301,$B54,'Per Line'!$AO$2:$AO$301,1))</f>
        <v/>
      </c>
      <c r="R54">
        <f>IF($AB54="","",Settings!$C$7)</f>
        <v/>
      </c>
      <c r="S54" s="7">
        <f>IF($AB54="","",SUMIFS('Per Line'!$W$2:$W$301,'Per Line'!$E$2:$E$301,$B54,'Per Line'!$AN$2:$AN$301,0,'Per Line'!$AO$2:$AO$301,0))</f>
        <v/>
      </c>
      <c r="T54" s="7">
        <f>IF($AB54="","",S54*R54)</f>
        <v/>
      </c>
      <c r="U54">
        <f>IF($AB54="","",Settings!$C$6)</f>
        <v/>
      </c>
      <c r="V54" s="7">
        <f>IF($AB54="","",SUMIFS('Per Line'!$W$2:$W$301,'Per Line'!$E$2:$E$301,$B54,'Per Line'!$AN$2:$AN$301,1,'Per Line'!$AO$2:$AO$301,0))</f>
        <v/>
      </c>
      <c r="W54" s="7">
        <f>IF($AB54="","",V54*U54)</f>
        <v/>
      </c>
      <c r="X54" s="7">
        <f>IF($AB54="","",W54+T54)</f>
        <v/>
      </c>
      <c r="Y54" s="7">
        <f>IF($AB54="","",Z54-X54)</f>
        <v/>
      </c>
      <c r="Z54" s="7">
        <f>IF($AB54="","",S54+V54+Q54)</f>
        <v/>
      </c>
      <c r="AA54" s="7">
        <f>IF($AB54="","",Z54-X54-O54)</f>
        <v/>
      </c>
      <c r="AB54" s="13">
        <f>IF(ROWS($AB$2:$AB54)&lt;=MAX('Per Line'!$AM$2:$AM$301),MATCH(ROWS($AB$2:$AB54),'Per Line'!$AM$2:$AM$301,0),"")</f>
        <v/>
      </c>
    </row>
    <row r="55">
      <c r="A55" s="12" t="n"/>
      <c r="B55">
        <f>IF($AB55="","",INDEX('Per Line'!$E$2:$E$301,$AB55)&amp;"")</f>
        <v/>
      </c>
      <c r="C55">
        <f>IF($AB55="","",INDEX('Per Line'!$A$2:$A$301,$AB55)&amp;"")</f>
        <v/>
      </c>
      <c r="D55">
        <f>IF($AB55="","",INDEX('Per Line'!$B$2:$B$301,$AB55))</f>
        <v/>
      </c>
      <c r="E55">
        <f>IF($AB55="","",INDEX('Per Line'!$C$2:$C$301,$AB55)&amp;"")</f>
        <v/>
      </c>
      <c r="F55">
        <f>IF($AB55="","",INDEX('Per Line'!$D$2:$D$301,$AB55)&amp;"")</f>
        <v/>
      </c>
      <c r="G55">
        <f>IF($AB55="","",INDEX('Per Line'!$F$2:$F$301,$AB55)&amp;"")</f>
        <v/>
      </c>
      <c r="H55" s="11">
        <f>IF($AB55="","",INDEX('Per Line'!$G$2:$G$301,$AB55))</f>
        <v/>
      </c>
      <c r="I55">
        <f>IF($AB55="","",INDEX('Per Line'!$H$2:$H$301,$AB55)&amp;"")</f>
        <v/>
      </c>
      <c r="J55">
        <f>IF($AB55="","",INDEX('Per Line'!$J$2:$J$301,$AB55)&amp;"")</f>
        <v/>
      </c>
      <c r="K55">
        <f>IF($AB55="","",INDEX('Per Line'!$K$2:$K$301,$AB55)&amp;"")</f>
        <v/>
      </c>
      <c r="L55">
        <f>IF($AB55="","",INDEX('Per Line'!$L$2:$L$301,$AB55)&amp;"")</f>
        <v/>
      </c>
      <c r="M55">
        <f>IF($AB55="","",INDEX('Per Line'!$M$2:$M$301,$AB55)&amp;"")</f>
        <v/>
      </c>
      <c r="N55">
        <f>IF($AB55="","",INDEX('Per Line'!$N$2:$N$301,$AB55))</f>
        <v/>
      </c>
      <c r="O55" s="7">
        <f>IF($AB55="","",N55*Z55/100)</f>
        <v/>
      </c>
      <c r="P55">
        <f>IF($AB55="","",INDEX('Per Line'!$X$2:$X$301,$AB55)&amp;"")</f>
        <v/>
      </c>
      <c r="Q55" s="7">
        <f>IF($AB55="","",SUMIFS('Per Line'!$W$2:$W$301,'Per Line'!$E$2:$E$301,$B55,'Per Line'!$AO$2:$AO$301,1))</f>
        <v/>
      </c>
      <c r="R55">
        <f>IF($AB55="","",Settings!$C$7)</f>
        <v/>
      </c>
      <c r="S55" s="7">
        <f>IF($AB55="","",SUMIFS('Per Line'!$W$2:$W$301,'Per Line'!$E$2:$E$301,$B55,'Per Line'!$AN$2:$AN$301,0,'Per Line'!$AO$2:$AO$301,0))</f>
        <v/>
      </c>
      <c r="T55" s="7">
        <f>IF($AB55="","",S55*R55)</f>
        <v/>
      </c>
      <c r="U55">
        <f>IF($AB55="","",Settings!$C$6)</f>
        <v/>
      </c>
      <c r="V55" s="7">
        <f>IF($AB55="","",SUMIFS('Per Line'!$W$2:$W$301,'Per Line'!$E$2:$E$301,$B55,'Per Line'!$AN$2:$AN$301,1,'Per Line'!$AO$2:$AO$301,0))</f>
        <v/>
      </c>
      <c r="W55" s="7">
        <f>IF($AB55="","",V55*U55)</f>
        <v/>
      </c>
      <c r="X55" s="7">
        <f>IF($AB55="","",W55+T55)</f>
        <v/>
      </c>
      <c r="Y55" s="7">
        <f>IF($AB55="","",Z55-X55)</f>
        <v/>
      </c>
      <c r="Z55" s="7">
        <f>IF($AB55="","",S55+V55+Q55)</f>
        <v/>
      </c>
      <c r="AA55" s="7">
        <f>IF($AB55="","",Z55-X55-O55)</f>
        <v/>
      </c>
      <c r="AB55" s="13">
        <f>IF(ROWS($AB$2:$AB55)&lt;=MAX('Per Line'!$AM$2:$AM$301),MATCH(ROWS($AB$2:$AB55),'Per Line'!$AM$2:$AM$301,0),"")</f>
        <v/>
      </c>
    </row>
    <row r="56">
      <c r="A56" s="12" t="n"/>
      <c r="B56">
        <f>IF($AB56="","",INDEX('Per Line'!$E$2:$E$301,$AB56)&amp;"")</f>
        <v/>
      </c>
      <c r="C56">
        <f>IF($AB56="","",INDEX('Per Line'!$A$2:$A$301,$AB56)&amp;"")</f>
        <v/>
      </c>
      <c r="D56">
        <f>IF($AB56="","",INDEX('Per Line'!$B$2:$B$301,$AB56))</f>
        <v/>
      </c>
      <c r="E56">
        <f>IF($AB56="","",INDEX('Per Line'!$C$2:$C$301,$AB56)&amp;"")</f>
        <v/>
      </c>
      <c r="F56">
        <f>IF($AB56="","",INDEX('Per Line'!$D$2:$D$301,$AB56)&amp;"")</f>
        <v/>
      </c>
      <c r="G56">
        <f>IF($AB56="","",INDEX('Per Line'!$F$2:$F$301,$AB56)&amp;"")</f>
        <v/>
      </c>
      <c r="H56" s="11">
        <f>IF($AB56="","",INDEX('Per Line'!$G$2:$G$301,$AB56))</f>
        <v/>
      </c>
      <c r="I56">
        <f>IF($AB56="","",INDEX('Per Line'!$H$2:$H$301,$AB56)&amp;"")</f>
        <v/>
      </c>
      <c r="J56">
        <f>IF($AB56="","",INDEX('Per Line'!$J$2:$J$301,$AB56)&amp;"")</f>
        <v/>
      </c>
      <c r="K56">
        <f>IF($AB56="","",INDEX('Per Line'!$K$2:$K$301,$AB56)&amp;"")</f>
        <v/>
      </c>
      <c r="L56">
        <f>IF($AB56="","",INDEX('Per Line'!$L$2:$L$301,$AB56)&amp;"")</f>
        <v/>
      </c>
      <c r="M56">
        <f>IF($AB56="","",INDEX('Per Line'!$M$2:$M$301,$AB56)&amp;"")</f>
        <v/>
      </c>
      <c r="N56">
        <f>IF($AB56="","",INDEX('Per Line'!$N$2:$N$301,$AB56))</f>
        <v/>
      </c>
      <c r="O56" s="7">
        <f>IF($AB56="","",N56*Z56/100)</f>
        <v/>
      </c>
      <c r="P56">
        <f>IF($AB56="","",INDEX('Per Line'!$X$2:$X$301,$AB56)&amp;"")</f>
        <v/>
      </c>
      <c r="Q56" s="7">
        <f>IF($AB56="","",SUMIFS('Per Line'!$W$2:$W$301,'Per Line'!$E$2:$E$301,$B56,'Per Line'!$AO$2:$AO$301,1))</f>
        <v/>
      </c>
      <c r="R56">
        <f>IF($AB56="","",Settings!$C$7)</f>
        <v/>
      </c>
      <c r="S56" s="7">
        <f>IF($AB56="","",SUMIFS('Per Line'!$W$2:$W$301,'Per Line'!$E$2:$E$301,$B56,'Per Line'!$AN$2:$AN$301,0,'Per Line'!$AO$2:$AO$301,0))</f>
        <v/>
      </c>
      <c r="T56" s="7">
        <f>IF($AB56="","",S56*R56)</f>
        <v/>
      </c>
      <c r="U56">
        <f>IF($AB56="","",Settings!$C$6)</f>
        <v/>
      </c>
      <c r="V56" s="7">
        <f>IF($AB56="","",SUMIFS('Per Line'!$W$2:$W$301,'Per Line'!$E$2:$E$301,$B56,'Per Line'!$AN$2:$AN$301,1,'Per Line'!$AO$2:$AO$301,0))</f>
        <v/>
      </c>
      <c r="W56" s="7">
        <f>IF($AB56="","",V56*U56)</f>
        <v/>
      </c>
      <c r="X56" s="7">
        <f>IF($AB56="","",W56+T56)</f>
        <v/>
      </c>
      <c r="Y56" s="7">
        <f>IF($AB56="","",Z56-X56)</f>
        <v/>
      </c>
      <c r="Z56" s="7">
        <f>IF($AB56="","",S56+V56+Q56)</f>
        <v/>
      </c>
      <c r="AA56" s="7">
        <f>IF($AB56="","",Z56-X56-O56)</f>
        <v/>
      </c>
      <c r="AB56" s="13">
        <f>IF(ROWS($AB$2:$AB56)&lt;=MAX('Per Line'!$AM$2:$AM$301),MATCH(ROWS($AB$2:$AB56),'Per Line'!$AM$2:$AM$301,0),"")</f>
        <v/>
      </c>
    </row>
    <row r="57">
      <c r="A57" s="12" t="n"/>
      <c r="B57">
        <f>IF($AB57="","",INDEX('Per Line'!$E$2:$E$301,$AB57)&amp;"")</f>
        <v/>
      </c>
      <c r="C57">
        <f>IF($AB57="","",INDEX('Per Line'!$A$2:$A$301,$AB57)&amp;"")</f>
        <v/>
      </c>
      <c r="D57">
        <f>IF($AB57="","",INDEX('Per Line'!$B$2:$B$301,$AB57))</f>
        <v/>
      </c>
      <c r="E57">
        <f>IF($AB57="","",INDEX('Per Line'!$C$2:$C$301,$AB57)&amp;"")</f>
        <v/>
      </c>
      <c r="F57">
        <f>IF($AB57="","",INDEX('Per Line'!$D$2:$D$301,$AB57)&amp;"")</f>
        <v/>
      </c>
      <c r="G57">
        <f>IF($AB57="","",INDEX('Per Line'!$F$2:$F$301,$AB57)&amp;"")</f>
        <v/>
      </c>
      <c r="H57" s="11">
        <f>IF($AB57="","",INDEX('Per Line'!$G$2:$G$301,$AB57))</f>
        <v/>
      </c>
      <c r="I57">
        <f>IF($AB57="","",INDEX('Per Line'!$H$2:$H$301,$AB57)&amp;"")</f>
        <v/>
      </c>
      <c r="J57">
        <f>IF($AB57="","",INDEX('Per Line'!$J$2:$J$301,$AB57)&amp;"")</f>
        <v/>
      </c>
      <c r="K57">
        <f>IF($AB57="","",INDEX('Per Line'!$K$2:$K$301,$AB57)&amp;"")</f>
        <v/>
      </c>
      <c r="L57">
        <f>IF($AB57="","",INDEX('Per Line'!$L$2:$L$301,$AB57)&amp;"")</f>
        <v/>
      </c>
      <c r="M57">
        <f>IF($AB57="","",INDEX('Per Line'!$M$2:$M$301,$AB57)&amp;"")</f>
        <v/>
      </c>
      <c r="N57">
        <f>IF($AB57="","",INDEX('Per Line'!$N$2:$N$301,$AB57))</f>
        <v/>
      </c>
      <c r="O57" s="7">
        <f>IF($AB57="","",N57*Z57/100)</f>
        <v/>
      </c>
      <c r="P57">
        <f>IF($AB57="","",INDEX('Per Line'!$X$2:$X$301,$AB57)&amp;"")</f>
        <v/>
      </c>
      <c r="Q57" s="7">
        <f>IF($AB57="","",SUMIFS('Per Line'!$W$2:$W$301,'Per Line'!$E$2:$E$301,$B57,'Per Line'!$AO$2:$AO$301,1))</f>
        <v/>
      </c>
      <c r="R57">
        <f>IF($AB57="","",Settings!$C$7)</f>
        <v/>
      </c>
      <c r="S57" s="7">
        <f>IF($AB57="","",SUMIFS('Per Line'!$W$2:$W$301,'Per Line'!$E$2:$E$301,$B57,'Per Line'!$AN$2:$AN$301,0,'Per Line'!$AO$2:$AO$301,0))</f>
        <v/>
      </c>
      <c r="T57" s="7">
        <f>IF($AB57="","",S57*R57)</f>
        <v/>
      </c>
      <c r="U57">
        <f>IF($AB57="","",Settings!$C$6)</f>
        <v/>
      </c>
      <c r="V57" s="7">
        <f>IF($AB57="","",SUMIFS('Per Line'!$W$2:$W$301,'Per Line'!$E$2:$E$301,$B57,'Per Line'!$AN$2:$AN$301,1,'Per Line'!$AO$2:$AO$301,0))</f>
        <v/>
      </c>
      <c r="W57" s="7">
        <f>IF($AB57="","",V57*U57)</f>
        <v/>
      </c>
      <c r="X57" s="7">
        <f>IF($AB57="","",W57+T57)</f>
        <v/>
      </c>
      <c r="Y57" s="7">
        <f>IF($AB57="","",Z57-X57)</f>
        <v/>
      </c>
      <c r="Z57" s="7">
        <f>IF($AB57="","",S57+V57+Q57)</f>
        <v/>
      </c>
      <c r="AA57" s="7">
        <f>IF($AB57="","",Z57-X57-O57)</f>
        <v/>
      </c>
      <c r="AB57" s="13">
        <f>IF(ROWS($AB$2:$AB57)&lt;=MAX('Per Line'!$AM$2:$AM$301),MATCH(ROWS($AB$2:$AB57),'Per Line'!$AM$2:$AM$301,0),"")</f>
        <v/>
      </c>
    </row>
    <row r="58">
      <c r="A58" s="12" t="n"/>
      <c r="B58">
        <f>IF($AB58="","",INDEX('Per Line'!$E$2:$E$301,$AB58)&amp;"")</f>
        <v/>
      </c>
      <c r="C58">
        <f>IF($AB58="","",INDEX('Per Line'!$A$2:$A$301,$AB58)&amp;"")</f>
        <v/>
      </c>
      <c r="D58">
        <f>IF($AB58="","",INDEX('Per Line'!$B$2:$B$301,$AB58))</f>
        <v/>
      </c>
      <c r="E58">
        <f>IF($AB58="","",INDEX('Per Line'!$C$2:$C$301,$AB58)&amp;"")</f>
        <v/>
      </c>
      <c r="F58">
        <f>IF($AB58="","",INDEX('Per Line'!$D$2:$D$301,$AB58)&amp;"")</f>
        <v/>
      </c>
      <c r="G58">
        <f>IF($AB58="","",INDEX('Per Line'!$F$2:$F$301,$AB58)&amp;"")</f>
        <v/>
      </c>
      <c r="H58" s="11">
        <f>IF($AB58="","",INDEX('Per Line'!$G$2:$G$301,$AB58))</f>
        <v/>
      </c>
      <c r="I58">
        <f>IF($AB58="","",INDEX('Per Line'!$H$2:$H$301,$AB58)&amp;"")</f>
        <v/>
      </c>
      <c r="J58">
        <f>IF($AB58="","",INDEX('Per Line'!$J$2:$J$301,$AB58)&amp;"")</f>
        <v/>
      </c>
      <c r="K58">
        <f>IF($AB58="","",INDEX('Per Line'!$K$2:$K$301,$AB58)&amp;"")</f>
        <v/>
      </c>
      <c r="L58">
        <f>IF($AB58="","",INDEX('Per Line'!$L$2:$L$301,$AB58)&amp;"")</f>
        <v/>
      </c>
      <c r="M58">
        <f>IF($AB58="","",INDEX('Per Line'!$M$2:$M$301,$AB58)&amp;"")</f>
        <v/>
      </c>
      <c r="N58">
        <f>IF($AB58="","",INDEX('Per Line'!$N$2:$N$301,$AB58))</f>
        <v/>
      </c>
      <c r="O58" s="7">
        <f>IF($AB58="","",N58*Z58/100)</f>
        <v/>
      </c>
      <c r="P58">
        <f>IF($AB58="","",INDEX('Per Line'!$X$2:$X$301,$AB58)&amp;"")</f>
        <v/>
      </c>
      <c r="Q58" s="7">
        <f>IF($AB58="","",SUMIFS('Per Line'!$W$2:$W$301,'Per Line'!$E$2:$E$301,$B58,'Per Line'!$AO$2:$AO$301,1))</f>
        <v/>
      </c>
      <c r="R58">
        <f>IF($AB58="","",Settings!$C$7)</f>
        <v/>
      </c>
      <c r="S58" s="7">
        <f>IF($AB58="","",SUMIFS('Per Line'!$W$2:$W$301,'Per Line'!$E$2:$E$301,$B58,'Per Line'!$AN$2:$AN$301,0,'Per Line'!$AO$2:$AO$301,0))</f>
        <v/>
      </c>
      <c r="T58" s="7">
        <f>IF($AB58="","",S58*R58)</f>
        <v/>
      </c>
      <c r="U58">
        <f>IF($AB58="","",Settings!$C$6)</f>
        <v/>
      </c>
      <c r="V58" s="7">
        <f>IF($AB58="","",SUMIFS('Per Line'!$W$2:$W$301,'Per Line'!$E$2:$E$301,$B58,'Per Line'!$AN$2:$AN$301,1,'Per Line'!$AO$2:$AO$301,0))</f>
        <v/>
      </c>
      <c r="W58" s="7">
        <f>IF($AB58="","",V58*U58)</f>
        <v/>
      </c>
      <c r="X58" s="7">
        <f>IF($AB58="","",W58+T58)</f>
        <v/>
      </c>
      <c r="Y58" s="7">
        <f>IF($AB58="","",Z58-X58)</f>
        <v/>
      </c>
      <c r="Z58" s="7">
        <f>IF($AB58="","",S58+V58+Q58)</f>
        <v/>
      </c>
      <c r="AA58" s="7">
        <f>IF($AB58="","",Z58-X58-O58)</f>
        <v/>
      </c>
      <c r="AB58" s="13">
        <f>IF(ROWS($AB$2:$AB58)&lt;=MAX('Per Line'!$AM$2:$AM$301),MATCH(ROWS($AB$2:$AB58),'Per Line'!$AM$2:$AM$301,0),"")</f>
        <v/>
      </c>
    </row>
    <row r="59">
      <c r="A59" s="12" t="n"/>
      <c r="B59">
        <f>IF($AB59="","",INDEX('Per Line'!$E$2:$E$301,$AB59)&amp;"")</f>
        <v/>
      </c>
      <c r="C59">
        <f>IF($AB59="","",INDEX('Per Line'!$A$2:$A$301,$AB59)&amp;"")</f>
        <v/>
      </c>
      <c r="D59">
        <f>IF($AB59="","",INDEX('Per Line'!$B$2:$B$301,$AB59))</f>
        <v/>
      </c>
      <c r="E59">
        <f>IF($AB59="","",INDEX('Per Line'!$C$2:$C$301,$AB59)&amp;"")</f>
        <v/>
      </c>
      <c r="F59">
        <f>IF($AB59="","",INDEX('Per Line'!$D$2:$D$301,$AB59)&amp;"")</f>
        <v/>
      </c>
      <c r="G59">
        <f>IF($AB59="","",INDEX('Per Line'!$F$2:$F$301,$AB59)&amp;"")</f>
        <v/>
      </c>
      <c r="H59" s="11">
        <f>IF($AB59="","",INDEX('Per Line'!$G$2:$G$301,$AB59))</f>
        <v/>
      </c>
      <c r="I59">
        <f>IF($AB59="","",INDEX('Per Line'!$H$2:$H$301,$AB59)&amp;"")</f>
        <v/>
      </c>
      <c r="J59">
        <f>IF($AB59="","",INDEX('Per Line'!$J$2:$J$301,$AB59)&amp;"")</f>
        <v/>
      </c>
      <c r="K59">
        <f>IF($AB59="","",INDEX('Per Line'!$K$2:$K$301,$AB59)&amp;"")</f>
        <v/>
      </c>
      <c r="L59">
        <f>IF($AB59="","",INDEX('Per Line'!$L$2:$L$301,$AB59)&amp;"")</f>
        <v/>
      </c>
      <c r="M59">
        <f>IF($AB59="","",INDEX('Per Line'!$M$2:$M$301,$AB59)&amp;"")</f>
        <v/>
      </c>
      <c r="N59">
        <f>IF($AB59="","",INDEX('Per Line'!$N$2:$N$301,$AB59))</f>
        <v/>
      </c>
      <c r="O59" s="7">
        <f>IF($AB59="","",N59*Z59/100)</f>
        <v/>
      </c>
      <c r="P59">
        <f>IF($AB59="","",INDEX('Per Line'!$X$2:$X$301,$AB59)&amp;"")</f>
        <v/>
      </c>
      <c r="Q59" s="7">
        <f>IF($AB59="","",SUMIFS('Per Line'!$W$2:$W$301,'Per Line'!$E$2:$E$301,$B59,'Per Line'!$AO$2:$AO$301,1))</f>
        <v/>
      </c>
      <c r="R59">
        <f>IF($AB59="","",Settings!$C$7)</f>
        <v/>
      </c>
      <c r="S59" s="7">
        <f>IF($AB59="","",SUMIFS('Per Line'!$W$2:$W$301,'Per Line'!$E$2:$E$301,$B59,'Per Line'!$AN$2:$AN$301,0,'Per Line'!$AO$2:$AO$301,0))</f>
        <v/>
      </c>
      <c r="T59" s="7">
        <f>IF($AB59="","",S59*R59)</f>
        <v/>
      </c>
      <c r="U59">
        <f>IF($AB59="","",Settings!$C$6)</f>
        <v/>
      </c>
      <c r="V59" s="7">
        <f>IF($AB59="","",SUMIFS('Per Line'!$W$2:$W$301,'Per Line'!$E$2:$E$301,$B59,'Per Line'!$AN$2:$AN$301,1,'Per Line'!$AO$2:$AO$301,0))</f>
        <v/>
      </c>
      <c r="W59" s="7">
        <f>IF($AB59="","",V59*U59)</f>
        <v/>
      </c>
      <c r="X59" s="7">
        <f>IF($AB59="","",W59+T59)</f>
        <v/>
      </c>
      <c r="Y59" s="7">
        <f>IF($AB59="","",Z59-X59)</f>
        <v/>
      </c>
      <c r="Z59" s="7">
        <f>IF($AB59="","",S59+V59+Q59)</f>
        <v/>
      </c>
      <c r="AA59" s="7">
        <f>IF($AB59="","",Z59-X59-O59)</f>
        <v/>
      </c>
      <c r="AB59" s="13">
        <f>IF(ROWS($AB$2:$AB59)&lt;=MAX('Per Line'!$AM$2:$AM$301),MATCH(ROWS($AB$2:$AB59),'Per Line'!$AM$2:$AM$301,0),"")</f>
        <v/>
      </c>
    </row>
    <row r="60">
      <c r="A60" s="12" t="n"/>
      <c r="B60">
        <f>IF($AB60="","",INDEX('Per Line'!$E$2:$E$301,$AB60)&amp;"")</f>
        <v/>
      </c>
      <c r="C60">
        <f>IF($AB60="","",INDEX('Per Line'!$A$2:$A$301,$AB60)&amp;"")</f>
        <v/>
      </c>
      <c r="D60">
        <f>IF($AB60="","",INDEX('Per Line'!$B$2:$B$301,$AB60))</f>
        <v/>
      </c>
      <c r="E60">
        <f>IF($AB60="","",INDEX('Per Line'!$C$2:$C$301,$AB60)&amp;"")</f>
        <v/>
      </c>
      <c r="F60">
        <f>IF($AB60="","",INDEX('Per Line'!$D$2:$D$301,$AB60)&amp;"")</f>
        <v/>
      </c>
      <c r="G60">
        <f>IF($AB60="","",INDEX('Per Line'!$F$2:$F$301,$AB60)&amp;"")</f>
        <v/>
      </c>
      <c r="H60" s="11">
        <f>IF($AB60="","",INDEX('Per Line'!$G$2:$G$301,$AB60))</f>
        <v/>
      </c>
      <c r="I60">
        <f>IF($AB60="","",INDEX('Per Line'!$H$2:$H$301,$AB60)&amp;"")</f>
        <v/>
      </c>
      <c r="J60">
        <f>IF($AB60="","",INDEX('Per Line'!$J$2:$J$301,$AB60)&amp;"")</f>
        <v/>
      </c>
      <c r="K60">
        <f>IF($AB60="","",INDEX('Per Line'!$K$2:$K$301,$AB60)&amp;"")</f>
        <v/>
      </c>
      <c r="L60">
        <f>IF($AB60="","",INDEX('Per Line'!$L$2:$L$301,$AB60)&amp;"")</f>
        <v/>
      </c>
      <c r="M60">
        <f>IF($AB60="","",INDEX('Per Line'!$M$2:$M$301,$AB60)&amp;"")</f>
        <v/>
      </c>
      <c r="N60">
        <f>IF($AB60="","",INDEX('Per Line'!$N$2:$N$301,$AB60))</f>
        <v/>
      </c>
      <c r="O60" s="7">
        <f>IF($AB60="","",N60*Z60/100)</f>
        <v/>
      </c>
      <c r="P60">
        <f>IF($AB60="","",INDEX('Per Line'!$X$2:$X$301,$AB60)&amp;"")</f>
        <v/>
      </c>
      <c r="Q60" s="7">
        <f>IF($AB60="","",SUMIFS('Per Line'!$W$2:$W$301,'Per Line'!$E$2:$E$301,$B60,'Per Line'!$AO$2:$AO$301,1))</f>
        <v/>
      </c>
      <c r="R60">
        <f>IF($AB60="","",Settings!$C$7)</f>
        <v/>
      </c>
      <c r="S60" s="7">
        <f>IF($AB60="","",SUMIFS('Per Line'!$W$2:$W$301,'Per Line'!$E$2:$E$301,$B60,'Per Line'!$AN$2:$AN$301,0,'Per Line'!$AO$2:$AO$301,0))</f>
        <v/>
      </c>
      <c r="T60" s="7">
        <f>IF($AB60="","",S60*R60)</f>
        <v/>
      </c>
      <c r="U60">
        <f>IF($AB60="","",Settings!$C$6)</f>
        <v/>
      </c>
      <c r="V60" s="7">
        <f>IF($AB60="","",SUMIFS('Per Line'!$W$2:$W$301,'Per Line'!$E$2:$E$301,$B60,'Per Line'!$AN$2:$AN$301,1,'Per Line'!$AO$2:$AO$301,0))</f>
        <v/>
      </c>
      <c r="W60" s="7">
        <f>IF($AB60="","",V60*U60)</f>
        <v/>
      </c>
      <c r="X60" s="7">
        <f>IF($AB60="","",W60+T60)</f>
        <v/>
      </c>
      <c r="Y60" s="7">
        <f>IF($AB60="","",Z60-X60)</f>
        <v/>
      </c>
      <c r="Z60" s="7">
        <f>IF($AB60="","",S60+V60+Q60)</f>
        <v/>
      </c>
      <c r="AA60" s="7">
        <f>IF($AB60="","",Z60-X60-O60)</f>
        <v/>
      </c>
      <c r="AB60" s="13">
        <f>IF(ROWS($AB$2:$AB60)&lt;=MAX('Per Line'!$AM$2:$AM$301),MATCH(ROWS($AB$2:$AB60),'Per Line'!$AM$2:$AM$301,0),"")</f>
        <v/>
      </c>
    </row>
    <row r="61">
      <c r="A61" s="12" t="n"/>
      <c r="B61">
        <f>IF($AB61="","",INDEX('Per Line'!$E$2:$E$301,$AB61)&amp;"")</f>
        <v/>
      </c>
      <c r="C61">
        <f>IF($AB61="","",INDEX('Per Line'!$A$2:$A$301,$AB61)&amp;"")</f>
        <v/>
      </c>
      <c r="D61">
        <f>IF($AB61="","",INDEX('Per Line'!$B$2:$B$301,$AB61))</f>
        <v/>
      </c>
      <c r="E61">
        <f>IF($AB61="","",INDEX('Per Line'!$C$2:$C$301,$AB61)&amp;"")</f>
        <v/>
      </c>
      <c r="F61">
        <f>IF($AB61="","",INDEX('Per Line'!$D$2:$D$301,$AB61)&amp;"")</f>
        <v/>
      </c>
      <c r="G61">
        <f>IF($AB61="","",INDEX('Per Line'!$F$2:$F$301,$AB61)&amp;"")</f>
        <v/>
      </c>
      <c r="H61" s="11">
        <f>IF($AB61="","",INDEX('Per Line'!$G$2:$G$301,$AB61))</f>
        <v/>
      </c>
      <c r="I61">
        <f>IF($AB61="","",INDEX('Per Line'!$H$2:$H$301,$AB61)&amp;"")</f>
        <v/>
      </c>
      <c r="J61">
        <f>IF($AB61="","",INDEX('Per Line'!$J$2:$J$301,$AB61)&amp;"")</f>
        <v/>
      </c>
      <c r="K61">
        <f>IF($AB61="","",INDEX('Per Line'!$K$2:$K$301,$AB61)&amp;"")</f>
        <v/>
      </c>
      <c r="L61">
        <f>IF($AB61="","",INDEX('Per Line'!$L$2:$L$301,$AB61)&amp;"")</f>
        <v/>
      </c>
      <c r="M61">
        <f>IF($AB61="","",INDEX('Per Line'!$M$2:$M$301,$AB61)&amp;"")</f>
        <v/>
      </c>
      <c r="N61">
        <f>IF($AB61="","",INDEX('Per Line'!$N$2:$N$301,$AB61))</f>
        <v/>
      </c>
      <c r="O61" s="7">
        <f>IF($AB61="","",N61*Z61/100)</f>
        <v/>
      </c>
      <c r="P61">
        <f>IF($AB61="","",INDEX('Per Line'!$X$2:$X$301,$AB61)&amp;"")</f>
        <v/>
      </c>
      <c r="Q61" s="7">
        <f>IF($AB61="","",SUMIFS('Per Line'!$W$2:$W$301,'Per Line'!$E$2:$E$301,$B61,'Per Line'!$AO$2:$AO$301,1))</f>
        <v/>
      </c>
      <c r="R61">
        <f>IF($AB61="","",Settings!$C$7)</f>
        <v/>
      </c>
      <c r="S61" s="7">
        <f>IF($AB61="","",SUMIFS('Per Line'!$W$2:$W$301,'Per Line'!$E$2:$E$301,$B61,'Per Line'!$AN$2:$AN$301,0,'Per Line'!$AO$2:$AO$301,0))</f>
        <v/>
      </c>
      <c r="T61" s="7">
        <f>IF($AB61="","",S61*R61)</f>
        <v/>
      </c>
      <c r="U61">
        <f>IF($AB61="","",Settings!$C$6)</f>
        <v/>
      </c>
      <c r="V61" s="7">
        <f>IF($AB61="","",SUMIFS('Per Line'!$W$2:$W$301,'Per Line'!$E$2:$E$301,$B61,'Per Line'!$AN$2:$AN$301,1,'Per Line'!$AO$2:$AO$301,0))</f>
        <v/>
      </c>
      <c r="W61" s="7">
        <f>IF($AB61="","",V61*U61)</f>
        <v/>
      </c>
      <c r="X61" s="7">
        <f>IF($AB61="","",W61+T61)</f>
        <v/>
      </c>
      <c r="Y61" s="7">
        <f>IF($AB61="","",Z61-X61)</f>
        <v/>
      </c>
      <c r="Z61" s="7">
        <f>IF($AB61="","",S61+V61+Q61)</f>
        <v/>
      </c>
      <c r="AA61" s="7">
        <f>IF($AB61="","",Z61-X61-O61)</f>
        <v/>
      </c>
      <c r="AB61" s="13">
        <f>IF(ROWS($AB$2:$AB61)&lt;=MAX('Per Line'!$AM$2:$AM$301),MATCH(ROWS($AB$2:$AB61),'Per Line'!$AM$2:$AM$301,0),"")</f>
        <v/>
      </c>
    </row>
    <row r="62">
      <c r="A62" s="12" t="n"/>
      <c r="B62">
        <f>IF($AB62="","",INDEX('Per Line'!$E$2:$E$301,$AB62)&amp;"")</f>
        <v/>
      </c>
      <c r="C62">
        <f>IF($AB62="","",INDEX('Per Line'!$A$2:$A$301,$AB62)&amp;"")</f>
        <v/>
      </c>
      <c r="D62">
        <f>IF($AB62="","",INDEX('Per Line'!$B$2:$B$301,$AB62))</f>
        <v/>
      </c>
      <c r="E62">
        <f>IF($AB62="","",INDEX('Per Line'!$C$2:$C$301,$AB62)&amp;"")</f>
        <v/>
      </c>
      <c r="F62">
        <f>IF($AB62="","",INDEX('Per Line'!$D$2:$D$301,$AB62)&amp;"")</f>
        <v/>
      </c>
      <c r="G62">
        <f>IF($AB62="","",INDEX('Per Line'!$F$2:$F$301,$AB62)&amp;"")</f>
        <v/>
      </c>
      <c r="H62" s="11">
        <f>IF($AB62="","",INDEX('Per Line'!$G$2:$G$301,$AB62))</f>
        <v/>
      </c>
      <c r="I62">
        <f>IF($AB62="","",INDEX('Per Line'!$H$2:$H$301,$AB62)&amp;"")</f>
        <v/>
      </c>
      <c r="J62">
        <f>IF($AB62="","",INDEX('Per Line'!$J$2:$J$301,$AB62)&amp;"")</f>
        <v/>
      </c>
      <c r="K62">
        <f>IF($AB62="","",INDEX('Per Line'!$K$2:$K$301,$AB62)&amp;"")</f>
        <v/>
      </c>
      <c r="L62">
        <f>IF($AB62="","",INDEX('Per Line'!$L$2:$L$301,$AB62)&amp;"")</f>
        <v/>
      </c>
      <c r="M62">
        <f>IF($AB62="","",INDEX('Per Line'!$M$2:$M$301,$AB62)&amp;"")</f>
        <v/>
      </c>
      <c r="N62">
        <f>IF($AB62="","",INDEX('Per Line'!$N$2:$N$301,$AB62))</f>
        <v/>
      </c>
      <c r="O62" s="7">
        <f>IF($AB62="","",N62*Z62/100)</f>
        <v/>
      </c>
      <c r="P62">
        <f>IF($AB62="","",INDEX('Per Line'!$X$2:$X$301,$AB62)&amp;"")</f>
        <v/>
      </c>
      <c r="Q62" s="7">
        <f>IF($AB62="","",SUMIFS('Per Line'!$W$2:$W$301,'Per Line'!$E$2:$E$301,$B62,'Per Line'!$AO$2:$AO$301,1))</f>
        <v/>
      </c>
      <c r="R62">
        <f>IF($AB62="","",Settings!$C$7)</f>
        <v/>
      </c>
      <c r="S62" s="7">
        <f>IF($AB62="","",SUMIFS('Per Line'!$W$2:$W$301,'Per Line'!$E$2:$E$301,$B62,'Per Line'!$AN$2:$AN$301,0,'Per Line'!$AO$2:$AO$301,0))</f>
        <v/>
      </c>
      <c r="T62" s="7">
        <f>IF($AB62="","",S62*R62)</f>
        <v/>
      </c>
      <c r="U62">
        <f>IF($AB62="","",Settings!$C$6)</f>
        <v/>
      </c>
      <c r="V62" s="7">
        <f>IF($AB62="","",SUMIFS('Per Line'!$W$2:$W$301,'Per Line'!$E$2:$E$301,$B62,'Per Line'!$AN$2:$AN$301,1,'Per Line'!$AO$2:$AO$301,0))</f>
        <v/>
      </c>
      <c r="W62" s="7">
        <f>IF($AB62="","",V62*U62)</f>
        <v/>
      </c>
      <c r="X62" s="7">
        <f>IF($AB62="","",W62+T62)</f>
        <v/>
      </c>
      <c r="Y62" s="7">
        <f>IF($AB62="","",Z62-X62)</f>
        <v/>
      </c>
      <c r="Z62" s="7">
        <f>IF($AB62="","",S62+V62+Q62)</f>
        <v/>
      </c>
      <c r="AA62" s="7">
        <f>IF($AB62="","",Z62-X62-O62)</f>
        <v/>
      </c>
      <c r="AB62" s="13">
        <f>IF(ROWS($AB$2:$AB62)&lt;=MAX('Per Line'!$AM$2:$AM$301),MATCH(ROWS($AB$2:$AB62),'Per Line'!$AM$2:$AM$301,0),"")</f>
        <v/>
      </c>
    </row>
    <row r="63">
      <c r="A63" s="12" t="n"/>
      <c r="B63">
        <f>IF($AB63="","",INDEX('Per Line'!$E$2:$E$301,$AB63)&amp;"")</f>
        <v/>
      </c>
      <c r="C63">
        <f>IF($AB63="","",INDEX('Per Line'!$A$2:$A$301,$AB63)&amp;"")</f>
        <v/>
      </c>
      <c r="D63">
        <f>IF($AB63="","",INDEX('Per Line'!$B$2:$B$301,$AB63))</f>
        <v/>
      </c>
      <c r="E63">
        <f>IF($AB63="","",INDEX('Per Line'!$C$2:$C$301,$AB63)&amp;"")</f>
        <v/>
      </c>
      <c r="F63">
        <f>IF($AB63="","",INDEX('Per Line'!$D$2:$D$301,$AB63)&amp;"")</f>
        <v/>
      </c>
      <c r="G63">
        <f>IF($AB63="","",INDEX('Per Line'!$F$2:$F$301,$AB63)&amp;"")</f>
        <v/>
      </c>
      <c r="H63" s="11">
        <f>IF($AB63="","",INDEX('Per Line'!$G$2:$G$301,$AB63))</f>
        <v/>
      </c>
      <c r="I63">
        <f>IF($AB63="","",INDEX('Per Line'!$H$2:$H$301,$AB63)&amp;"")</f>
        <v/>
      </c>
      <c r="J63">
        <f>IF($AB63="","",INDEX('Per Line'!$J$2:$J$301,$AB63)&amp;"")</f>
        <v/>
      </c>
      <c r="K63">
        <f>IF($AB63="","",INDEX('Per Line'!$K$2:$K$301,$AB63)&amp;"")</f>
        <v/>
      </c>
      <c r="L63">
        <f>IF($AB63="","",INDEX('Per Line'!$L$2:$L$301,$AB63)&amp;"")</f>
        <v/>
      </c>
      <c r="M63">
        <f>IF($AB63="","",INDEX('Per Line'!$M$2:$M$301,$AB63)&amp;"")</f>
        <v/>
      </c>
      <c r="N63">
        <f>IF($AB63="","",INDEX('Per Line'!$N$2:$N$301,$AB63))</f>
        <v/>
      </c>
      <c r="O63" s="7">
        <f>IF($AB63="","",N63*Z63/100)</f>
        <v/>
      </c>
      <c r="P63">
        <f>IF($AB63="","",INDEX('Per Line'!$X$2:$X$301,$AB63)&amp;"")</f>
        <v/>
      </c>
      <c r="Q63" s="7">
        <f>IF($AB63="","",SUMIFS('Per Line'!$W$2:$W$301,'Per Line'!$E$2:$E$301,$B63,'Per Line'!$AO$2:$AO$301,1))</f>
        <v/>
      </c>
      <c r="R63">
        <f>IF($AB63="","",Settings!$C$7)</f>
        <v/>
      </c>
      <c r="S63" s="7">
        <f>IF($AB63="","",SUMIFS('Per Line'!$W$2:$W$301,'Per Line'!$E$2:$E$301,$B63,'Per Line'!$AN$2:$AN$301,0,'Per Line'!$AO$2:$AO$301,0))</f>
        <v/>
      </c>
      <c r="T63" s="7">
        <f>IF($AB63="","",S63*R63)</f>
        <v/>
      </c>
      <c r="U63">
        <f>IF($AB63="","",Settings!$C$6)</f>
        <v/>
      </c>
      <c r="V63" s="7">
        <f>IF($AB63="","",SUMIFS('Per Line'!$W$2:$W$301,'Per Line'!$E$2:$E$301,$B63,'Per Line'!$AN$2:$AN$301,1,'Per Line'!$AO$2:$AO$301,0))</f>
        <v/>
      </c>
      <c r="W63" s="7">
        <f>IF($AB63="","",V63*U63)</f>
        <v/>
      </c>
      <c r="X63" s="7">
        <f>IF($AB63="","",W63+T63)</f>
        <v/>
      </c>
      <c r="Y63" s="7">
        <f>IF($AB63="","",Z63-X63)</f>
        <v/>
      </c>
      <c r="Z63" s="7">
        <f>IF($AB63="","",S63+V63+Q63)</f>
        <v/>
      </c>
      <c r="AA63" s="7">
        <f>IF($AB63="","",Z63-X63-O63)</f>
        <v/>
      </c>
      <c r="AB63" s="13">
        <f>IF(ROWS($AB$2:$AB63)&lt;=MAX('Per Line'!$AM$2:$AM$301),MATCH(ROWS($AB$2:$AB63),'Per Line'!$AM$2:$AM$301,0),"")</f>
        <v/>
      </c>
    </row>
    <row r="64">
      <c r="A64" s="12" t="n"/>
      <c r="B64">
        <f>IF($AB64="","",INDEX('Per Line'!$E$2:$E$301,$AB64)&amp;"")</f>
        <v/>
      </c>
      <c r="C64">
        <f>IF($AB64="","",INDEX('Per Line'!$A$2:$A$301,$AB64)&amp;"")</f>
        <v/>
      </c>
      <c r="D64">
        <f>IF($AB64="","",INDEX('Per Line'!$B$2:$B$301,$AB64))</f>
        <v/>
      </c>
      <c r="E64">
        <f>IF($AB64="","",INDEX('Per Line'!$C$2:$C$301,$AB64)&amp;"")</f>
        <v/>
      </c>
      <c r="F64">
        <f>IF($AB64="","",INDEX('Per Line'!$D$2:$D$301,$AB64)&amp;"")</f>
        <v/>
      </c>
      <c r="G64">
        <f>IF($AB64="","",INDEX('Per Line'!$F$2:$F$301,$AB64)&amp;"")</f>
        <v/>
      </c>
      <c r="H64" s="11">
        <f>IF($AB64="","",INDEX('Per Line'!$G$2:$G$301,$AB64))</f>
        <v/>
      </c>
      <c r="I64">
        <f>IF($AB64="","",INDEX('Per Line'!$H$2:$H$301,$AB64)&amp;"")</f>
        <v/>
      </c>
      <c r="J64">
        <f>IF($AB64="","",INDEX('Per Line'!$J$2:$J$301,$AB64)&amp;"")</f>
        <v/>
      </c>
      <c r="K64">
        <f>IF($AB64="","",INDEX('Per Line'!$K$2:$K$301,$AB64)&amp;"")</f>
        <v/>
      </c>
      <c r="L64">
        <f>IF($AB64="","",INDEX('Per Line'!$L$2:$L$301,$AB64)&amp;"")</f>
        <v/>
      </c>
      <c r="M64">
        <f>IF($AB64="","",INDEX('Per Line'!$M$2:$M$301,$AB64)&amp;"")</f>
        <v/>
      </c>
      <c r="N64">
        <f>IF($AB64="","",INDEX('Per Line'!$N$2:$N$301,$AB64))</f>
        <v/>
      </c>
      <c r="O64" s="7">
        <f>IF($AB64="","",N64*Z64/100)</f>
        <v/>
      </c>
      <c r="P64">
        <f>IF($AB64="","",INDEX('Per Line'!$X$2:$X$301,$AB64)&amp;"")</f>
        <v/>
      </c>
      <c r="Q64" s="7">
        <f>IF($AB64="","",SUMIFS('Per Line'!$W$2:$W$301,'Per Line'!$E$2:$E$301,$B64,'Per Line'!$AO$2:$AO$301,1))</f>
        <v/>
      </c>
      <c r="R64">
        <f>IF($AB64="","",Settings!$C$7)</f>
        <v/>
      </c>
      <c r="S64" s="7">
        <f>IF($AB64="","",SUMIFS('Per Line'!$W$2:$W$301,'Per Line'!$E$2:$E$301,$B64,'Per Line'!$AN$2:$AN$301,0,'Per Line'!$AO$2:$AO$301,0))</f>
        <v/>
      </c>
      <c r="T64" s="7">
        <f>IF($AB64="","",S64*R64)</f>
        <v/>
      </c>
      <c r="U64">
        <f>IF($AB64="","",Settings!$C$6)</f>
        <v/>
      </c>
      <c r="V64" s="7">
        <f>IF($AB64="","",SUMIFS('Per Line'!$W$2:$W$301,'Per Line'!$E$2:$E$301,$B64,'Per Line'!$AN$2:$AN$301,1,'Per Line'!$AO$2:$AO$301,0))</f>
        <v/>
      </c>
      <c r="W64" s="7">
        <f>IF($AB64="","",V64*U64)</f>
        <v/>
      </c>
      <c r="X64" s="7">
        <f>IF($AB64="","",W64+T64)</f>
        <v/>
      </c>
      <c r="Y64" s="7">
        <f>IF($AB64="","",Z64-X64)</f>
        <v/>
      </c>
      <c r="Z64" s="7">
        <f>IF($AB64="","",S64+V64+Q64)</f>
        <v/>
      </c>
      <c r="AA64" s="7">
        <f>IF($AB64="","",Z64-X64-O64)</f>
        <v/>
      </c>
      <c r="AB64" s="13">
        <f>IF(ROWS($AB$2:$AB64)&lt;=MAX('Per Line'!$AM$2:$AM$301),MATCH(ROWS($AB$2:$AB64),'Per Line'!$AM$2:$AM$301,0),"")</f>
        <v/>
      </c>
    </row>
    <row r="65">
      <c r="A65" s="12" t="n"/>
      <c r="B65">
        <f>IF($AB65="","",INDEX('Per Line'!$E$2:$E$301,$AB65)&amp;"")</f>
        <v/>
      </c>
      <c r="C65">
        <f>IF($AB65="","",INDEX('Per Line'!$A$2:$A$301,$AB65)&amp;"")</f>
        <v/>
      </c>
      <c r="D65">
        <f>IF($AB65="","",INDEX('Per Line'!$B$2:$B$301,$AB65))</f>
        <v/>
      </c>
      <c r="E65">
        <f>IF($AB65="","",INDEX('Per Line'!$C$2:$C$301,$AB65)&amp;"")</f>
        <v/>
      </c>
      <c r="F65">
        <f>IF($AB65="","",INDEX('Per Line'!$D$2:$D$301,$AB65)&amp;"")</f>
        <v/>
      </c>
      <c r="G65">
        <f>IF($AB65="","",INDEX('Per Line'!$F$2:$F$301,$AB65)&amp;"")</f>
        <v/>
      </c>
      <c r="H65" s="11">
        <f>IF($AB65="","",INDEX('Per Line'!$G$2:$G$301,$AB65))</f>
        <v/>
      </c>
      <c r="I65">
        <f>IF($AB65="","",INDEX('Per Line'!$H$2:$H$301,$AB65)&amp;"")</f>
        <v/>
      </c>
      <c r="J65">
        <f>IF($AB65="","",INDEX('Per Line'!$J$2:$J$301,$AB65)&amp;"")</f>
        <v/>
      </c>
      <c r="K65">
        <f>IF($AB65="","",INDEX('Per Line'!$K$2:$K$301,$AB65)&amp;"")</f>
        <v/>
      </c>
      <c r="L65">
        <f>IF($AB65="","",INDEX('Per Line'!$L$2:$L$301,$AB65)&amp;"")</f>
        <v/>
      </c>
      <c r="M65">
        <f>IF($AB65="","",INDEX('Per Line'!$M$2:$M$301,$AB65)&amp;"")</f>
        <v/>
      </c>
      <c r="N65">
        <f>IF($AB65="","",INDEX('Per Line'!$N$2:$N$301,$AB65))</f>
        <v/>
      </c>
      <c r="O65" s="7">
        <f>IF($AB65="","",N65*Z65/100)</f>
        <v/>
      </c>
      <c r="P65">
        <f>IF($AB65="","",INDEX('Per Line'!$X$2:$X$301,$AB65)&amp;"")</f>
        <v/>
      </c>
      <c r="Q65" s="7">
        <f>IF($AB65="","",SUMIFS('Per Line'!$W$2:$W$301,'Per Line'!$E$2:$E$301,$B65,'Per Line'!$AO$2:$AO$301,1))</f>
        <v/>
      </c>
      <c r="R65">
        <f>IF($AB65="","",Settings!$C$7)</f>
        <v/>
      </c>
      <c r="S65" s="7">
        <f>IF($AB65="","",SUMIFS('Per Line'!$W$2:$W$301,'Per Line'!$E$2:$E$301,$B65,'Per Line'!$AN$2:$AN$301,0,'Per Line'!$AO$2:$AO$301,0))</f>
        <v/>
      </c>
      <c r="T65" s="7">
        <f>IF($AB65="","",S65*R65)</f>
        <v/>
      </c>
      <c r="U65">
        <f>IF($AB65="","",Settings!$C$6)</f>
        <v/>
      </c>
      <c r="V65" s="7">
        <f>IF($AB65="","",SUMIFS('Per Line'!$W$2:$W$301,'Per Line'!$E$2:$E$301,$B65,'Per Line'!$AN$2:$AN$301,1,'Per Line'!$AO$2:$AO$301,0))</f>
        <v/>
      </c>
      <c r="W65" s="7">
        <f>IF($AB65="","",V65*U65)</f>
        <v/>
      </c>
      <c r="X65" s="7">
        <f>IF($AB65="","",W65+T65)</f>
        <v/>
      </c>
      <c r="Y65" s="7">
        <f>IF($AB65="","",Z65-X65)</f>
        <v/>
      </c>
      <c r="Z65" s="7">
        <f>IF($AB65="","",S65+V65+Q65)</f>
        <v/>
      </c>
      <c r="AA65" s="7">
        <f>IF($AB65="","",Z65-X65-O65)</f>
        <v/>
      </c>
      <c r="AB65" s="13">
        <f>IF(ROWS($AB$2:$AB65)&lt;=MAX('Per Line'!$AM$2:$AM$301),MATCH(ROWS($AB$2:$AB65),'Per Line'!$AM$2:$AM$301,0),"")</f>
        <v/>
      </c>
    </row>
    <row r="66">
      <c r="A66" s="12" t="n"/>
      <c r="B66">
        <f>IF($AB66="","",INDEX('Per Line'!$E$2:$E$301,$AB66)&amp;"")</f>
        <v/>
      </c>
      <c r="C66">
        <f>IF($AB66="","",INDEX('Per Line'!$A$2:$A$301,$AB66)&amp;"")</f>
        <v/>
      </c>
      <c r="D66">
        <f>IF($AB66="","",INDEX('Per Line'!$B$2:$B$301,$AB66))</f>
        <v/>
      </c>
      <c r="E66">
        <f>IF($AB66="","",INDEX('Per Line'!$C$2:$C$301,$AB66)&amp;"")</f>
        <v/>
      </c>
      <c r="F66">
        <f>IF($AB66="","",INDEX('Per Line'!$D$2:$D$301,$AB66)&amp;"")</f>
        <v/>
      </c>
      <c r="G66">
        <f>IF($AB66="","",INDEX('Per Line'!$F$2:$F$301,$AB66)&amp;"")</f>
        <v/>
      </c>
      <c r="H66" s="11">
        <f>IF($AB66="","",INDEX('Per Line'!$G$2:$G$301,$AB66))</f>
        <v/>
      </c>
      <c r="I66">
        <f>IF($AB66="","",INDEX('Per Line'!$H$2:$H$301,$AB66)&amp;"")</f>
        <v/>
      </c>
      <c r="J66">
        <f>IF($AB66="","",INDEX('Per Line'!$J$2:$J$301,$AB66)&amp;"")</f>
        <v/>
      </c>
      <c r="K66">
        <f>IF($AB66="","",INDEX('Per Line'!$K$2:$K$301,$AB66)&amp;"")</f>
        <v/>
      </c>
      <c r="L66">
        <f>IF($AB66="","",INDEX('Per Line'!$L$2:$L$301,$AB66)&amp;"")</f>
        <v/>
      </c>
      <c r="M66">
        <f>IF($AB66="","",INDEX('Per Line'!$M$2:$M$301,$AB66)&amp;"")</f>
        <v/>
      </c>
      <c r="N66">
        <f>IF($AB66="","",INDEX('Per Line'!$N$2:$N$301,$AB66))</f>
        <v/>
      </c>
      <c r="O66" s="7">
        <f>IF($AB66="","",N66*Z66/100)</f>
        <v/>
      </c>
      <c r="P66">
        <f>IF($AB66="","",INDEX('Per Line'!$X$2:$X$301,$AB66)&amp;"")</f>
        <v/>
      </c>
      <c r="Q66" s="7">
        <f>IF($AB66="","",SUMIFS('Per Line'!$W$2:$W$301,'Per Line'!$E$2:$E$301,$B66,'Per Line'!$AO$2:$AO$301,1))</f>
        <v/>
      </c>
      <c r="R66">
        <f>IF($AB66="","",Settings!$C$7)</f>
        <v/>
      </c>
      <c r="S66" s="7">
        <f>IF($AB66="","",SUMIFS('Per Line'!$W$2:$W$301,'Per Line'!$E$2:$E$301,$B66,'Per Line'!$AN$2:$AN$301,0,'Per Line'!$AO$2:$AO$301,0))</f>
        <v/>
      </c>
      <c r="T66" s="7">
        <f>IF($AB66="","",S66*R66)</f>
        <v/>
      </c>
      <c r="U66">
        <f>IF($AB66="","",Settings!$C$6)</f>
        <v/>
      </c>
      <c r="V66" s="7">
        <f>IF($AB66="","",SUMIFS('Per Line'!$W$2:$W$301,'Per Line'!$E$2:$E$301,$B66,'Per Line'!$AN$2:$AN$301,1,'Per Line'!$AO$2:$AO$301,0))</f>
        <v/>
      </c>
      <c r="W66" s="7">
        <f>IF($AB66="","",V66*U66)</f>
        <v/>
      </c>
      <c r="X66" s="7">
        <f>IF($AB66="","",W66+T66)</f>
        <v/>
      </c>
      <c r="Y66" s="7">
        <f>IF($AB66="","",Z66-X66)</f>
        <v/>
      </c>
      <c r="Z66" s="7">
        <f>IF($AB66="","",S66+V66+Q66)</f>
        <v/>
      </c>
      <c r="AA66" s="7">
        <f>IF($AB66="","",Z66-X66-O66)</f>
        <v/>
      </c>
      <c r="AB66" s="13">
        <f>IF(ROWS($AB$2:$AB66)&lt;=MAX('Per Line'!$AM$2:$AM$301),MATCH(ROWS($AB$2:$AB66),'Per Line'!$AM$2:$AM$301,0),"")</f>
        <v/>
      </c>
    </row>
    <row r="67">
      <c r="A67" s="12" t="n"/>
      <c r="B67">
        <f>IF($AB67="","",INDEX('Per Line'!$E$2:$E$301,$AB67)&amp;"")</f>
        <v/>
      </c>
      <c r="C67">
        <f>IF($AB67="","",INDEX('Per Line'!$A$2:$A$301,$AB67)&amp;"")</f>
        <v/>
      </c>
      <c r="D67">
        <f>IF($AB67="","",INDEX('Per Line'!$B$2:$B$301,$AB67))</f>
        <v/>
      </c>
      <c r="E67">
        <f>IF($AB67="","",INDEX('Per Line'!$C$2:$C$301,$AB67)&amp;"")</f>
        <v/>
      </c>
      <c r="F67">
        <f>IF($AB67="","",INDEX('Per Line'!$D$2:$D$301,$AB67)&amp;"")</f>
        <v/>
      </c>
      <c r="G67">
        <f>IF($AB67="","",INDEX('Per Line'!$F$2:$F$301,$AB67)&amp;"")</f>
        <v/>
      </c>
      <c r="H67" s="11">
        <f>IF($AB67="","",INDEX('Per Line'!$G$2:$G$301,$AB67))</f>
        <v/>
      </c>
      <c r="I67">
        <f>IF($AB67="","",INDEX('Per Line'!$H$2:$H$301,$AB67)&amp;"")</f>
        <v/>
      </c>
      <c r="J67">
        <f>IF($AB67="","",INDEX('Per Line'!$J$2:$J$301,$AB67)&amp;"")</f>
        <v/>
      </c>
      <c r="K67">
        <f>IF($AB67="","",INDEX('Per Line'!$K$2:$K$301,$AB67)&amp;"")</f>
        <v/>
      </c>
      <c r="L67">
        <f>IF($AB67="","",INDEX('Per Line'!$L$2:$L$301,$AB67)&amp;"")</f>
        <v/>
      </c>
      <c r="M67">
        <f>IF($AB67="","",INDEX('Per Line'!$M$2:$M$301,$AB67)&amp;"")</f>
        <v/>
      </c>
      <c r="N67">
        <f>IF($AB67="","",INDEX('Per Line'!$N$2:$N$301,$AB67))</f>
        <v/>
      </c>
      <c r="O67" s="7">
        <f>IF($AB67="","",N67*Z67/100)</f>
        <v/>
      </c>
      <c r="P67">
        <f>IF($AB67="","",INDEX('Per Line'!$X$2:$X$301,$AB67)&amp;"")</f>
        <v/>
      </c>
      <c r="Q67" s="7">
        <f>IF($AB67="","",SUMIFS('Per Line'!$W$2:$W$301,'Per Line'!$E$2:$E$301,$B67,'Per Line'!$AO$2:$AO$301,1))</f>
        <v/>
      </c>
      <c r="R67">
        <f>IF($AB67="","",Settings!$C$7)</f>
        <v/>
      </c>
      <c r="S67" s="7">
        <f>IF($AB67="","",SUMIFS('Per Line'!$W$2:$W$301,'Per Line'!$E$2:$E$301,$B67,'Per Line'!$AN$2:$AN$301,0,'Per Line'!$AO$2:$AO$301,0))</f>
        <v/>
      </c>
      <c r="T67" s="7">
        <f>IF($AB67="","",S67*R67)</f>
        <v/>
      </c>
      <c r="U67">
        <f>IF($AB67="","",Settings!$C$6)</f>
        <v/>
      </c>
      <c r="V67" s="7">
        <f>IF($AB67="","",SUMIFS('Per Line'!$W$2:$W$301,'Per Line'!$E$2:$E$301,$B67,'Per Line'!$AN$2:$AN$301,1,'Per Line'!$AO$2:$AO$301,0))</f>
        <v/>
      </c>
      <c r="W67" s="7">
        <f>IF($AB67="","",V67*U67)</f>
        <v/>
      </c>
      <c r="X67" s="7">
        <f>IF($AB67="","",W67+T67)</f>
        <v/>
      </c>
      <c r="Y67" s="7">
        <f>IF($AB67="","",Z67-X67)</f>
        <v/>
      </c>
      <c r="Z67" s="7">
        <f>IF($AB67="","",S67+V67+Q67)</f>
        <v/>
      </c>
      <c r="AA67" s="7">
        <f>IF($AB67="","",Z67-X67-O67)</f>
        <v/>
      </c>
      <c r="AB67" s="13">
        <f>IF(ROWS($AB$2:$AB67)&lt;=MAX('Per Line'!$AM$2:$AM$301),MATCH(ROWS($AB$2:$AB67),'Per Line'!$AM$2:$AM$301,0),"")</f>
        <v/>
      </c>
    </row>
    <row r="68">
      <c r="A68" s="12" t="n"/>
      <c r="B68">
        <f>IF($AB68="","",INDEX('Per Line'!$E$2:$E$301,$AB68)&amp;"")</f>
        <v/>
      </c>
      <c r="C68">
        <f>IF($AB68="","",INDEX('Per Line'!$A$2:$A$301,$AB68)&amp;"")</f>
        <v/>
      </c>
      <c r="D68">
        <f>IF($AB68="","",INDEX('Per Line'!$B$2:$B$301,$AB68))</f>
        <v/>
      </c>
      <c r="E68">
        <f>IF($AB68="","",INDEX('Per Line'!$C$2:$C$301,$AB68)&amp;"")</f>
        <v/>
      </c>
      <c r="F68">
        <f>IF($AB68="","",INDEX('Per Line'!$D$2:$D$301,$AB68)&amp;"")</f>
        <v/>
      </c>
      <c r="G68">
        <f>IF($AB68="","",INDEX('Per Line'!$F$2:$F$301,$AB68)&amp;"")</f>
        <v/>
      </c>
      <c r="H68" s="11">
        <f>IF($AB68="","",INDEX('Per Line'!$G$2:$G$301,$AB68))</f>
        <v/>
      </c>
      <c r="I68">
        <f>IF($AB68="","",INDEX('Per Line'!$H$2:$H$301,$AB68)&amp;"")</f>
        <v/>
      </c>
      <c r="J68">
        <f>IF($AB68="","",INDEX('Per Line'!$J$2:$J$301,$AB68)&amp;"")</f>
        <v/>
      </c>
      <c r="K68">
        <f>IF($AB68="","",INDEX('Per Line'!$K$2:$K$301,$AB68)&amp;"")</f>
        <v/>
      </c>
      <c r="L68">
        <f>IF($AB68="","",INDEX('Per Line'!$L$2:$L$301,$AB68)&amp;"")</f>
        <v/>
      </c>
      <c r="M68">
        <f>IF($AB68="","",INDEX('Per Line'!$M$2:$M$301,$AB68)&amp;"")</f>
        <v/>
      </c>
      <c r="N68">
        <f>IF($AB68="","",INDEX('Per Line'!$N$2:$N$301,$AB68))</f>
        <v/>
      </c>
      <c r="O68" s="7">
        <f>IF($AB68="","",N68*Z68/100)</f>
        <v/>
      </c>
      <c r="P68">
        <f>IF($AB68="","",INDEX('Per Line'!$X$2:$X$301,$AB68)&amp;"")</f>
        <v/>
      </c>
      <c r="Q68" s="7">
        <f>IF($AB68="","",SUMIFS('Per Line'!$W$2:$W$301,'Per Line'!$E$2:$E$301,$B68,'Per Line'!$AO$2:$AO$301,1))</f>
        <v/>
      </c>
      <c r="R68">
        <f>IF($AB68="","",Settings!$C$7)</f>
        <v/>
      </c>
      <c r="S68" s="7">
        <f>IF($AB68="","",SUMIFS('Per Line'!$W$2:$W$301,'Per Line'!$E$2:$E$301,$B68,'Per Line'!$AN$2:$AN$301,0,'Per Line'!$AO$2:$AO$301,0))</f>
        <v/>
      </c>
      <c r="T68" s="7">
        <f>IF($AB68="","",S68*R68)</f>
        <v/>
      </c>
      <c r="U68">
        <f>IF($AB68="","",Settings!$C$6)</f>
        <v/>
      </c>
      <c r="V68" s="7">
        <f>IF($AB68="","",SUMIFS('Per Line'!$W$2:$W$301,'Per Line'!$E$2:$E$301,$B68,'Per Line'!$AN$2:$AN$301,1,'Per Line'!$AO$2:$AO$301,0))</f>
        <v/>
      </c>
      <c r="W68" s="7">
        <f>IF($AB68="","",V68*U68)</f>
        <v/>
      </c>
      <c r="X68" s="7">
        <f>IF($AB68="","",W68+T68)</f>
        <v/>
      </c>
      <c r="Y68" s="7">
        <f>IF($AB68="","",Z68-X68)</f>
        <v/>
      </c>
      <c r="Z68" s="7">
        <f>IF($AB68="","",S68+V68+Q68)</f>
        <v/>
      </c>
      <c r="AA68" s="7">
        <f>IF($AB68="","",Z68-X68-O68)</f>
        <v/>
      </c>
      <c r="AB68" s="13">
        <f>IF(ROWS($AB$2:$AB68)&lt;=MAX('Per Line'!$AM$2:$AM$301),MATCH(ROWS($AB$2:$AB68),'Per Line'!$AM$2:$AM$301,0),"")</f>
        <v/>
      </c>
    </row>
    <row r="69">
      <c r="A69" s="12" t="n"/>
      <c r="B69">
        <f>IF($AB69="","",INDEX('Per Line'!$E$2:$E$301,$AB69)&amp;"")</f>
        <v/>
      </c>
      <c r="C69">
        <f>IF($AB69="","",INDEX('Per Line'!$A$2:$A$301,$AB69)&amp;"")</f>
        <v/>
      </c>
      <c r="D69">
        <f>IF($AB69="","",INDEX('Per Line'!$B$2:$B$301,$AB69))</f>
        <v/>
      </c>
      <c r="E69">
        <f>IF($AB69="","",INDEX('Per Line'!$C$2:$C$301,$AB69)&amp;"")</f>
        <v/>
      </c>
      <c r="F69">
        <f>IF($AB69="","",INDEX('Per Line'!$D$2:$D$301,$AB69)&amp;"")</f>
        <v/>
      </c>
      <c r="G69">
        <f>IF($AB69="","",INDEX('Per Line'!$F$2:$F$301,$AB69)&amp;"")</f>
        <v/>
      </c>
      <c r="H69" s="11">
        <f>IF($AB69="","",INDEX('Per Line'!$G$2:$G$301,$AB69))</f>
        <v/>
      </c>
      <c r="I69">
        <f>IF($AB69="","",INDEX('Per Line'!$H$2:$H$301,$AB69)&amp;"")</f>
        <v/>
      </c>
      <c r="J69">
        <f>IF($AB69="","",INDEX('Per Line'!$J$2:$J$301,$AB69)&amp;"")</f>
        <v/>
      </c>
      <c r="K69">
        <f>IF($AB69="","",INDEX('Per Line'!$K$2:$K$301,$AB69)&amp;"")</f>
        <v/>
      </c>
      <c r="L69">
        <f>IF($AB69="","",INDEX('Per Line'!$L$2:$L$301,$AB69)&amp;"")</f>
        <v/>
      </c>
      <c r="M69">
        <f>IF($AB69="","",INDEX('Per Line'!$M$2:$M$301,$AB69)&amp;"")</f>
        <v/>
      </c>
      <c r="N69">
        <f>IF($AB69="","",INDEX('Per Line'!$N$2:$N$301,$AB69))</f>
        <v/>
      </c>
      <c r="O69" s="7">
        <f>IF($AB69="","",N69*Z69/100)</f>
        <v/>
      </c>
      <c r="P69">
        <f>IF($AB69="","",INDEX('Per Line'!$X$2:$X$301,$AB69)&amp;"")</f>
        <v/>
      </c>
      <c r="Q69" s="7">
        <f>IF($AB69="","",SUMIFS('Per Line'!$W$2:$W$301,'Per Line'!$E$2:$E$301,$B69,'Per Line'!$AO$2:$AO$301,1))</f>
        <v/>
      </c>
      <c r="R69">
        <f>IF($AB69="","",Settings!$C$7)</f>
        <v/>
      </c>
      <c r="S69" s="7">
        <f>IF($AB69="","",SUMIFS('Per Line'!$W$2:$W$301,'Per Line'!$E$2:$E$301,$B69,'Per Line'!$AN$2:$AN$301,0,'Per Line'!$AO$2:$AO$301,0))</f>
        <v/>
      </c>
      <c r="T69" s="7">
        <f>IF($AB69="","",S69*R69)</f>
        <v/>
      </c>
      <c r="U69">
        <f>IF($AB69="","",Settings!$C$6)</f>
        <v/>
      </c>
      <c r="V69" s="7">
        <f>IF($AB69="","",SUMIFS('Per Line'!$W$2:$W$301,'Per Line'!$E$2:$E$301,$B69,'Per Line'!$AN$2:$AN$301,1,'Per Line'!$AO$2:$AO$301,0))</f>
        <v/>
      </c>
      <c r="W69" s="7">
        <f>IF($AB69="","",V69*U69)</f>
        <v/>
      </c>
      <c r="X69" s="7">
        <f>IF($AB69="","",W69+T69)</f>
        <v/>
      </c>
      <c r="Y69" s="7">
        <f>IF($AB69="","",Z69-X69)</f>
        <v/>
      </c>
      <c r="Z69" s="7">
        <f>IF($AB69="","",S69+V69+Q69)</f>
        <v/>
      </c>
      <c r="AA69" s="7">
        <f>IF($AB69="","",Z69-X69-O69)</f>
        <v/>
      </c>
      <c r="AB69" s="13">
        <f>IF(ROWS($AB$2:$AB69)&lt;=MAX('Per Line'!$AM$2:$AM$301),MATCH(ROWS($AB$2:$AB69),'Per Line'!$AM$2:$AM$301,0),"")</f>
        <v/>
      </c>
    </row>
    <row r="70">
      <c r="A70" s="12" t="n"/>
      <c r="B70">
        <f>IF($AB70="","",INDEX('Per Line'!$E$2:$E$301,$AB70)&amp;"")</f>
        <v/>
      </c>
      <c r="C70">
        <f>IF($AB70="","",INDEX('Per Line'!$A$2:$A$301,$AB70)&amp;"")</f>
        <v/>
      </c>
      <c r="D70">
        <f>IF($AB70="","",INDEX('Per Line'!$B$2:$B$301,$AB70))</f>
        <v/>
      </c>
      <c r="E70">
        <f>IF($AB70="","",INDEX('Per Line'!$C$2:$C$301,$AB70)&amp;"")</f>
        <v/>
      </c>
      <c r="F70">
        <f>IF($AB70="","",INDEX('Per Line'!$D$2:$D$301,$AB70)&amp;"")</f>
        <v/>
      </c>
      <c r="G70">
        <f>IF($AB70="","",INDEX('Per Line'!$F$2:$F$301,$AB70)&amp;"")</f>
        <v/>
      </c>
      <c r="H70" s="11">
        <f>IF($AB70="","",INDEX('Per Line'!$G$2:$G$301,$AB70))</f>
        <v/>
      </c>
      <c r="I70">
        <f>IF($AB70="","",INDEX('Per Line'!$H$2:$H$301,$AB70)&amp;"")</f>
        <v/>
      </c>
      <c r="J70">
        <f>IF($AB70="","",INDEX('Per Line'!$J$2:$J$301,$AB70)&amp;"")</f>
        <v/>
      </c>
      <c r="K70">
        <f>IF($AB70="","",INDEX('Per Line'!$K$2:$K$301,$AB70)&amp;"")</f>
        <v/>
      </c>
      <c r="L70">
        <f>IF($AB70="","",INDEX('Per Line'!$L$2:$L$301,$AB70)&amp;"")</f>
        <v/>
      </c>
      <c r="M70">
        <f>IF($AB70="","",INDEX('Per Line'!$M$2:$M$301,$AB70)&amp;"")</f>
        <v/>
      </c>
      <c r="N70">
        <f>IF($AB70="","",INDEX('Per Line'!$N$2:$N$301,$AB70))</f>
        <v/>
      </c>
      <c r="O70" s="7">
        <f>IF($AB70="","",N70*Z70/100)</f>
        <v/>
      </c>
      <c r="P70">
        <f>IF($AB70="","",INDEX('Per Line'!$X$2:$X$301,$AB70)&amp;"")</f>
        <v/>
      </c>
      <c r="Q70" s="7">
        <f>IF($AB70="","",SUMIFS('Per Line'!$W$2:$W$301,'Per Line'!$E$2:$E$301,$B70,'Per Line'!$AO$2:$AO$301,1))</f>
        <v/>
      </c>
      <c r="R70">
        <f>IF($AB70="","",Settings!$C$7)</f>
        <v/>
      </c>
      <c r="S70" s="7">
        <f>IF($AB70="","",SUMIFS('Per Line'!$W$2:$W$301,'Per Line'!$E$2:$E$301,$B70,'Per Line'!$AN$2:$AN$301,0,'Per Line'!$AO$2:$AO$301,0))</f>
        <v/>
      </c>
      <c r="T70" s="7">
        <f>IF($AB70="","",S70*R70)</f>
        <v/>
      </c>
      <c r="U70">
        <f>IF($AB70="","",Settings!$C$6)</f>
        <v/>
      </c>
      <c r="V70" s="7">
        <f>IF($AB70="","",SUMIFS('Per Line'!$W$2:$W$301,'Per Line'!$E$2:$E$301,$B70,'Per Line'!$AN$2:$AN$301,1,'Per Line'!$AO$2:$AO$301,0))</f>
        <v/>
      </c>
      <c r="W70" s="7">
        <f>IF($AB70="","",V70*U70)</f>
        <v/>
      </c>
      <c r="X70" s="7">
        <f>IF($AB70="","",W70+T70)</f>
        <v/>
      </c>
      <c r="Y70" s="7">
        <f>IF($AB70="","",Z70-X70)</f>
        <v/>
      </c>
      <c r="Z70" s="7">
        <f>IF($AB70="","",S70+V70+Q70)</f>
        <v/>
      </c>
      <c r="AA70" s="7">
        <f>IF($AB70="","",Z70-X70-O70)</f>
        <v/>
      </c>
      <c r="AB70" s="13">
        <f>IF(ROWS($AB$2:$AB70)&lt;=MAX('Per Line'!$AM$2:$AM$301),MATCH(ROWS($AB$2:$AB70),'Per Line'!$AM$2:$AM$301,0),"")</f>
        <v/>
      </c>
    </row>
    <row r="71">
      <c r="A71" s="12" t="n"/>
      <c r="B71">
        <f>IF($AB71="","",INDEX('Per Line'!$E$2:$E$301,$AB71)&amp;"")</f>
        <v/>
      </c>
      <c r="C71">
        <f>IF($AB71="","",INDEX('Per Line'!$A$2:$A$301,$AB71)&amp;"")</f>
        <v/>
      </c>
      <c r="D71">
        <f>IF($AB71="","",INDEX('Per Line'!$B$2:$B$301,$AB71))</f>
        <v/>
      </c>
      <c r="E71">
        <f>IF($AB71="","",INDEX('Per Line'!$C$2:$C$301,$AB71)&amp;"")</f>
        <v/>
      </c>
      <c r="F71">
        <f>IF($AB71="","",INDEX('Per Line'!$D$2:$D$301,$AB71)&amp;"")</f>
        <v/>
      </c>
      <c r="G71">
        <f>IF($AB71="","",INDEX('Per Line'!$F$2:$F$301,$AB71)&amp;"")</f>
        <v/>
      </c>
      <c r="H71" s="11">
        <f>IF($AB71="","",INDEX('Per Line'!$G$2:$G$301,$AB71))</f>
        <v/>
      </c>
      <c r="I71">
        <f>IF($AB71="","",INDEX('Per Line'!$H$2:$H$301,$AB71)&amp;"")</f>
        <v/>
      </c>
      <c r="J71">
        <f>IF($AB71="","",INDEX('Per Line'!$J$2:$J$301,$AB71)&amp;"")</f>
        <v/>
      </c>
      <c r="K71">
        <f>IF($AB71="","",INDEX('Per Line'!$K$2:$K$301,$AB71)&amp;"")</f>
        <v/>
      </c>
      <c r="L71">
        <f>IF($AB71="","",INDEX('Per Line'!$L$2:$L$301,$AB71)&amp;"")</f>
        <v/>
      </c>
      <c r="M71">
        <f>IF($AB71="","",INDEX('Per Line'!$M$2:$M$301,$AB71)&amp;"")</f>
        <v/>
      </c>
      <c r="N71">
        <f>IF($AB71="","",INDEX('Per Line'!$N$2:$N$301,$AB71))</f>
        <v/>
      </c>
      <c r="O71" s="7">
        <f>IF($AB71="","",N71*Z71/100)</f>
        <v/>
      </c>
      <c r="P71">
        <f>IF($AB71="","",INDEX('Per Line'!$X$2:$X$301,$AB71)&amp;"")</f>
        <v/>
      </c>
      <c r="Q71" s="7">
        <f>IF($AB71="","",SUMIFS('Per Line'!$W$2:$W$301,'Per Line'!$E$2:$E$301,$B71,'Per Line'!$AO$2:$AO$301,1))</f>
        <v/>
      </c>
      <c r="R71">
        <f>IF($AB71="","",Settings!$C$7)</f>
        <v/>
      </c>
      <c r="S71" s="7">
        <f>IF($AB71="","",SUMIFS('Per Line'!$W$2:$W$301,'Per Line'!$E$2:$E$301,$B71,'Per Line'!$AN$2:$AN$301,0,'Per Line'!$AO$2:$AO$301,0))</f>
        <v/>
      </c>
      <c r="T71" s="7">
        <f>IF($AB71="","",S71*R71)</f>
        <v/>
      </c>
      <c r="U71">
        <f>IF($AB71="","",Settings!$C$6)</f>
        <v/>
      </c>
      <c r="V71" s="7">
        <f>IF($AB71="","",SUMIFS('Per Line'!$W$2:$W$301,'Per Line'!$E$2:$E$301,$B71,'Per Line'!$AN$2:$AN$301,1,'Per Line'!$AO$2:$AO$301,0))</f>
        <v/>
      </c>
      <c r="W71" s="7">
        <f>IF($AB71="","",V71*U71)</f>
        <v/>
      </c>
      <c r="X71" s="7">
        <f>IF($AB71="","",W71+T71)</f>
        <v/>
      </c>
      <c r="Y71" s="7">
        <f>IF($AB71="","",Z71-X71)</f>
        <v/>
      </c>
      <c r="Z71" s="7">
        <f>IF($AB71="","",S71+V71+Q71)</f>
        <v/>
      </c>
      <c r="AA71" s="7">
        <f>IF($AB71="","",Z71-X71-O71)</f>
        <v/>
      </c>
      <c r="AB71" s="13">
        <f>IF(ROWS($AB$2:$AB71)&lt;=MAX('Per Line'!$AM$2:$AM$301),MATCH(ROWS($AB$2:$AB71),'Per Line'!$AM$2:$AM$301,0),"")</f>
        <v/>
      </c>
    </row>
    <row r="72">
      <c r="A72" s="12" t="n"/>
      <c r="B72">
        <f>IF($AB72="","",INDEX('Per Line'!$E$2:$E$301,$AB72)&amp;"")</f>
        <v/>
      </c>
      <c r="C72">
        <f>IF($AB72="","",INDEX('Per Line'!$A$2:$A$301,$AB72)&amp;"")</f>
        <v/>
      </c>
      <c r="D72">
        <f>IF($AB72="","",INDEX('Per Line'!$B$2:$B$301,$AB72))</f>
        <v/>
      </c>
      <c r="E72">
        <f>IF($AB72="","",INDEX('Per Line'!$C$2:$C$301,$AB72)&amp;"")</f>
        <v/>
      </c>
      <c r="F72">
        <f>IF($AB72="","",INDEX('Per Line'!$D$2:$D$301,$AB72)&amp;"")</f>
        <v/>
      </c>
      <c r="G72">
        <f>IF($AB72="","",INDEX('Per Line'!$F$2:$F$301,$AB72)&amp;"")</f>
        <v/>
      </c>
      <c r="H72" s="11">
        <f>IF($AB72="","",INDEX('Per Line'!$G$2:$G$301,$AB72))</f>
        <v/>
      </c>
      <c r="I72">
        <f>IF($AB72="","",INDEX('Per Line'!$H$2:$H$301,$AB72)&amp;"")</f>
        <v/>
      </c>
      <c r="J72">
        <f>IF($AB72="","",INDEX('Per Line'!$J$2:$J$301,$AB72)&amp;"")</f>
        <v/>
      </c>
      <c r="K72">
        <f>IF($AB72="","",INDEX('Per Line'!$K$2:$K$301,$AB72)&amp;"")</f>
        <v/>
      </c>
      <c r="L72">
        <f>IF($AB72="","",INDEX('Per Line'!$L$2:$L$301,$AB72)&amp;"")</f>
        <v/>
      </c>
      <c r="M72">
        <f>IF($AB72="","",INDEX('Per Line'!$M$2:$M$301,$AB72)&amp;"")</f>
        <v/>
      </c>
      <c r="N72">
        <f>IF($AB72="","",INDEX('Per Line'!$N$2:$N$301,$AB72))</f>
        <v/>
      </c>
      <c r="O72" s="7">
        <f>IF($AB72="","",N72*Z72/100)</f>
        <v/>
      </c>
      <c r="P72">
        <f>IF($AB72="","",INDEX('Per Line'!$X$2:$X$301,$AB72)&amp;"")</f>
        <v/>
      </c>
      <c r="Q72" s="7">
        <f>IF($AB72="","",SUMIFS('Per Line'!$W$2:$W$301,'Per Line'!$E$2:$E$301,$B72,'Per Line'!$AO$2:$AO$301,1))</f>
        <v/>
      </c>
      <c r="R72">
        <f>IF($AB72="","",Settings!$C$7)</f>
        <v/>
      </c>
      <c r="S72" s="7">
        <f>IF($AB72="","",SUMIFS('Per Line'!$W$2:$W$301,'Per Line'!$E$2:$E$301,$B72,'Per Line'!$AN$2:$AN$301,0,'Per Line'!$AO$2:$AO$301,0))</f>
        <v/>
      </c>
      <c r="T72" s="7">
        <f>IF($AB72="","",S72*R72)</f>
        <v/>
      </c>
      <c r="U72">
        <f>IF($AB72="","",Settings!$C$6)</f>
        <v/>
      </c>
      <c r="V72" s="7">
        <f>IF($AB72="","",SUMIFS('Per Line'!$W$2:$W$301,'Per Line'!$E$2:$E$301,$B72,'Per Line'!$AN$2:$AN$301,1,'Per Line'!$AO$2:$AO$301,0))</f>
        <v/>
      </c>
      <c r="W72" s="7">
        <f>IF($AB72="","",V72*U72)</f>
        <v/>
      </c>
      <c r="X72" s="7">
        <f>IF($AB72="","",W72+T72)</f>
        <v/>
      </c>
      <c r="Y72" s="7">
        <f>IF($AB72="","",Z72-X72)</f>
        <v/>
      </c>
      <c r="Z72" s="7">
        <f>IF($AB72="","",S72+V72+Q72)</f>
        <v/>
      </c>
      <c r="AA72" s="7">
        <f>IF($AB72="","",Z72-X72-O72)</f>
        <v/>
      </c>
      <c r="AB72" s="13">
        <f>IF(ROWS($AB$2:$AB72)&lt;=MAX('Per Line'!$AM$2:$AM$301),MATCH(ROWS($AB$2:$AB72),'Per Line'!$AM$2:$AM$301,0),"")</f>
        <v/>
      </c>
    </row>
    <row r="73">
      <c r="A73" s="12" t="n"/>
      <c r="B73">
        <f>IF($AB73="","",INDEX('Per Line'!$E$2:$E$301,$AB73)&amp;"")</f>
        <v/>
      </c>
      <c r="C73">
        <f>IF($AB73="","",INDEX('Per Line'!$A$2:$A$301,$AB73)&amp;"")</f>
        <v/>
      </c>
      <c r="D73">
        <f>IF($AB73="","",INDEX('Per Line'!$B$2:$B$301,$AB73))</f>
        <v/>
      </c>
      <c r="E73">
        <f>IF($AB73="","",INDEX('Per Line'!$C$2:$C$301,$AB73)&amp;"")</f>
        <v/>
      </c>
      <c r="F73">
        <f>IF($AB73="","",INDEX('Per Line'!$D$2:$D$301,$AB73)&amp;"")</f>
        <v/>
      </c>
      <c r="G73">
        <f>IF($AB73="","",INDEX('Per Line'!$F$2:$F$301,$AB73)&amp;"")</f>
        <v/>
      </c>
      <c r="H73" s="11">
        <f>IF($AB73="","",INDEX('Per Line'!$G$2:$G$301,$AB73))</f>
        <v/>
      </c>
      <c r="I73">
        <f>IF($AB73="","",INDEX('Per Line'!$H$2:$H$301,$AB73)&amp;"")</f>
        <v/>
      </c>
      <c r="J73">
        <f>IF($AB73="","",INDEX('Per Line'!$J$2:$J$301,$AB73)&amp;"")</f>
        <v/>
      </c>
      <c r="K73">
        <f>IF($AB73="","",INDEX('Per Line'!$K$2:$K$301,$AB73)&amp;"")</f>
        <v/>
      </c>
      <c r="L73">
        <f>IF($AB73="","",INDEX('Per Line'!$L$2:$L$301,$AB73)&amp;"")</f>
        <v/>
      </c>
      <c r="M73">
        <f>IF($AB73="","",INDEX('Per Line'!$M$2:$M$301,$AB73)&amp;"")</f>
        <v/>
      </c>
      <c r="N73">
        <f>IF($AB73="","",INDEX('Per Line'!$N$2:$N$301,$AB73))</f>
        <v/>
      </c>
      <c r="O73" s="7">
        <f>IF($AB73="","",N73*Z73/100)</f>
        <v/>
      </c>
      <c r="P73">
        <f>IF($AB73="","",INDEX('Per Line'!$X$2:$X$301,$AB73)&amp;"")</f>
        <v/>
      </c>
      <c r="Q73" s="7">
        <f>IF($AB73="","",SUMIFS('Per Line'!$W$2:$W$301,'Per Line'!$E$2:$E$301,$B73,'Per Line'!$AO$2:$AO$301,1))</f>
        <v/>
      </c>
      <c r="R73">
        <f>IF($AB73="","",Settings!$C$7)</f>
        <v/>
      </c>
      <c r="S73" s="7">
        <f>IF($AB73="","",SUMIFS('Per Line'!$W$2:$W$301,'Per Line'!$E$2:$E$301,$B73,'Per Line'!$AN$2:$AN$301,0,'Per Line'!$AO$2:$AO$301,0))</f>
        <v/>
      </c>
      <c r="T73" s="7">
        <f>IF($AB73="","",S73*R73)</f>
        <v/>
      </c>
      <c r="U73">
        <f>IF($AB73="","",Settings!$C$6)</f>
        <v/>
      </c>
      <c r="V73" s="7">
        <f>IF($AB73="","",SUMIFS('Per Line'!$W$2:$W$301,'Per Line'!$E$2:$E$301,$B73,'Per Line'!$AN$2:$AN$301,1,'Per Line'!$AO$2:$AO$301,0))</f>
        <v/>
      </c>
      <c r="W73" s="7">
        <f>IF($AB73="","",V73*U73)</f>
        <v/>
      </c>
      <c r="X73" s="7">
        <f>IF($AB73="","",W73+T73)</f>
        <v/>
      </c>
      <c r="Y73" s="7">
        <f>IF($AB73="","",Z73-X73)</f>
        <v/>
      </c>
      <c r="Z73" s="7">
        <f>IF($AB73="","",S73+V73+Q73)</f>
        <v/>
      </c>
      <c r="AA73" s="7">
        <f>IF($AB73="","",Z73-X73-O73)</f>
        <v/>
      </c>
      <c r="AB73" s="13">
        <f>IF(ROWS($AB$2:$AB73)&lt;=MAX('Per Line'!$AM$2:$AM$301),MATCH(ROWS($AB$2:$AB73),'Per Line'!$AM$2:$AM$301,0),"")</f>
        <v/>
      </c>
    </row>
    <row r="74">
      <c r="A74" s="12" t="n"/>
      <c r="B74">
        <f>IF($AB74="","",INDEX('Per Line'!$E$2:$E$301,$AB74)&amp;"")</f>
        <v/>
      </c>
      <c r="C74">
        <f>IF($AB74="","",INDEX('Per Line'!$A$2:$A$301,$AB74)&amp;"")</f>
        <v/>
      </c>
      <c r="D74">
        <f>IF($AB74="","",INDEX('Per Line'!$B$2:$B$301,$AB74))</f>
        <v/>
      </c>
      <c r="E74">
        <f>IF($AB74="","",INDEX('Per Line'!$C$2:$C$301,$AB74)&amp;"")</f>
        <v/>
      </c>
      <c r="F74">
        <f>IF($AB74="","",INDEX('Per Line'!$D$2:$D$301,$AB74)&amp;"")</f>
        <v/>
      </c>
      <c r="G74">
        <f>IF($AB74="","",INDEX('Per Line'!$F$2:$F$301,$AB74)&amp;"")</f>
        <v/>
      </c>
      <c r="H74" s="11">
        <f>IF($AB74="","",INDEX('Per Line'!$G$2:$G$301,$AB74))</f>
        <v/>
      </c>
      <c r="I74">
        <f>IF($AB74="","",INDEX('Per Line'!$H$2:$H$301,$AB74)&amp;"")</f>
        <v/>
      </c>
      <c r="J74">
        <f>IF($AB74="","",INDEX('Per Line'!$J$2:$J$301,$AB74)&amp;"")</f>
        <v/>
      </c>
      <c r="K74">
        <f>IF($AB74="","",INDEX('Per Line'!$K$2:$K$301,$AB74)&amp;"")</f>
        <v/>
      </c>
      <c r="L74">
        <f>IF($AB74="","",INDEX('Per Line'!$L$2:$L$301,$AB74)&amp;"")</f>
        <v/>
      </c>
      <c r="M74">
        <f>IF($AB74="","",INDEX('Per Line'!$M$2:$M$301,$AB74)&amp;"")</f>
        <v/>
      </c>
      <c r="N74">
        <f>IF($AB74="","",INDEX('Per Line'!$N$2:$N$301,$AB74))</f>
        <v/>
      </c>
      <c r="O74" s="7">
        <f>IF($AB74="","",N74*Z74/100)</f>
        <v/>
      </c>
      <c r="P74">
        <f>IF($AB74="","",INDEX('Per Line'!$X$2:$X$301,$AB74)&amp;"")</f>
        <v/>
      </c>
      <c r="Q74" s="7">
        <f>IF($AB74="","",SUMIFS('Per Line'!$W$2:$W$301,'Per Line'!$E$2:$E$301,$B74,'Per Line'!$AO$2:$AO$301,1))</f>
        <v/>
      </c>
      <c r="R74">
        <f>IF($AB74="","",Settings!$C$7)</f>
        <v/>
      </c>
      <c r="S74" s="7">
        <f>IF($AB74="","",SUMIFS('Per Line'!$W$2:$W$301,'Per Line'!$E$2:$E$301,$B74,'Per Line'!$AN$2:$AN$301,0,'Per Line'!$AO$2:$AO$301,0))</f>
        <v/>
      </c>
      <c r="T74" s="7">
        <f>IF($AB74="","",S74*R74)</f>
        <v/>
      </c>
      <c r="U74">
        <f>IF($AB74="","",Settings!$C$6)</f>
        <v/>
      </c>
      <c r="V74" s="7">
        <f>IF($AB74="","",SUMIFS('Per Line'!$W$2:$W$301,'Per Line'!$E$2:$E$301,$B74,'Per Line'!$AN$2:$AN$301,1,'Per Line'!$AO$2:$AO$301,0))</f>
        <v/>
      </c>
      <c r="W74" s="7">
        <f>IF($AB74="","",V74*U74)</f>
        <v/>
      </c>
      <c r="X74" s="7">
        <f>IF($AB74="","",W74+T74)</f>
        <v/>
      </c>
      <c r="Y74" s="7">
        <f>IF($AB74="","",Z74-X74)</f>
        <v/>
      </c>
      <c r="Z74" s="7">
        <f>IF($AB74="","",S74+V74+Q74)</f>
        <v/>
      </c>
      <c r="AA74" s="7">
        <f>IF($AB74="","",Z74-X74-O74)</f>
        <v/>
      </c>
      <c r="AB74" s="13">
        <f>IF(ROWS($AB$2:$AB74)&lt;=MAX('Per Line'!$AM$2:$AM$301),MATCH(ROWS($AB$2:$AB74),'Per Line'!$AM$2:$AM$301,0),"")</f>
        <v/>
      </c>
    </row>
    <row r="75">
      <c r="A75" s="12" t="n"/>
      <c r="B75">
        <f>IF($AB75="","",INDEX('Per Line'!$E$2:$E$301,$AB75)&amp;"")</f>
        <v/>
      </c>
      <c r="C75">
        <f>IF($AB75="","",INDEX('Per Line'!$A$2:$A$301,$AB75)&amp;"")</f>
        <v/>
      </c>
      <c r="D75">
        <f>IF($AB75="","",INDEX('Per Line'!$B$2:$B$301,$AB75))</f>
        <v/>
      </c>
      <c r="E75">
        <f>IF($AB75="","",INDEX('Per Line'!$C$2:$C$301,$AB75)&amp;"")</f>
        <v/>
      </c>
      <c r="F75">
        <f>IF($AB75="","",INDEX('Per Line'!$D$2:$D$301,$AB75)&amp;"")</f>
        <v/>
      </c>
      <c r="G75">
        <f>IF($AB75="","",INDEX('Per Line'!$F$2:$F$301,$AB75)&amp;"")</f>
        <v/>
      </c>
      <c r="H75" s="11">
        <f>IF($AB75="","",INDEX('Per Line'!$G$2:$G$301,$AB75))</f>
        <v/>
      </c>
      <c r="I75">
        <f>IF($AB75="","",INDEX('Per Line'!$H$2:$H$301,$AB75)&amp;"")</f>
        <v/>
      </c>
      <c r="J75">
        <f>IF($AB75="","",INDEX('Per Line'!$J$2:$J$301,$AB75)&amp;"")</f>
        <v/>
      </c>
      <c r="K75">
        <f>IF($AB75="","",INDEX('Per Line'!$K$2:$K$301,$AB75)&amp;"")</f>
        <v/>
      </c>
      <c r="L75">
        <f>IF($AB75="","",INDEX('Per Line'!$L$2:$L$301,$AB75)&amp;"")</f>
        <v/>
      </c>
      <c r="M75">
        <f>IF($AB75="","",INDEX('Per Line'!$M$2:$M$301,$AB75)&amp;"")</f>
        <v/>
      </c>
      <c r="N75">
        <f>IF($AB75="","",INDEX('Per Line'!$N$2:$N$301,$AB75))</f>
        <v/>
      </c>
      <c r="O75" s="7">
        <f>IF($AB75="","",N75*Z75/100)</f>
        <v/>
      </c>
      <c r="P75">
        <f>IF($AB75="","",INDEX('Per Line'!$X$2:$X$301,$AB75)&amp;"")</f>
        <v/>
      </c>
      <c r="Q75" s="7">
        <f>IF($AB75="","",SUMIFS('Per Line'!$W$2:$W$301,'Per Line'!$E$2:$E$301,$B75,'Per Line'!$AO$2:$AO$301,1))</f>
        <v/>
      </c>
      <c r="R75">
        <f>IF($AB75="","",Settings!$C$7)</f>
        <v/>
      </c>
      <c r="S75" s="7">
        <f>IF($AB75="","",SUMIFS('Per Line'!$W$2:$W$301,'Per Line'!$E$2:$E$301,$B75,'Per Line'!$AN$2:$AN$301,0,'Per Line'!$AO$2:$AO$301,0))</f>
        <v/>
      </c>
      <c r="T75" s="7">
        <f>IF($AB75="","",S75*R75)</f>
        <v/>
      </c>
      <c r="U75">
        <f>IF($AB75="","",Settings!$C$6)</f>
        <v/>
      </c>
      <c r="V75" s="7">
        <f>IF($AB75="","",SUMIFS('Per Line'!$W$2:$W$301,'Per Line'!$E$2:$E$301,$B75,'Per Line'!$AN$2:$AN$301,1,'Per Line'!$AO$2:$AO$301,0))</f>
        <v/>
      </c>
      <c r="W75" s="7">
        <f>IF($AB75="","",V75*U75)</f>
        <v/>
      </c>
      <c r="X75" s="7">
        <f>IF($AB75="","",W75+T75)</f>
        <v/>
      </c>
      <c r="Y75" s="7">
        <f>IF($AB75="","",Z75-X75)</f>
        <v/>
      </c>
      <c r="Z75" s="7">
        <f>IF($AB75="","",S75+V75+Q75)</f>
        <v/>
      </c>
      <c r="AA75" s="7">
        <f>IF($AB75="","",Z75-X75-O75)</f>
        <v/>
      </c>
      <c r="AB75" s="13">
        <f>IF(ROWS($AB$2:$AB75)&lt;=MAX('Per Line'!$AM$2:$AM$301),MATCH(ROWS($AB$2:$AB75),'Per Line'!$AM$2:$AM$301,0),"")</f>
        <v/>
      </c>
    </row>
    <row r="76">
      <c r="A76" s="12" t="n"/>
      <c r="B76">
        <f>IF($AB76="","",INDEX('Per Line'!$E$2:$E$301,$AB76)&amp;"")</f>
        <v/>
      </c>
      <c r="C76">
        <f>IF($AB76="","",INDEX('Per Line'!$A$2:$A$301,$AB76)&amp;"")</f>
        <v/>
      </c>
      <c r="D76">
        <f>IF($AB76="","",INDEX('Per Line'!$B$2:$B$301,$AB76))</f>
        <v/>
      </c>
      <c r="E76">
        <f>IF($AB76="","",INDEX('Per Line'!$C$2:$C$301,$AB76)&amp;"")</f>
        <v/>
      </c>
      <c r="F76">
        <f>IF($AB76="","",INDEX('Per Line'!$D$2:$D$301,$AB76)&amp;"")</f>
        <v/>
      </c>
      <c r="G76">
        <f>IF($AB76="","",INDEX('Per Line'!$F$2:$F$301,$AB76)&amp;"")</f>
        <v/>
      </c>
      <c r="H76" s="11">
        <f>IF($AB76="","",INDEX('Per Line'!$G$2:$G$301,$AB76))</f>
        <v/>
      </c>
      <c r="I76">
        <f>IF($AB76="","",INDEX('Per Line'!$H$2:$H$301,$AB76)&amp;"")</f>
        <v/>
      </c>
      <c r="J76">
        <f>IF($AB76="","",INDEX('Per Line'!$J$2:$J$301,$AB76)&amp;"")</f>
        <v/>
      </c>
      <c r="K76">
        <f>IF($AB76="","",INDEX('Per Line'!$K$2:$K$301,$AB76)&amp;"")</f>
        <v/>
      </c>
      <c r="L76">
        <f>IF($AB76="","",INDEX('Per Line'!$L$2:$L$301,$AB76)&amp;"")</f>
        <v/>
      </c>
      <c r="M76">
        <f>IF($AB76="","",INDEX('Per Line'!$M$2:$M$301,$AB76)&amp;"")</f>
        <v/>
      </c>
      <c r="N76">
        <f>IF($AB76="","",INDEX('Per Line'!$N$2:$N$301,$AB76))</f>
        <v/>
      </c>
      <c r="O76" s="7">
        <f>IF($AB76="","",N76*Z76/100)</f>
        <v/>
      </c>
      <c r="P76">
        <f>IF($AB76="","",INDEX('Per Line'!$X$2:$X$301,$AB76)&amp;"")</f>
        <v/>
      </c>
      <c r="Q76" s="7">
        <f>IF($AB76="","",SUMIFS('Per Line'!$W$2:$W$301,'Per Line'!$E$2:$E$301,$B76,'Per Line'!$AO$2:$AO$301,1))</f>
        <v/>
      </c>
      <c r="R76">
        <f>IF($AB76="","",Settings!$C$7)</f>
        <v/>
      </c>
      <c r="S76" s="7">
        <f>IF($AB76="","",SUMIFS('Per Line'!$W$2:$W$301,'Per Line'!$E$2:$E$301,$B76,'Per Line'!$AN$2:$AN$301,0,'Per Line'!$AO$2:$AO$301,0))</f>
        <v/>
      </c>
      <c r="T76" s="7">
        <f>IF($AB76="","",S76*R76)</f>
        <v/>
      </c>
      <c r="U76">
        <f>IF($AB76="","",Settings!$C$6)</f>
        <v/>
      </c>
      <c r="V76" s="7">
        <f>IF($AB76="","",SUMIFS('Per Line'!$W$2:$W$301,'Per Line'!$E$2:$E$301,$B76,'Per Line'!$AN$2:$AN$301,1,'Per Line'!$AO$2:$AO$301,0))</f>
        <v/>
      </c>
      <c r="W76" s="7">
        <f>IF($AB76="","",V76*U76)</f>
        <v/>
      </c>
      <c r="X76" s="7">
        <f>IF($AB76="","",W76+T76)</f>
        <v/>
      </c>
      <c r="Y76" s="7">
        <f>IF($AB76="","",Z76-X76)</f>
        <v/>
      </c>
      <c r="Z76" s="7">
        <f>IF($AB76="","",S76+V76+Q76)</f>
        <v/>
      </c>
      <c r="AA76" s="7">
        <f>IF($AB76="","",Z76-X76-O76)</f>
        <v/>
      </c>
      <c r="AB76" s="13">
        <f>IF(ROWS($AB$2:$AB76)&lt;=MAX('Per Line'!$AM$2:$AM$301),MATCH(ROWS($AB$2:$AB76),'Per Line'!$AM$2:$AM$301,0),"")</f>
        <v/>
      </c>
    </row>
    <row r="77">
      <c r="A77" s="12" t="n"/>
      <c r="B77">
        <f>IF($AB77="","",INDEX('Per Line'!$E$2:$E$301,$AB77)&amp;"")</f>
        <v/>
      </c>
      <c r="C77">
        <f>IF($AB77="","",INDEX('Per Line'!$A$2:$A$301,$AB77)&amp;"")</f>
        <v/>
      </c>
      <c r="D77">
        <f>IF($AB77="","",INDEX('Per Line'!$B$2:$B$301,$AB77))</f>
        <v/>
      </c>
      <c r="E77">
        <f>IF($AB77="","",INDEX('Per Line'!$C$2:$C$301,$AB77)&amp;"")</f>
        <v/>
      </c>
      <c r="F77">
        <f>IF($AB77="","",INDEX('Per Line'!$D$2:$D$301,$AB77)&amp;"")</f>
        <v/>
      </c>
      <c r="G77">
        <f>IF($AB77="","",INDEX('Per Line'!$F$2:$F$301,$AB77)&amp;"")</f>
        <v/>
      </c>
      <c r="H77" s="11">
        <f>IF($AB77="","",INDEX('Per Line'!$G$2:$G$301,$AB77))</f>
        <v/>
      </c>
      <c r="I77">
        <f>IF($AB77="","",INDEX('Per Line'!$H$2:$H$301,$AB77)&amp;"")</f>
        <v/>
      </c>
      <c r="J77">
        <f>IF($AB77="","",INDEX('Per Line'!$J$2:$J$301,$AB77)&amp;"")</f>
        <v/>
      </c>
      <c r="K77">
        <f>IF($AB77="","",INDEX('Per Line'!$K$2:$K$301,$AB77)&amp;"")</f>
        <v/>
      </c>
      <c r="L77">
        <f>IF($AB77="","",INDEX('Per Line'!$L$2:$L$301,$AB77)&amp;"")</f>
        <v/>
      </c>
      <c r="M77">
        <f>IF($AB77="","",INDEX('Per Line'!$M$2:$M$301,$AB77)&amp;"")</f>
        <v/>
      </c>
      <c r="N77">
        <f>IF($AB77="","",INDEX('Per Line'!$N$2:$N$301,$AB77))</f>
        <v/>
      </c>
      <c r="O77" s="7">
        <f>IF($AB77="","",N77*Z77/100)</f>
        <v/>
      </c>
      <c r="P77">
        <f>IF($AB77="","",INDEX('Per Line'!$X$2:$X$301,$AB77)&amp;"")</f>
        <v/>
      </c>
      <c r="Q77" s="7">
        <f>IF($AB77="","",SUMIFS('Per Line'!$W$2:$W$301,'Per Line'!$E$2:$E$301,$B77,'Per Line'!$AO$2:$AO$301,1))</f>
        <v/>
      </c>
      <c r="R77">
        <f>IF($AB77="","",Settings!$C$7)</f>
        <v/>
      </c>
      <c r="S77" s="7">
        <f>IF($AB77="","",SUMIFS('Per Line'!$W$2:$W$301,'Per Line'!$E$2:$E$301,$B77,'Per Line'!$AN$2:$AN$301,0,'Per Line'!$AO$2:$AO$301,0))</f>
        <v/>
      </c>
      <c r="T77" s="7">
        <f>IF($AB77="","",S77*R77)</f>
        <v/>
      </c>
      <c r="U77">
        <f>IF($AB77="","",Settings!$C$6)</f>
        <v/>
      </c>
      <c r="V77" s="7">
        <f>IF($AB77="","",SUMIFS('Per Line'!$W$2:$W$301,'Per Line'!$E$2:$E$301,$B77,'Per Line'!$AN$2:$AN$301,1,'Per Line'!$AO$2:$AO$301,0))</f>
        <v/>
      </c>
      <c r="W77" s="7">
        <f>IF($AB77="","",V77*U77)</f>
        <v/>
      </c>
      <c r="X77" s="7">
        <f>IF($AB77="","",W77+T77)</f>
        <v/>
      </c>
      <c r="Y77" s="7">
        <f>IF($AB77="","",Z77-X77)</f>
        <v/>
      </c>
      <c r="Z77" s="7">
        <f>IF($AB77="","",S77+V77+Q77)</f>
        <v/>
      </c>
      <c r="AA77" s="7">
        <f>IF($AB77="","",Z77-X77-O77)</f>
        <v/>
      </c>
      <c r="AB77" s="13">
        <f>IF(ROWS($AB$2:$AB77)&lt;=MAX('Per Line'!$AM$2:$AM$301),MATCH(ROWS($AB$2:$AB77),'Per Line'!$AM$2:$AM$301,0),"")</f>
        <v/>
      </c>
    </row>
    <row r="78">
      <c r="A78" s="12" t="n"/>
      <c r="B78">
        <f>IF($AB78="","",INDEX('Per Line'!$E$2:$E$301,$AB78)&amp;"")</f>
        <v/>
      </c>
      <c r="C78">
        <f>IF($AB78="","",INDEX('Per Line'!$A$2:$A$301,$AB78)&amp;"")</f>
        <v/>
      </c>
      <c r="D78">
        <f>IF($AB78="","",INDEX('Per Line'!$B$2:$B$301,$AB78))</f>
        <v/>
      </c>
      <c r="E78">
        <f>IF($AB78="","",INDEX('Per Line'!$C$2:$C$301,$AB78)&amp;"")</f>
        <v/>
      </c>
      <c r="F78">
        <f>IF($AB78="","",INDEX('Per Line'!$D$2:$D$301,$AB78)&amp;"")</f>
        <v/>
      </c>
      <c r="G78">
        <f>IF($AB78="","",INDEX('Per Line'!$F$2:$F$301,$AB78)&amp;"")</f>
        <v/>
      </c>
      <c r="H78" s="11">
        <f>IF($AB78="","",INDEX('Per Line'!$G$2:$G$301,$AB78))</f>
        <v/>
      </c>
      <c r="I78">
        <f>IF($AB78="","",INDEX('Per Line'!$H$2:$H$301,$AB78)&amp;"")</f>
        <v/>
      </c>
      <c r="J78">
        <f>IF($AB78="","",INDEX('Per Line'!$J$2:$J$301,$AB78)&amp;"")</f>
        <v/>
      </c>
      <c r="K78">
        <f>IF($AB78="","",INDEX('Per Line'!$K$2:$K$301,$AB78)&amp;"")</f>
        <v/>
      </c>
      <c r="L78">
        <f>IF($AB78="","",INDEX('Per Line'!$L$2:$L$301,$AB78)&amp;"")</f>
        <v/>
      </c>
      <c r="M78">
        <f>IF($AB78="","",INDEX('Per Line'!$M$2:$M$301,$AB78)&amp;"")</f>
        <v/>
      </c>
      <c r="N78">
        <f>IF($AB78="","",INDEX('Per Line'!$N$2:$N$301,$AB78))</f>
        <v/>
      </c>
      <c r="O78" s="7">
        <f>IF($AB78="","",N78*Z78/100)</f>
        <v/>
      </c>
      <c r="P78">
        <f>IF($AB78="","",INDEX('Per Line'!$X$2:$X$301,$AB78)&amp;"")</f>
        <v/>
      </c>
      <c r="Q78" s="7">
        <f>IF($AB78="","",SUMIFS('Per Line'!$W$2:$W$301,'Per Line'!$E$2:$E$301,$B78,'Per Line'!$AO$2:$AO$301,1))</f>
        <v/>
      </c>
      <c r="R78">
        <f>IF($AB78="","",Settings!$C$7)</f>
        <v/>
      </c>
      <c r="S78" s="7">
        <f>IF($AB78="","",SUMIFS('Per Line'!$W$2:$W$301,'Per Line'!$E$2:$E$301,$B78,'Per Line'!$AN$2:$AN$301,0,'Per Line'!$AO$2:$AO$301,0))</f>
        <v/>
      </c>
      <c r="T78" s="7">
        <f>IF($AB78="","",S78*R78)</f>
        <v/>
      </c>
      <c r="U78">
        <f>IF($AB78="","",Settings!$C$6)</f>
        <v/>
      </c>
      <c r="V78" s="7">
        <f>IF($AB78="","",SUMIFS('Per Line'!$W$2:$W$301,'Per Line'!$E$2:$E$301,$B78,'Per Line'!$AN$2:$AN$301,1,'Per Line'!$AO$2:$AO$301,0))</f>
        <v/>
      </c>
      <c r="W78" s="7">
        <f>IF($AB78="","",V78*U78)</f>
        <v/>
      </c>
      <c r="X78" s="7">
        <f>IF($AB78="","",W78+T78)</f>
        <v/>
      </c>
      <c r="Y78" s="7">
        <f>IF($AB78="","",Z78-X78)</f>
        <v/>
      </c>
      <c r="Z78" s="7">
        <f>IF($AB78="","",S78+V78+Q78)</f>
        <v/>
      </c>
      <c r="AA78" s="7">
        <f>IF($AB78="","",Z78-X78-O78)</f>
        <v/>
      </c>
      <c r="AB78" s="13">
        <f>IF(ROWS($AB$2:$AB78)&lt;=MAX('Per Line'!$AM$2:$AM$301),MATCH(ROWS($AB$2:$AB78),'Per Line'!$AM$2:$AM$301,0),"")</f>
        <v/>
      </c>
    </row>
    <row r="79">
      <c r="A79" s="12" t="n"/>
      <c r="B79">
        <f>IF($AB79="","",INDEX('Per Line'!$E$2:$E$301,$AB79)&amp;"")</f>
        <v/>
      </c>
      <c r="C79">
        <f>IF($AB79="","",INDEX('Per Line'!$A$2:$A$301,$AB79)&amp;"")</f>
        <v/>
      </c>
      <c r="D79">
        <f>IF($AB79="","",INDEX('Per Line'!$B$2:$B$301,$AB79))</f>
        <v/>
      </c>
      <c r="E79">
        <f>IF($AB79="","",INDEX('Per Line'!$C$2:$C$301,$AB79)&amp;"")</f>
        <v/>
      </c>
      <c r="F79">
        <f>IF($AB79="","",INDEX('Per Line'!$D$2:$D$301,$AB79)&amp;"")</f>
        <v/>
      </c>
      <c r="G79">
        <f>IF($AB79="","",INDEX('Per Line'!$F$2:$F$301,$AB79)&amp;"")</f>
        <v/>
      </c>
      <c r="H79" s="11">
        <f>IF($AB79="","",INDEX('Per Line'!$G$2:$G$301,$AB79))</f>
        <v/>
      </c>
      <c r="I79">
        <f>IF($AB79="","",INDEX('Per Line'!$H$2:$H$301,$AB79)&amp;"")</f>
        <v/>
      </c>
      <c r="J79">
        <f>IF($AB79="","",INDEX('Per Line'!$J$2:$J$301,$AB79)&amp;"")</f>
        <v/>
      </c>
      <c r="K79">
        <f>IF($AB79="","",INDEX('Per Line'!$K$2:$K$301,$AB79)&amp;"")</f>
        <v/>
      </c>
      <c r="L79">
        <f>IF($AB79="","",INDEX('Per Line'!$L$2:$L$301,$AB79)&amp;"")</f>
        <v/>
      </c>
      <c r="M79">
        <f>IF($AB79="","",INDEX('Per Line'!$M$2:$M$301,$AB79)&amp;"")</f>
        <v/>
      </c>
      <c r="N79">
        <f>IF($AB79="","",INDEX('Per Line'!$N$2:$N$301,$AB79))</f>
        <v/>
      </c>
      <c r="O79" s="7">
        <f>IF($AB79="","",N79*Z79/100)</f>
        <v/>
      </c>
      <c r="P79">
        <f>IF($AB79="","",INDEX('Per Line'!$X$2:$X$301,$AB79)&amp;"")</f>
        <v/>
      </c>
      <c r="Q79" s="7">
        <f>IF($AB79="","",SUMIFS('Per Line'!$W$2:$W$301,'Per Line'!$E$2:$E$301,$B79,'Per Line'!$AO$2:$AO$301,1))</f>
        <v/>
      </c>
      <c r="R79">
        <f>IF($AB79="","",Settings!$C$7)</f>
        <v/>
      </c>
      <c r="S79" s="7">
        <f>IF($AB79="","",SUMIFS('Per Line'!$W$2:$W$301,'Per Line'!$E$2:$E$301,$B79,'Per Line'!$AN$2:$AN$301,0,'Per Line'!$AO$2:$AO$301,0))</f>
        <v/>
      </c>
      <c r="T79" s="7">
        <f>IF($AB79="","",S79*R79)</f>
        <v/>
      </c>
      <c r="U79">
        <f>IF($AB79="","",Settings!$C$6)</f>
        <v/>
      </c>
      <c r="V79" s="7">
        <f>IF($AB79="","",SUMIFS('Per Line'!$W$2:$W$301,'Per Line'!$E$2:$E$301,$B79,'Per Line'!$AN$2:$AN$301,1,'Per Line'!$AO$2:$AO$301,0))</f>
        <v/>
      </c>
      <c r="W79" s="7">
        <f>IF($AB79="","",V79*U79)</f>
        <v/>
      </c>
      <c r="X79" s="7">
        <f>IF($AB79="","",W79+T79)</f>
        <v/>
      </c>
      <c r="Y79" s="7">
        <f>IF($AB79="","",Z79-X79)</f>
        <v/>
      </c>
      <c r="Z79" s="7">
        <f>IF($AB79="","",S79+V79+Q79)</f>
        <v/>
      </c>
      <c r="AA79" s="7">
        <f>IF($AB79="","",Z79-X79-O79)</f>
        <v/>
      </c>
      <c r="AB79" s="13">
        <f>IF(ROWS($AB$2:$AB79)&lt;=MAX('Per Line'!$AM$2:$AM$301),MATCH(ROWS($AB$2:$AB79),'Per Line'!$AM$2:$AM$301,0),"")</f>
        <v/>
      </c>
    </row>
    <row r="80">
      <c r="A80" s="12" t="n"/>
      <c r="B80">
        <f>IF($AB80="","",INDEX('Per Line'!$E$2:$E$301,$AB80)&amp;"")</f>
        <v/>
      </c>
      <c r="C80">
        <f>IF($AB80="","",INDEX('Per Line'!$A$2:$A$301,$AB80)&amp;"")</f>
        <v/>
      </c>
      <c r="D80">
        <f>IF($AB80="","",INDEX('Per Line'!$B$2:$B$301,$AB80))</f>
        <v/>
      </c>
      <c r="E80">
        <f>IF($AB80="","",INDEX('Per Line'!$C$2:$C$301,$AB80)&amp;"")</f>
        <v/>
      </c>
      <c r="F80">
        <f>IF($AB80="","",INDEX('Per Line'!$D$2:$D$301,$AB80)&amp;"")</f>
        <v/>
      </c>
      <c r="G80">
        <f>IF($AB80="","",INDEX('Per Line'!$F$2:$F$301,$AB80)&amp;"")</f>
        <v/>
      </c>
      <c r="H80" s="11">
        <f>IF($AB80="","",INDEX('Per Line'!$G$2:$G$301,$AB80))</f>
        <v/>
      </c>
      <c r="I80">
        <f>IF($AB80="","",INDEX('Per Line'!$H$2:$H$301,$AB80)&amp;"")</f>
        <v/>
      </c>
      <c r="J80">
        <f>IF($AB80="","",INDEX('Per Line'!$J$2:$J$301,$AB80)&amp;"")</f>
        <v/>
      </c>
      <c r="K80">
        <f>IF($AB80="","",INDEX('Per Line'!$K$2:$K$301,$AB80)&amp;"")</f>
        <v/>
      </c>
      <c r="L80">
        <f>IF($AB80="","",INDEX('Per Line'!$L$2:$L$301,$AB80)&amp;"")</f>
        <v/>
      </c>
      <c r="M80">
        <f>IF($AB80="","",INDEX('Per Line'!$M$2:$M$301,$AB80)&amp;"")</f>
        <v/>
      </c>
      <c r="N80">
        <f>IF($AB80="","",INDEX('Per Line'!$N$2:$N$301,$AB80))</f>
        <v/>
      </c>
      <c r="O80" s="7">
        <f>IF($AB80="","",N80*Z80/100)</f>
        <v/>
      </c>
      <c r="P80">
        <f>IF($AB80="","",INDEX('Per Line'!$X$2:$X$301,$AB80)&amp;"")</f>
        <v/>
      </c>
      <c r="Q80" s="7">
        <f>IF($AB80="","",SUMIFS('Per Line'!$W$2:$W$301,'Per Line'!$E$2:$E$301,$B80,'Per Line'!$AO$2:$AO$301,1))</f>
        <v/>
      </c>
      <c r="R80">
        <f>IF($AB80="","",Settings!$C$7)</f>
        <v/>
      </c>
      <c r="S80" s="7">
        <f>IF($AB80="","",SUMIFS('Per Line'!$W$2:$W$301,'Per Line'!$E$2:$E$301,$B80,'Per Line'!$AN$2:$AN$301,0,'Per Line'!$AO$2:$AO$301,0))</f>
        <v/>
      </c>
      <c r="T80" s="7">
        <f>IF($AB80="","",S80*R80)</f>
        <v/>
      </c>
      <c r="U80">
        <f>IF($AB80="","",Settings!$C$6)</f>
        <v/>
      </c>
      <c r="V80" s="7">
        <f>IF($AB80="","",SUMIFS('Per Line'!$W$2:$W$301,'Per Line'!$E$2:$E$301,$B80,'Per Line'!$AN$2:$AN$301,1,'Per Line'!$AO$2:$AO$301,0))</f>
        <v/>
      </c>
      <c r="W80" s="7">
        <f>IF($AB80="","",V80*U80)</f>
        <v/>
      </c>
      <c r="X80" s="7">
        <f>IF($AB80="","",W80+T80)</f>
        <v/>
      </c>
      <c r="Y80" s="7">
        <f>IF($AB80="","",Z80-X80)</f>
        <v/>
      </c>
      <c r="Z80" s="7">
        <f>IF($AB80="","",S80+V80+Q80)</f>
        <v/>
      </c>
      <c r="AA80" s="7">
        <f>IF($AB80="","",Z80-X80-O80)</f>
        <v/>
      </c>
      <c r="AB80" s="13">
        <f>IF(ROWS($AB$2:$AB80)&lt;=MAX('Per Line'!$AM$2:$AM$301),MATCH(ROWS($AB$2:$AB80),'Per Line'!$AM$2:$AM$301,0),"")</f>
        <v/>
      </c>
    </row>
    <row r="81">
      <c r="A81" s="12" t="n"/>
      <c r="B81">
        <f>IF($AB81="","",INDEX('Per Line'!$E$2:$E$301,$AB81)&amp;"")</f>
        <v/>
      </c>
      <c r="C81">
        <f>IF($AB81="","",INDEX('Per Line'!$A$2:$A$301,$AB81)&amp;"")</f>
        <v/>
      </c>
      <c r="D81">
        <f>IF($AB81="","",INDEX('Per Line'!$B$2:$B$301,$AB81))</f>
        <v/>
      </c>
      <c r="E81">
        <f>IF($AB81="","",INDEX('Per Line'!$C$2:$C$301,$AB81)&amp;"")</f>
        <v/>
      </c>
      <c r="F81">
        <f>IF($AB81="","",INDEX('Per Line'!$D$2:$D$301,$AB81)&amp;"")</f>
        <v/>
      </c>
      <c r="G81">
        <f>IF($AB81="","",INDEX('Per Line'!$F$2:$F$301,$AB81)&amp;"")</f>
        <v/>
      </c>
      <c r="H81" s="11">
        <f>IF($AB81="","",INDEX('Per Line'!$G$2:$G$301,$AB81))</f>
        <v/>
      </c>
      <c r="I81">
        <f>IF($AB81="","",INDEX('Per Line'!$H$2:$H$301,$AB81)&amp;"")</f>
        <v/>
      </c>
      <c r="J81">
        <f>IF($AB81="","",INDEX('Per Line'!$J$2:$J$301,$AB81)&amp;"")</f>
        <v/>
      </c>
      <c r="K81">
        <f>IF($AB81="","",INDEX('Per Line'!$K$2:$K$301,$AB81)&amp;"")</f>
        <v/>
      </c>
      <c r="L81">
        <f>IF($AB81="","",INDEX('Per Line'!$L$2:$L$301,$AB81)&amp;"")</f>
        <v/>
      </c>
      <c r="M81">
        <f>IF($AB81="","",INDEX('Per Line'!$M$2:$M$301,$AB81)&amp;"")</f>
        <v/>
      </c>
      <c r="N81">
        <f>IF($AB81="","",INDEX('Per Line'!$N$2:$N$301,$AB81))</f>
        <v/>
      </c>
      <c r="O81" s="7">
        <f>IF($AB81="","",N81*Z81/100)</f>
        <v/>
      </c>
      <c r="P81">
        <f>IF($AB81="","",INDEX('Per Line'!$X$2:$X$301,$AB81)&amp;"")</f>
        <v/>
      </c>
      <c r="Q81" s="7">
        <f>IF($AB81="","",SUMIFS('Per Line'!$W$2:$W$301,'Per Line'!$E$2:$E$301,$B81,'Per Line'!$AO$2:$AO$301,1))</f>
        <v/>
      </c>
      <c r="R81">
        <f>IF($AB81="","",Settings!$C$7)</f>
        <v/>
      </c>
      <c r="S81" s="7">
        <f>IF($AB81="","",SUMIFS('Per Line'!$W$2:$W$301,'Per Line'!$E$2:$E$301,$B81,'Per Line'!$AN$2:$AN$301,0,'Per Line'!$AO$2:$AO$301,0))</f>
        <v/>
      </c>
      <c r="T81" s="7">
        <f>IF($AB81="","",S81*R81)</f>
        <v/>
      </c>
      <c r="U81">
        <f>IF($AB81="","",Settings!$C$6)</f>
        <v/>
      </c>
      <c r="V81" s="7">
        <f>IF($AB81="","",SUMIFS('Per Line'!$W$2:$W$301,'Per Line'!$E$2:$E$301,$B81,'Per Line'!$AN$2:$AN$301,1,'Per Line'!$AO$2:$AO$301,0))</f>
        <v/>
      </c>
      <c r="W81" s="7">
        <f>IF($AB81="","",V81*U81)</f>
        <v/>
      </c>
      <c r="X81" s="7">
        <f>IF($AB81="","",W81+T81)</f>
        <v/>
      </c>
      <c r="Y81" s="7">
        <f>IF($AB81="","",Z81-X81)</f>
        <v/>
      </c>
      <c r="Z81" s="7">
        <f>IF($AB81="","",S81+V81+Q81)</f>
        <v/>
      </c>
      <c r="AA81" s="7">
        <f>IF($AB81="","",Z81-X81-O81)</f>
        <v/>
      </c>
      <c r="AB81" s="13">
        <f>IF(ROWS($AB$2:$AB81)&lt;=MAX('Per Line'!$AM$2:$AM$301),MATCH(ROWS($AB$2:$AB81),'Per Line'!$AM$2:$AM$301,0),"")</f>
        <v/>
      </c>
    </row>
    <row r="82">
      <c r="A82" s="12" t="n"/>
      <c r="B82">
        <f>IF($AB82="","",INDEX('Per Line'!$E$2:$E$301,$AB82)&amp;"")</f>
        <v/>
      </c>
      <c r="C82">
        <f>IF($AB82="","",INDEX('Per Line'!$A$2:$A$301,$AB82)&amp;"")</f>
        <v/>
      </c>
      <c r="D82">
        <f>IF($AB82="","",INDEX('Per Line'!$B$2:$B$301,$AB82))</f>
        <v/>
      </c>
      <c r="E82">
        <f>IF($AB82="","",INDEX('Per Line'!$C$2:$C$301,$AB82)&amp;"")</f>
        <v/>
      </c>
      <c r="F82">
        <f>IF($AB82="","",INDEX('Per Line'!$D$2:$D$301,$AB82)&amp;"")</f>
        <v/>
      </c>
      <c r="G82">
        <f>IF($AB82="","",INDEX('Per Line'!$F$2:$F$301,$AB82)&amp;"")</f>
        <v/>
      </c>
      <c r="H82" s="11">
        <f>IF($AB82="","",INDEX('Per Line'!$G$2:$G$301,$AB82))</f>
        <v/>
      </c>
      <c r="I82">
        <f>IF($AB82="","",INDEX('Per Line'!$H$2:$H$301,$AB82)&amp;"")</f>
        <v/>
      </c>
      <c r="J82">
        <f>IF($AB82="","",INDEX('Per Line'!$J$2:$J$301,$AB82)&amp;"")</f>
        <v/>
      </c>
      <c r="K82">
        <f>IF($AB82="","",INDEX('Per Line'!$K$2:$K$301,$AB82)&amp;"")</f>
        <v/>
      </c>
      <c r="L82">
        <f>IF($AB82="","",INDEX('Per Line'!$L$2:$L$301,$AB82)&amp;"")</f>
        <v/>
      </c>
      <c r="M82">
        <f>IF($AB82="","",INDEX('Per Line'!$M$2:$M$301,$AB82)&amp;"")</f>
        <v/>
      </c>
      <c r="N82">
        <f>IF($AB82="","",INDEX('Per Line'!$N$2:$N$301,$AB82))</f>
        <v/>
      </c>
      <c r="O82" s="7">
        <f>IF($AB82="","",N82*Z82/100)</f>
        <v/>
      </c>
      <c r="P82">
        <f>IF($AB82="","",INDEX('Per Line'!$X$2:$X$301,$AB82)&amp;"")</f>
        <v/>
      </c>
      <c r="Q82" s="7">
        <f>IF($AB82="","",SUMIFS('Per Line'!$W$2:$W$301,'Per Line'!$E$2:$E$301,$B82,'Per Line'!$AO$2:$AO$301,1))</f>
        <v/>
      </c>
      <c r="R82">
        <f>IF($AB82="","",Settings!$C$7)</f>
        <v/>
      </c>
      <c r="S82" s="7">
        <f>IF($AB82="","",SUMIFS('Per Line'!$W$2:$W$301,'Per Line'!$E$2:$E$301,$B82,'Per Line'!$AN$2:$AN$301,0,'Per Line'!$AO$2:$AO$301,0))</f>
        <v/>
      </c>
      <c r="T82" s="7">
        <f>IF($AB82="","",S82*R82)</f>
        <v/>
      </c>
      <c r="U82">
        <f>IF($AB82="","",Settings!$C$6)</f>
        <v/>
      </c>
      <c r="V82" s="7">
        <f>IF($AB82="","",SUMIFS('Per Line'!$W$2:$W$301,'Per Line'!$E$2:$E$301,$B82,'Per Line'!$AN$2:$AN$301,1,'Per Line'!$AO$2:$AO$301,0))</f>
        <v/>
      </c>
      <c r="W82" s="7">
        <f>IF($AB82="","",V82*U82)</f>
        <v/>
      </c>
      <c r="X82" s="7">
        <f>IF($AB82="","",W82+T82)</f>
        <v/>
      </c>
      <c r="Y82" s="7">
        <f>IF($AB82="","",Z82-X82)</f>
        <v/>
      </c>
      <c r="Z82" s="7">
        <f>IF($AB82="","",S82+V82+Q82)</f>
        <v/>
      </c>
      <c r="AA82" s="7">
        <f>IF($AB82="","",Z82-X82-O82)</f>
        <v/>
      </c>
      <c r="AB82" s="13">
        <f>IF(ROWS($AB$2:$AB82)&lt;=MAX('Per Line'!$AM$2:$AM$301),MATCH(ROWS($AB$2:$AB82),'Per Line'!$AM$2:$AM$301,0),"")</f>
        <v/>
      </c>
    </row>
    <row r="83">
      <c r="A83" s="12" t="n"/>
      <c r="B83">
        <f>IF($AB83="","",INDEX('Per Line'!$E$2:$E$301,$AB83)&amp;"")</f>
        <v/>
      </c>
      <c r="C83">
        <f>IF($AB83="","",INDEX('Per Line'!$A$2:$A$301,$AB83)&amp;"")</f>
        <v/>
      </c>
      <c r="D83">
        <f>IF($AB83="","",INDEX('Per Line'!$B$2:$B$301,$AB83))</f>
        <v/>
      </c>
      <c r="E83">
        <f>IF($AB83="","",INDEX('Per Line'!$C$2:$C$301,$AB83)&amp;"")</f>
        <v/>
      </c>
      <c r="F83">
        <f>IF($AB83="","",INDEX('Per Line'!$D$2:$D$301,$AB83)&amp;"")</f>
        <v/>
      </c>
      <c r="G83">
        <f>IF($AB83="","",INDEX('Per Line'!$F$2:$F$301,$AB83)&amp;"")</f>
        <v/>
      </c>
      <c r="H83" s="11">
        <f>IF($AB83="","",INDEX('Per Line'!$G$2:$G$301,$AB83))</f>
        <v/>
      </c>
      <c r="I83">
        <f>IF($AB83="","",INDEX('Per Line'!$H$2:$H$301,$AB83)&amp;"")</f>
        <v/>
      </c>
      <c r="J83">
        <f>IF($AB83="","",INDEX('Per Line'!$J$2:$J$301,$AB83)&amp;"")</f>
        <v/>
      </c>
      <c r="K83">
        <f>IF($AB83="","",INDEX('Per Line'!$K$2:$K$301,$AB83)&amp;"")</f>
        <v/>
      </c>
      <c r="L83">
        <f>IF($AB83="","",INDEX('Per Line'!$L$2:$L$301,$AB83)&amp;"")</f>
        <v/>
      </c>
      <c r="M83">
        <f>IF($AB83="","",INDEX('Per Line'!$M$2:$M$301,$AB83)&amp;"")</f>
        <v/>
      </c>
      <c r="N83">
        <f>IF($AB83="","",INDEX('Per Line'!$N$2:$N$301,$AB83))</f>
        <v/>
      </c>
      <c r="O83" s="7">
        <f>IF($AB83="","",N83*Z83/100)</f>
        <v/>
      </c>
      <c r="P83">
        <f>IF($AB83="","",INDEX('Per Line'!$X$2:$X$301,$AB83)&amp;"")</f>
        <v/>
      </c>
      <c r="Q83" s="7">
        <f>IF($AB83="","",SUMIFS('Per Line'!$W$2:$W$301,'Per Line'!$E$2:$E$301,$B83,'Per Line'!$AO$2:$AO$301,1))</f>
        <v/>
      </c>
      <c r="R83">
        <f>IF($AB83="","",Settings!$C$7)</f>
        <v/>
      </c>
      <c r="S83" s="7">
        <f>IF($AB83="","",SUMIFS('Per Line'!$W$2:$W$301,'Per Line'!$E$2:$E$301,$B83,'Per Line'!$AN$2:$AN$301,0,'Per Line'!$AO$2:$AO$301,0))</f>
        <v/>
      </c>
      <c r="T83" s="7">
        <f>IF($AB83="","",S83*R83)</f>
        <v/>
      </c>
      <c r="U83">
        <f>IF($AB83="","",Settings!$C$6)</f>
        <v/>
      </c>
      <c r="V83" s="7">
        <f>IF($AB83="","",SUMIFS('Per Line'!$W$2:$W$301,'Per Line'!$E$2:$E$301,$B83,'Per Line'!$AN$2:$AN$301,1,'Per Line'!$AO$2:$AO$301,0))</f>
        <v/>
      </c>
      <c r="W83" s="7">
        <f>IF($AB83="","",V83*U83)</f>
        <v/>
      </c>
      <c r="X83" s="7">
        <f>IF($AB83="","",W83+T83)</f>
        <v/>
      </c>
      <c r="Y83" s="7">
        <f>IF($AB83="","",Z83-X83)</f>
        <v/>
      </c>
      <c r="Z83" s="7">
        <f>IF($AB83="","",S83+V83+Q83)</f>
        <v/>
      </c>
      <c r="AA83" s="7">
        <f>IF($AB83="","",Z83-X83-O83)</f>
        <v/>
      </c>
      <c r="AB83" s="13">
        <f>IF(ROWS($AB$2:$AB83)&lt;=MAX('Per Line'!$AM$2:$AM$301),MATCH(ROWS($AB$2:$AB83),'Per Line'!$AM$2:$AM$301,0),"")</f>
        <v/>
      </c>
    </row>
    <row r="84">
      <c r="A84" s="12" t="n"/>
      <c r="B84">
        <f>IF($AB84="","",INDEX('Per Line'!$E$2:$E$301,$AB84)&amp;"")</f>
        <v/>
      </c>
      <c r="C84">
        <f>IF($AB84="","",INDEX('Per Line'!$A$2:$A$301,$AB84)&amp;"")</f>
        <v/>
      </c>
      <c r="D84">
        <f>IF($AB84="","",INDEX('Per Line'!$B$2:$B$301,$AB84))</f>
        <v/>
      </c>
      <c r="E84">
        <f>IF($AB84="","",INDEX('Per Line'!$C$2:$C$301,$AB84)&amp;"")</f>
        <v/>
      </c>
      <c r="F84">
        <f>IF($AB84="","",INDEX('Per Line'!$D$2:$D$301,$AB84)&amp;"")</f>
        <v/>
      </c>
      <c r="G84">
        <f>IF($AB84="","",INDEX('Per Line'!$F$2:$F$301,$AB84)&amp;"")</f>
        <v/>
      </c>
      <c r="H84" s="11">
        <f>IF($AB84="","",INDEX('Per Line'!$G$2:$G$301,$AB84))</f>
        <v/>
      </c>
      <c r="I84">
        <f>IF($AB84="","",INDEX('Per Line'!$H$2:$H$301,$AB84)&amp;"")</f>
        <v/>
      </c>
      <c r="J84">
        <f>IF($AB84="","",INDEX('Per Line'!$J$2:$J$301,$AB84)&amp;"")</f>
        <v/>
      </c>
      <c r="K84">
        <f>IF($AB84="","",INDEX('Per Line'!$K$2:$K$301,$AB84)&amp;"")</f>
        <v/>
      </c>
      <c r="L84">
        <f>IF($AB84="","",INDEX('Per Line'!$L$2:$L$301,$AB84)&amp;"")</f>
        <v/>
      </c>
      <c r="M84">
        <f>IF($AB84="","",INDEX('Per Line'!$M$2:$M$301,$AB84)&amp;"")</f>
        <v/>
      </c>
      <c r="N84">
        <f>IF($AB84="","",INDEX('Per Line'!$N$2:$N$301,$AB84))</f>
        <v/>
      </c>
      <c r="O84" s="7">
        <f>IF($AB84="","",N84*Z84/100)</f>
        <v/>
      </c>
      <c r="P84">
        <f>IF($AB84="","",INDEX('Per Line'!$X$2:$X$301,$AB84)&amp;"")</f>
        <v/>
      </c>
      <c r="Q84" s="7">
        <f>IF($AB84="","",SUMIFS('Per Line'!$W$2:$W$301,'Per Line'!$E$2:$E$301,$B84,'Per Line'!$AO$2:$AO$301,1))</f>
        <v/>
      </c>
      <c r="R84">
        <f>IF($AB84="","",Settings!$C$7)</f>
        <v/>
      </c>
      <c r="S84" s="7">
        <f>IF($AB84="","",SUMIFS('Per Line'!$W$2:$W$301,'Per Line'!$E$2:$E$301,$B84,'Per Line'!$AN$2:$AN$301,0,'Per Line'!$AO$2:$AO$301,0))</f>
        <v/>
      </c>
      <c r="T84" s="7">
        <f>IF($AB84="","",S84*R84)</f>
        <v/>
      </c>
      <c r="U84">
        <f>IF($AB84="","",Settings!$C$6)</f>
        <v/>
      </c>
      <c r="V84" s="7">
        <f>IF($AB84="","",SUMIFS('Per Line'!$W$2:$W$301,'Per Line'!$E$2:$E$301,$B84,'Per Line'!$AN$2:$AN$301,1,'Per Line'!$AO$2:$AO$301,0))</f>
        <v/>
      </c>
      <c r="W84" s="7">
        <f>IF($AB84="","",V84*U84)</f>
        <v/>
      </c>
      <c r="X84" s="7">
        <f>IF($AB84="","",W84+T84)</f>
        <v/>
      </c>
      <c r="Y84" s="7">
        <f>IF($AB84="","",Z84-X84)</f>
        <v/>
      </c>
      <c r="Z84" s="7">
        <f>IF($AB84="","",S84+V84+Q84)</f>
        <v/>
      </c>
      <c r="AA84" s="7">
        <f>IF($AB84="","",Z84-X84-O84)</f>
        <v/>
      </c>
      <c r="AB84" s="13">
        <f>IF(ROWS($AB$2:$AB84)&lt;=MAX('Per Line'!$AM$2:$AM$301),MATCH(ROWS($AB$2:$AB84),'Per Line'!$AM$2:$AM$301,0),"")</f>
        <v/>
      </c>
    </row>
    <row r="85">
      <c r="A85" s="12" t="n"/>
      <c r="B85">
        <f>IF($AB85="","",INDEX('Per Line'!$E$2:$E$301,$AB85)&amp;"")</f>
        <v/>
      </c>
      <c r="C85">
        <f>IF($AB85="","",INDEX('Per Line'!$A$2:$A$301,$AB85)&amp;"")</f>
        <v/>
      </c>
      <c r="D85">
        <f>IF($AB85="","",INDEX('Per Line'!$B$2:$B$301,$AB85))</f>
        <v/>
      </c>
      <c r="E85">
        <f>IF($AB85="","",INDEX('Per Line'!$C$2:$C$301,$AB85)&amp;"")</f>
        <v/>
      </c>
      <c r="F85">
        <f>IF($AB85="","",INDEX('Per Line'!$D$2:$D$301,$AB85)&amp;"")</f>
        <v/>
      </c>
      <c r="G85">
        <f>IF($AB85="","",INDEX('Per Line'!$F$2:$F$301,$AB85)&amp;"")</f>
        <v/>
      </c>
      <c r="H85" s="11">
        <f>IF($AB85="","",INDEX('Per Line'!$G$2:$G$301,$AB85))</f>
        <v/>
      </c>
      <c r="I85">
        <f>IF($AB85="","",INDEX('Per Line'!$H$2:$H$301,$AB85)&amp;"")</f>
        <v/>
      </c>
      <c r="J85">
        <f>IF($AB85="","",INDEX('Per Line'!$J$2:$J$301,$AB85)&amp;"")</f>
        <v/>
      </c>
      <c r="K85">
        <f>IF($AB85="","",INDEX('Per Line'!$K$2:$K$301,$AB85)&amp;"")</f>
        <v/>
      </c>
      <c r="L85">
        <f>IF($AB85="","",INDEX('Per Line'!$L$2:$L$301,$AB85)&amp;"")</f>
        <v/>
      </c>
      <c r="M85">
        <f>IF($AB85="","",INDEX('Per Line'!$M$2:$M$301,$AB85)&amp;"")</f>
        <v/>
      </c>
      <c r="N85">
        <f>IF($AB85="","",INDEX('Per Line'!$N$2:$N$301,$AB85))</f>
        <v/>
      </c>
      <c r="O85" s="7">
        <f>IF($AB85="","",N85*Z85/100)</f>
        <v/>
      </c>
      <c r="P85">
        <f>IF($AB85="","",INDEX('Per Line'!$X$2:$X$301,$AB85)&amp;"")</f>
        <v/>
      </c>
      <c r="Q85" s="7">
        <f>IF($AB85="","",SUMIFS('Per Line'!$W$2:$W$301,'Per Line'!$E$2:$E$301,$B85,'Per Line'!$AO$2:$AO$301,1))</f>
        <v/>
      </c>
      <c r="R85">
        <f>IF($AB85="","",Settings!$C$7)</f>
        <v/>
      </c>
      <c r="S85" s="7">
        <f>IF($AB85="","",SUMIFS('Per Line'!$W$2:$W$301,'Per Line'!$E$2:$E$301,$B85,'Per Line'!$AN$2:$AN$301,0,'Per Line'!$AO$2:$AO$301,0))</f>
        <v/>
      </c>
      <c r="T85" s="7">
        <f>IF($AB85="","",S85*R85)</f>
        <v/>
      </c>
      <c r="U85">
        <f>IF($AB85="","",Settings!$C$6)</f>
        <v/>
      </c>
      <c r="V85" s="7">
        <f>IF($AB85="","",SUMIFS('Per Line'!$W$2:$W$301,'Per Line'!$E$2:$E$301,$B85,'Per Line'!$AN$2:$AN$301,1,'Per Line'!$AO$2:$AO$301,0))</f>
        <v/>
      </c>
      <c r="W85" s="7">
        <f>IF($AB85="","",V85*U85)</f>
        <v/>
      </c>
      <c r="X85" s="7">
        <f>IF($AB85="","",W85+T85)</f>
        <v/>
      </c>
      <c r="Y85" s="7">
        <f>IF($AB85="","",Z85-X85)</f>
        <v/>
      </c>
      <c r="Z85" s="7">
        <f>IF($AB85="","",S85+V85+Q85)</f>
        <v/>
      </c>
      <c r="AA85" s="7">
        <f>IF($AB85="","",Z85-X85-O85)</f>
        <v/>
      </c>
      <c r="AB85" s="13">
        <f>IF(ROWS($AB$2:$AB85)&lt;=MAX('Per Line'!$AM$2:$AM$301),MATCH(ROWS($AB$2:$AB85),'Per Line'!$AM$2:$AM$301,0),"")</f>
        <v/>
      </c>
    </row>
    <row r="86">
      <c r="A86" s="12" t="n"/>
      <c r="B86">
        <f>IF($AB86="","",INDEX('Per Line'!$E$2:$E$301,$AB86)&amp;"")</f>
        <v/>
      </c>
      <c r="C86">
        <f>IF($AB86="","",INDEX('Per Line'!$A$2:$A$301,$AB86)&amp;"")</f>
        <v/>
      </c>
      <c r="D86">
        <f>IF($AB86="","",INDEX('Per Line'!$B$2:$B$301,$AB86))</f>
        <v/>
      </c>
      <c r="E86">
        <f>IF($AB86="","",INDEX('Per Line'!$C$2:$C$301,$AB86)&amp;"")</f>
        <v/>
      </c>
      <c r="F86">
        <f>IF($AB86="","",INDEX('Per Line'!$D$2:$D$301,$AB86)&amp;"")</f>
        <v/>
      </c>
      <c r="G86">
        <f>IF($AB86="","",INDEX('Per Line'!$F$2:$F$301,$AB86)&amp;"")</f>
        <v/>
      </c>
      <c r="H86" s="11">
        <f>IF($AB86="","",INDEX('Per Line'!$G$2:$G$301,$AB86))</f>
        <v/>
      </c>
      <c r="I86">
        <f>IF($AB86="","",INDEX('Per Line'!$H$2:$H$301,$AB86)&amp;"")</f>
        <v/>
      </c>
      <c r="J86">
        <f>IF($AB86="","",INDEX('Per Line'!$J$2:$J$301,$AB86)&amp;"")</f>
        <v/>
      </c>
      <c r="K86">
        <f>IF($AB86="","",INDEX('Per Line'!$K$2:$K$301,$AB86)&amp;"")</f>
        <v/>
      </c>
      <c r="L86">
        <f>IF($AB86="","",INDEX('Per Line'!$L$2:$L$301,$AB86)&amp;"")</f>
        <v/>
      </c>
      <c r="M86">
        <f>IF($AB86="","",INDEX('Per Line'!$M$2:$M$301,$AB86)&amp;"")</f>
        <v/>
      </c>
      <c r="N86">
        <f>IF($AB86="","",INDEX('Per Line'!$N$2:$N$301,$AB86))</f>
        <v/>
      </c>
      <c r="O86" s="7">
        <f>IF($AB86="","",N86*Z86/100)</f>
        <v/>
      </c>
      <c r="P86">
        <f>IF($AB86="","",INDEX('Per Line'!$X$2:$X$301,$AB86)&amp;"")</f>
        <v/>
      </c>
      <c r="Q86" s="7">
        <f>IF($AB86="","",SUMIFS('Per Line'!$W$2:$W$301,'Per Line'!$E$2:$E$301,$B86,'Per Line'!$AO$2:$AO$301,1))</f>
        <v/>
      </c>
      <c r="R86">
        <f>IF($AB86="","",Settings!$C$7)</f>
        <v/>
      </c>
      <c r="S86" s="7">
        <f>IF($AB86="","",SUMIFS('Per Line'!$W$2:$W$301,'Per Line'!$E$2:$E$301,$B86,'Per Line'!$AN$2:$AN$301,0,'Per Line'!$AO$2:$AO$301,0))</f>
        <v/>
      </c>
      <c r="T86" s="7">
        <f>IF($AB86="","",S86*R86)</f>
        <v/>
      </c>
      <c r="U86">
        <f>IF($AB86="","",Settings!$C$6)</f>
        <v/>
      </c>
      <c r="V86" s="7">
        <f>IF($AB86="","",SUMIFS('Per Line'!$W$2:$W$301,'Per Line'!$E$2:$E$301,$B86,'Per Line'!$AN$2:$AN$301,1,'Per Line'!$AO$2:$AO$301,0))</f>
        <v/>
      </c>
      <c r="W86" s="7">
        <f>IF($AB86="","",V86*U86)</f>
        <v/>
      </c>
      <c r="X86" s="7">
        <f>IF($AB86="","",W86+T86)</f>
        <v/>
      </c>
      <c r="Y86" s="7">
        <f>IF($AB86="","",Z86-X86)</f>
        <v/>
      </c>
      <c r="Z86" s="7">
        <f>IF($AB86="","",S86+V86+Q86)</f>
        <v/>
      </c>
      <c r="AA86" s="7">
        <f>IF($AB86="","",Z86-X86-O86)</f>
        <v/>
      </c>
      <c r="AB86" s="13">
        <f>IF(ROWS($AB$2:$AB86)&lt;=MAX('Per Line'!$AM$2:$AM$301),MATCH(ROWS($AB$2:$AB86),'Per Line'!$AM$2:$AM$301,0),"")</f>
        <v/>
      </c>
    </row>
    <row r="87">
      <c r="A87" s="12" t="n"/>
      <c r="B87">
        <f>IF($AB87="","",INDEX('Per Line'!$E$2:$E$301,$AB87)&amp;"")</f>
        <v/>
      </c>
      <c r="C87">
        <f>IF($AB87="","",INDEX('Per Line'!$A$2:$A$301,$AB87)&amp;"")</f>
        <v/>
      </c>
      <c r="D87">
        <f>IF($AB87="","",INDEX('Per Line'!$B$2:$B$301,$AB87))</f>
        <v/>
      </c>
      <c r="E87">
        <f>IF($AB87="","",INDEX('Per Line'!$C$2:$C$301,$AB87)&amp;"")</f>
        <v/>
      </c>
      <c r="F87">
        <f>IF($AB87="","",INDEX('Per Line'!$D$2:$D$301,$AB87)&amp;"")</f>
        <v/>
      </c>
      <c r="G87">
        <f>IF($AB87="","",INDEX('Per Line'!$F$2:$F$301,$AB87)&amp;"")</f>
        <v/>
      </c>
      <c r="H87" s="11">
        <f>IF($AB87="","",INDEX('Per Line'!$G$2:$G$301,$AB87))</f>
        <v/>
      </c>
      <c r="I87">
        <f>IF($AB87="","",INDEX('Per Line'!$H$2:$H$301,$AB87)&amp;"")</f>
        <v/>
      </c>
      <c r="J87">
        <f>IF($AB87="","",INDEX('Per Line'!$J$2:$J$301,$AB87)&amp;"")</f>
        <v/>
      </c>
      <c r="K87">
        <f>IF($AB87="","",INDEX('Per Line'!$K$2:$K$301,$AB87)&amp;"")</f>
        <v/>
      </c>
      <c r="L87">
        <f>IF($AB87="","",INDEX('Per Line'!$L$2:$L$301,$AB87)&amp;"")</f>
        <v/>
      </c>
      <c r="M87">
        <f>IF($AB87="","",INDEX('Per Line'!$M$2:$M$301,$AB87)&amp;"")</f>
        <v/>
      </c>
      <c r="N87">
        <f>IF($AB87="","",INDEX('Per Line'!$N$2:$N$301,$AB87))</f>
        <v/>
      </c>
      <c r="O87" s="7">
        <f>IF($AB87="","",N87*Z87/100)</f>
        <v/>
      </c>
      <c r="P87">
        <f>IF($AB87="","",INDEX('Per Line'!$X$2:$X$301,$AB87)&amp;"")</f>
        <v/>
      </c>
      <c r="Q87" s="7">
        <f>IF($AB87="","",SUMIFS('Per Line'!$W$2:$W$301,'Per Line'!$E$2:$E$301,$B87,'Per Line'!$AO$2:$AO$301,1))</f>
        <v/>
      </c>
      <c r="R87">
        <f>IF($AB87="","",Settings!$C$7)</f>
        <v/>
      </c>
      <c r="S87" s="7">
        <f>IF($AB87="","",SUMIFS('Per Line'!$W$2:$W$301,'Per Line'!$E$2:$E$301,$B87,'Per Line'!$AN$2:$AN$301,0,'Per Line'!$AO$2:$AO$301,0))</f>
        <v/>
      </c>
      <c r="T87" s="7">
        <f>IF($AB87="","",S87*R87)</f>
        <v/>
      </c>
      <c r="U87">
        <f>IF($AB87="","",Settings!$C$6)</f>
        <v/>
      </c>
      <c r="V87" s="7">
        <f>IF($AB87="","",SUMIFS('Per Line'!$W$2:$W$301,'Per Line'!$E$2:$E$301,$B87,'Per Line'!$AN$2:$AN$301,1,'Per Line'!$AO$2:$AO$301,0))</f>
        <v/>
      </c>
      <c r="W87" s="7">
        <f>IF($AB87="","",V87*U87)</f>
        <v/>
      </c>
      <c r="X87" s="7">
        <f>IF($AB87="","",W87+T87)</f>
        <v/>
      </c>
      <c r="Y87" s="7">
        <f>IF($AB87="","",Z87-X87)</f>
        <v/>
      </c>
      <c r="Z87" s="7">
        <f>IF($AB87="","",S87+V87+Q87)</f>
        <v/>
      </c>
      <c r="AA87" s="7">
        <f>IF($AB87="","",Z87-X87-O87)</f>
        <v/>
      </c>
      <c r="AB87" s="13">
        <f>IF(ROWS($AB$2:$AB87)&lt;=MAX('Per Line'!$AM$2:$AM$301),MATCH(ROWS($AB$2:$AB87),'Per Line'!$AM$2:$AM$301,0),"")</f>
        <v/>
      </c>
    </row>
    <row r="88">
      <c r="A88" s="12" t="n"/>
      <c r="B88">
        <f>IF($AB88="","",INDEX('Per Line'!$E$2:$E$301,$AB88)&amp;"")</f>
        <v/>
      </c>
      <c r="C88">
        <f>IF($AB88="","",INDEX('Per Line'!$A$2:$A$301,$AB88)&amp;"")</f>
        <v/>
      </c>
      <c r="D88">
        <f>IF($AB88="","",INDEX('Per Line'!$B$2:$B$301,$AB88))</f>
        <v/>
      </c>
      <c r="E88">
        <f>IF($AB88="","",INDEX('Per Line'!$C$2:$C$301,$AB88)&amp;"")</f>
        <v/>
      </c>
      <c r="F88">
        <f>IF($AB88="","",INDEX('Per Line'!$D$2:$D$301,$AB88)&amp;"")</f>
        <v/>
      </c>
      <c r="G88">
        <f>IF($AB88="","",INDEX('Per Line'!$F$2:$F$301,$AB88)&amp;"")</f>
        <v/>
      </c>
      <c r="H88" s="11">
        <f>IF($AB88="","",INDEX('Per Line'!$G$2:$G$301,$AB88))</f>
        <v/>
      </c>
      <c r="I88">
        <f>IF($AB88="","",INDEX('Per Line'!$H$2:$H$301,$AB88)&amp;"")</f>
        <v/>
      </c>
      <c r="J88">
        <f>IF($AB88="","",INDEX('Per Line'!$J$2:$J$301,$AB88)&amp;"")</f>
        <v/>
      </c>
      <c r="K88">
        <f>IF($AB88="","",INDEX('Per Line'!$K$2:$K$301,$AB88)&amp;"")</f>
        <v/>
      </c>
      <c r="L88">
        <f>IF($AB88="","",INDEX('Per Line'!$L$2:$L$301,$AB88)&amp;"")</f>
        <v/>
      </c>
      <c r="M88">
        <f>IF($AB88="","",INDEX('Per Line'!$M$2:$M$301,$AB88)&amp;"")</f>
        <v/>
      </c>
      <c r="N88">
        <f>IF($AB88="","",INDEX('Per Line'!$N$2:$N$301,$AB88))</f>
        <v/>
      </c>
      <c r="O88" s="7">
        <f>IF($AB88="","",N88*Z88/100)</f>
        <v/>
      </c>
      <c r="P88">
        <f>IF($AB88="","",INDEX('Per Line'!$X$2:$X$301,$AB88)&amp;"")</f>
        <v/>
      </c>
      <c r="Q88" s="7">
        <f>IF($AB88="","",SUMIFS('Per Line'!$W$2:$W$301,'Per Line'!$E$2:$E$301,$B88,'Per Line'!$AO$2:$AO$301,1))</f>
        <v/>
      </c>
      <c r="R88">
        <f>IF($AB88="","",Settings!$C$7)</f>
        <v/>
      </c>
      <c r="S88" s="7">
        <f>IF($AB88="","",SUMIFS('Per Line'!$W$2:$W$301,'Per Line'!$E$2:$E$301,$B88,'Per Line'!$AN$2:$AN$301,0,'Per Line'!$AO$2:$AO$301,0))</f>
        <v/>
      </c>
      <c r="T88" s="7">
        <f>IF($AB88="","",S88*R88)</f>
        <v/>
      </c>
      <c r="U88">
        <f>IF($AB88="","",Settings!$C$6)</f>
        <v/>
      </c>
      <c r="V88" s="7">
        <f>IF($AB88="","",SUMIFS('Per Line'!$W$2:$W$301,'Per Line'!$E$2:$E$301,$B88,'Per Line'!$AN$2:$AN$301,1,'Per Line'!$AO$2:$AO$301,0))</f>
        <v/>
      </c>
      <c r="W88" s="7">
        <f>IF($AB88="","",V88*U88)</f>
        <v/>
      </c>
      <c r="X88" s="7">
        <f>IF($AB88="","",W88+T88)</f>
        <v/>
      </c>
      <c r="Y88" s="7">
        <f>IF($AB88="","",Z88-X88)</f>
        <v/>
      </c>
      <c r="Z88" s="7">
        <f>IF($AB88="","",S88+V88+Q88)</f>
        <v/>
      </c>
      <c r="AA88" s="7">
        <f>IF($AB88="","",Z88-X88-O88)</f>
        <v/>
      </c>
      <c r="AB88" s="13">
        <f>IF(ROWS($AB$2:$AB88)&lt;=MAX('Per Line'!$AM$2:$AM$301),MATCH(ROWS($AB$2:$AB88),'Per Line'!$AM$2:$AM$301,0),"")</f>
        <v/>
      </c>
    </row>
    <row r="89">
      <c r="A89" s="12" t="n"/>
      <c r="B89">
        <f>IF($AB89="","",INDEX('Per Line'!$E$2:$E$301,$AB89)&amp;"")</f>
        <v/>
      </c>
      <c r="C89">
        <f>IF($AB89="","",INDEX('Per Line'!$A$2:$A$301,$AB89)&amp;"")</f>
        <v/>
      </c>
      <c r="D89">
        <f>IF($AB89="","",INDEX('Per Line'!$B$2:$B$301,$AB89))</f>
        <v/>
      </c>
      <c r="E89">
        <f>IF($AB89="","",INDEX('Per Line'!$C$2:$C$301,$AB89)&amp;"")</f>
        <v/>
      </c>
      <c r="F89">
        <f>IF($AB89="","",INDEX('Per Line'!$D$2:$D$301,$AB89)&amp;"")</f>
        <v/>
      </c>
      <c r="G89">
        <f>IF($AB89="","",INDEX('Per Line'!$F$2:$F$301,$AB89)&amp;"")</f>
        <v/>
      </c>
      <c r="H89" s="11">
        <f>IF($AB89="","",INDEX('Per Line'!$G$2:$G$301,$AB89))</f>
        <v/>
      </c>
      <c r="I89">
        <f>IF($AB89="","",INDEX('Per Line'!$H$2:$H$301,$AB89)&amp;"")</f>
        <v/>
      </c>
      <c r="J89">
        <f>IF($AB89="","",INDEX('Per Line'!$J$2:$J$301,$AB89)&amp;"")</f>
        <v/>
      </c>
      <c r="K89">
        <f>IF($AB89="","",INDEX('Per Line'!$K$2:$K$301,$AB89)&amp;"")</f>
        <v/>
      </c>
      <c r="L89">
        <f>IF($AB89="","",INDEX('Per Line'!$L$2:$L$301,$AB89)&amp;"")</f>
        <v/>
      </c>
      <c r="M89">
        <f>IF($AB89="","",INDEX('Per Line'!$M$2:$M$301,$AB89)&amp;"")</f>
        <v/>
      </c>
      <c r="N89">
        <f>IF($AB89="","",INDEX('Per Line'!$N$2:$N$301,$AB89))</f>
        <v/>
      </c>
      <c r="O89" s="7">
        <f>IF($AB89="","",N89*Z89/100)</f>
        <v/>
      </c>
      <c r="P89">
        <f>IF($AB89="","",INDEX('Per Line'!$X$2:$X$301,$AB89)&amp;"")</f>
        <v/>
      </c>
      <c r="Q89" s="7">
        <f>IF($AB89="","",SUMIFS('Per Line'!$W$2:$W$301,'Per Line'!$E$2:$E$301,$B89,'Per Line'!$AO$2:$AO$301,1))</f>
        <v/>
      </c>
      <c r="R89">
        <f>IF($AB89="","",Settings!$C$7)</f>
        <v/>
      </c>
      <c r="S89" s="7">
        <f>IF($AB89="","",SUMIFS('Per Line'!$W$2:$W$301,'Per Line'!$E$2:$E$301,$B89,'Per Line'!$AN$2:$AN$301,0,'Per Line'!$AO$2:$AO$301,0))</f>
        <v/>
      </c>
      <c r="T89" s="7">
        <f>IF($AB89="","",S89*R89)</f>
        <v/>
      </c>
      <c r="U89">
        <f>IF($AB89="","",Settings!$C$6)</f>
        <v/>
      </c>
      <c r="V89" s="7">
        <f>IF($AB89="","",SUMIFS('Per Line'!$W$2:$W$301,'Per Line'!$E$2:$E$301,$B89,'Per Line'!$AN$2:$AN$301,1,'Per Line'!$AO$2:$AO$301,0))</f>
        <v/>
      </c>
      <c r="W89" s="7">
        <f>IF($AB89="","",V89*U89)</f>
        <v/>
      </c>
      <c r="X89" s="7">
        <f>IF($AB89="","",W89+T89)</f>
        <v/>
      </c>
      <c r="Y89" s="7">
        <f>IF($AB89="","",Z89-X89)</f>
        <v/>
      </c>
      <c r="Z89" s="7">
        <f>IF($AB89="","",S89+V89+Q89)</f>
        <v/>
      </c>
      <c r="AA89" s="7">
        <f>IF($AB89="","",Z89-X89-O89)</f>
        <v/>
      </c>
      <c r="AB89" s="13">
        <f>IF(ROWS($AB$2:$AB89)&lt;=MAX('Per Line'!$AM$2:$AM$301),MATCH(ROWS($AB$2:$AB89),'Per Line'!$AM$2:$AM$301,0),"")</f>
        <v/>
      </c>
    </row>
    <row r="90">
      <c r="A90" s="12" t="n"/>
      <c r="B90">
        <f>IF($AB90="","",INDEX('Per Line'!$E$2:$E$301,$AB90)&amp;"")</f>
        <v/>
      </c>
      <c r="C90">
        <f>IF($AB90="","",INDEX('Per Line'!$A$2:$A$301,$AB90)&amp;"")</f>
        <v/>
      </c>
      <c r="D90">
        <f>IF($AB90="","",INDEX('Per Line'!$B$2:$B$301,$AB90))</f>
        <v/>
      </c>
      <c r="E90">
        <f>IF($AB90="","",INDEX('Per Line'!$C$2:$C$301,$AB90)&amp;"")</f>
        <v/>
      </c>
      <c r="F90">
        <f>IF($AB90="","",INDEX('Per Line'!$D$2:$D$301,$AB90)&amp;"")</f>
        <v/>
      </c>
      <c r="G90">
        <f>IF($AB90="","",INDEX('Per Line'!$F$2:$F$301,$AB90)&amp;"")</f>
        <v/>
      </c>
      <c r="H90" s="11">
        <f>IF($AB90="","",INDEX('Per Line'!$G$2:$G$301,$AB90))</f>
        <v/>
      </c>
      <c r="I90">
        <f>IF($AB90="","",INDEX('Per Line'!$H$2:$H$301,$AB90)&amp;"")</f>
        <v/>
      </c>
      <c r="J90">
        <f>IF($AB90="","",INDEX('Per Line'!$J$2:$J$301,$AB90)&amp;"")</f>
        <v/>
      </c>
      <c r="K90">
        <f>IF($AB90="","",INDEX('Per Line'!$K$2:$K$301,$AB90)&amp;"")</f>
        <v/>
      </c>
      <c r="L90">
        <f>IF($AB90="","",INDEX('Per Line'!$L$2:$L$301,$AB90)&amp;"")</f>
        <v/>
      </c>
      <c r="M90">
        <f>IF($AB90="","",INDEX('Per Line'!$M$2:$M$301,$AB90)&amp;"")</f>
        <v/>
      </c>
      <c r="N90">
        <f>IF($AB90="","",INDEX('Per Line'!$N$2:$N$301,$AB90))</f>
        <v/>
      </c>
      <c r="O90" s="7">
        <f>IF($AB90="","",N90*Z90/100)</f>
        <v/>
      </c>
      <c r="P90">
        <f>IF($AB90="","",INDEX('Per Line'!$X$2:$X$301,$AB90)&amp;"")</f>
        <v/>
      </c>
      <c r="Q90" s="7">
        <f>IF($AB90="","",SUMIFS('Per Line'!$W$2:$W$301,'Per Line'!$E$2:$E$301,$B90,'Per Line'!$AO$2:$AO$301,1))</f>
        <v/>
      </c>
      <c r="R90">
        <f>IF($AB90="","",Settings!$C$7)</f>
        <v/>
      </c>
      <c r="S90" s="7">
        <f>IF($AB90="","",SUMIFS('Per Line'!$W$2:$W$301,'Per Line'!$E$2:$E$301,$B90,'Per Line'!$AN$2:$AN$301,0,'Per Line'!$AO$2:$AO$301,0))</f>
        <v/>
      </c>
      <c r="T90" s="7">
        <f>IF($AB90="","",S90*R90)</f>
        <v/>
      </c>
      <c r="U90">
        <f>IF($AB90="","",Settings!$C$6)</f>
        <v/>
      </c>
      <c r="V90" s="7">
        <f>IF($AB90="","",SUMIFS('Per Line'!$W$2:$W$301,'Per Line'!$E$2:$E$301,$B90,'Per Line'!$AN$2:$AN$301,1,'Per Line'!$AO$2:$AO$301,0))</f>
        <v/>
      </c>
      <c r="W90" s="7">
        <f>IF($AB90="","",V90*U90)</f>
        <v/>
      </c>
      <c r="X90" s="7">
        <f>IF($AB90="","",W90+T90)</f>
        <v/>
      </c>
      <c r="Y90" s="7">
        <f>IF($AB90="","",Z90-X90)</f>
        <v/>
      </c>
      <c r="Z90" s="7">
        <f>IF($AB90="","",S90+V90+Q90)</f>
        <v/>
      </c>
      <c r="AA90" s="7">
        <f>IF($AB90="","",Z90-X90-O90)</f>
        <v/>
      </c>
      <c r="AB90" s="13">
        <f>IF(ROWS($AB$2:$AB90)&lt;=MAX('Per Line'!$AM$2:$AM$301),MATCH(ROWS($AB$2:$AB90),'Per Line'!$AM$2:$AM$301,0),"")</f>
        <v/>
      </c>
    </row>
    <row r="91">
      <c r="A91" s="12" t="n"/>
      <c r="B91">
        <f>IF($AB91="","",INDEX('Per Line'!$E$2:$E$301,$AB91)&amp;"")</f>
        <v/>
      </c>
      <c r="C91">
        <f>IF($AB91="","",INDEX('Per Line'!$A$2:$A$301,$AB91)&amp;"")</f>
        <v/>
      </c>
      <c r="D91">
        <f>IF($AB91="","",INDEX('Per Line'!$B$2:$B$301,$AB91))</f>
        <v/>
      </c>
      <c r="E91">
        <f>IF($AB91="","",INDEX('Per Line'!$C$2:$C$301,$AB91)&amp;"")</f>
        <v/>
      </c>
      <c r="F91">
        <f>IF($AB91="","",INDEX('Per Line'!$D$2:$D$301,$AB91)&amp;"")</f>
        <v/>
      </c>
      <c r="G91">
        <f>IF($AB91="","",INDEX('Per Line'!$F$2:$F$301,$AB91)&amp;"")</f>
        <v/>
      </c>
      <c r="H91" s="11">
        <f>IF($AB91="","",INDEX('Per Line'!$G$2:$G$301,$AB91))</f>
        <v/>
      </c>
      <c r="I91">
        <f>IF($AB91="","",INDEX('Per Line'!$H$2:$H$301,$AB91)&amp;"")</f>
        <v/>
      </c>
      <c r="J91">
        <f>IF($AB91="","",INDEX('Per Line'!$J$2:$J$301,$AB91)&amp;"")</f>
        <v/>
      </c>
      <c r="K91">
        <f>IF($AB91="","",INDEX('Per Line'!$K$2:$K$301,$AB91)&amp;"")</f>
        <v/>
      </c>
      <c r="L91">
        <f>IF($AB91="","",INDEX('Per Line'!$L$2:$L$301,$AB91)&amp;"")</f>
        <v/>
      </c>
      <c r="M91">
        <f>IF($AB91="","",INDEX('Per Line'!$M$2:$M$301,$AB91)&amp;"")</f>
        <v/>
      </c>
      <c r="N91">
        <f>IF($AB91="","",INDEX('Per Line'!$N$2:$N$301,$AB91))</f>
        <v/>
      </c>
      <c r="O91" s="7">
        <f>IF($AB91="","",N91*Z91/100)</f>
        <v/>
      </c>
      <c r="P91">
        <f>IF($AB91="","",INDEX('Per Line'!$X$2:$X$301,$AB91)&amp;"")</f>
        <v/>
      </c>
      <c r="Q91" s="7">
        <f>IF($AB91="","",SUMIFS('Per Line'!$W$2:$W$301,'Per Line'!$E$2:$E$301,$B91,'Per Line'!$AO$2:$AO$301,1))</f>
        <v/>
      </c>
      <c r="R91">
        <f>IF($AB91="","",Settings!$C$7)</f>
        <v/>
      </c>
      <c r="S91" s="7">
        <f>IF($AB91="","",SUMIFS('Per Line'!$W$2:$W$301,'Per Line'!$E$2:$E$301,$B91,'Per Line'!$AN$2:$AN$301,0,'Per Line'!$AO$2:$AO$301,0))</f>
        <v/>
      </c>
      <c r="T91" s="7">
        <f>IF($AB91="","",S91*R91)</f>
        <v/>
      </c>
      <c r="U91">
        <f>IF($AB91="","",Settings!$C$6)</f>
        <v/>
      </c>
      <c r="V91" s="7">
        <f>IF($AB91="","",SUMIFS('Per Line'!$W$2:$W$301,'Per Line'!$E$2:$E$301,$B91,'Per Line'!$AN$2:$AN$301,1,'Per Line'!$AO$2:$AO$301,0))</f>
        <v/>
      </c>
      <c r="W91" s="7">
        <f>IF($AB91="","",V91*U91)</f>
        <v/>
      </c>
      <c r="X91" s="7">
        <f>IF($AB91="","",W91+T91)</f>
        <v/>
      </c>
      <c r="Y91" s="7">
        <f>IF($AB91="","",Z91-X91)</f>
        <v/>
      </c>
      <c r="Z91" s="7">
        <f>IF($AB91="","",S91+V91+Q91)</f>
        <v/>
      </c>
      <c r="AA91" s="7">
        <f>IF($AB91="","",Z91-X91-O91)</f>
        <v/>
      </c>
      <c r="AB91" s="13">
        <f>IF(ROWS($AB$2:$AB91)&lt;=MAX('Per Line'!$AM$2:$AM$301),MATCH(ROWS($AB$2:$AB91),'Per Line'!$AM$2:$AM$301,0),"")</f>
        <v/>
      </c>
    </row>
    <row r="92">
      <c r="A92" s="12" t="n"/>
      <c r="B92">
        <f>IF($AB92="","",INDEX('Per Line'!$E$2:$E$301,$AB92)&amp;"")</f>
        <v/>
      </c>
      <c r="C92">
        <f>IF($AB92="","",INDEX('Per Line'!$A$2:$A$301,$AB92)&amp;"")</f>
        <v/>
      </c>
      <c r="D92">
        <f>IF($AB92="","",INDEX('Per Line'!$B$2:$B$301,$AB92))</f>
        <v/>
      </c>
      <c r="E92">
        <f>IF($AB92="","",INDEX('Per Line'!$C$2:$C$301,$AB92)&amp;"")</f>
        <v/>
      </c>
      <c r="F92">
        <f>IF($AB92="","",INDEX('Per Line'!$D$2:$D$301,$AB92)&amp;"")</f>
        <v/>
      </c>
      <c r="G92">
        <f>IF($AB92="","",INDEX('Per Line'!$F$2:$F$301,$AB92)&amp;"")</f>
        <v/>
      </c>
      <c r="H92" s="11">
        <f>IF($AB92="","",INDEX('Per Line'!$G$2:$G$301,$AB92))</f>
        <v/>
      </c>
      <c r="I92">
        <f>IF($AB92="","",INDEX('Per Line'!$H$2:$H$301,$AB92)&amp;"")</f>
        <v/>
      </c>
      <c r="J92">
        <f>IF($AB92="","",INDEX('Per Line'!$J$2:$J$301,$AB92)&amp;"")</f>
        <v/>
      </c>
      <c r="K92">
        <f>IF($AB92="","",INDEX('Per Line'!$K$2:$K$301,$AB92)&amp;"")</f>
        <v/>
      </c>
      <c r="L92">
        <f>IF($AB92="","",INDEX('Per Line'!$L$2:$L$301,$AB92)&amp;"")</f>
        <v/>
      </c>
      <c r="M92">
        <f>IF($AB92="","",INDEX('Per Line'!$M$2:$M$301,$AB92)&amp;"")</f>
        <v/>
      </c>
      <c r="N92">
        <f>IF($AB92="","",INDEX('Per Line'!$N$2:$N$301,$AB92))</f>
        <v/>
      </c>
      <c r="O92" s="7">
        <f>IF($AB92="","",N92*Z92/100)</f>
        <v/>
      </c>
      <c r="P92">
        <f>IF($AB92="","",INDEX('Per Line'!$X$2:$X$301,$AB92)&amp;"")</f>
        <v/>
      </c>
      <c r="Q92" s="7">
        <f>IF($AB92="","",SUMIFS('Per Line'!$W$2:$W$301,'Per Line'!$E$2:$E$301,$B92,'Per Line'!$AO$2:$AO$301,1))</f>
        <v/>
      </c>
      <c r="R92">
        <f>IF($AB92="","",Settings!$C$7)</f>
        <v/>
      </c>
      <c r="S92" s="7">
        <f>IF($AB92="","",SUMIFS('Per Line'!$W$2:$W$301,'Per Line'!$E$2:$E$301,$B92,'Per Line'!$AN$2:$AN$301,0,'Per Line'!$AO$2:$AO$301,0))</f>
        <v/>
      </c>
      <c r="T92" s="7">
        <f>IF($AB92="","",S92*R92)</f>
        <v/>
      </c>
      <c r="U92">
        <f>IF($AB92="","",Settings!$C$6)</f>
        <v/>
      </c>
      <c r="V92" s="7">
        <f>IF($AB92="","",SUMIFS('Per Line'!$W$2:$W$301,'Per Line'!$E$2:$E$301,$B92,'Per Line'!$AN$2:$AN$301,1,'Per Line'!$AO$2:$AO$301,0))</f>
        <v/>
      </c>
      <c r="W92" s="7">
        <f>IF($AB92="","",V92*U92)</f>
        <v/>
      </c>
      <c r="X92" s="7">
        <f>IF($AB92="","",W92+T92)</f>
        <v/>
      </c>
      <c r="Y92" s="7">
        <f>IF($AB92="","",Z92-X92)</f>
        <v/>
      </c>
      <c r="Z92" s="7">
        <f>IF($AB92="","",S92+V92+Q92)</f>
        <v/>
      </c>
      <c r="AA92" s="7">
        <f>IF($AB92="","",Z92-X92-O92)</f>
        <v/>
      </c>
      <c r="AB92" s="13">
        <f>IF(ROWS($AB$2:$AB92)&lt;=MAX('Per Line'!$AM$2:$AM$301),MATCH(ROWS($AB$2:$AB92),'Per Line'!$AM$2:$AM$301,0),"")</f>
        <v/>
      </c>
    </row>
    <row r="93">
      <c r="A93" s="12" t="n"/>
      <c r="B93">
        <f>IF($AB93="","",INDEX('Per Line'!$E$2:$E$301,$AB93)&amp;"")</f>
        <v/>
      </c>
      <c r="C93">
        <f>IF($AB93="","",INDEX('Per Line'!$A$2:$A$301,$AB93)&amp;"")</f>
        <v/>
      </c>
      <c r="D93">
        <f>IF($AB93="","",INDEX('Per Line'!$B$2:$B$301,$AB93))</f>
        <v/>
      </c>
      <c r="E93">
        <f>IF($AB93="","",INDEX('Per Line'!$C$2:$C$301,$AB93)&amp;"")</f>
        <v/>
      </c>
      <c r="F93">
        <f>IF($AB93="","",INDEX('Per Line'!$D$2:$D$301,$AB93)&amp;"")</f>
        <v/>
      </c>
      <c r="G93">
        <f>IF($AB93="","",INDEX('Per Line'!$F$2:$F$301,$AB93)&amp;"")</f>
        <v/>
      </c>
      <c r="H93" s="11">
        <f>IF($AB93="","",INDEX('Per Line'!$G$2:$G$301,$AB93))</f>
        <v/>
      </c>
      <c r="I93">
        <f>IF($AB93="","",INDEX('Per Line'!$H$2:$H$301,$AB93)&amp;"")</f>
        <v/>
      </c>
      <c r="J93">
        <f>IF($AB93="","",INDEX('Per Line'!$J$2:$J$301,$AB93)&amp;"")</f>
        <v/>
      </c>
      <c r="K93">
        <f>IF($AB93="","",INDEX('Per Line'!$K$2:$K$301,$AB93)&amp;"")</f>
        <v/>
      </c>
      <c r="L93">
        <f>IF($AB93="","",INDEX('Per Line'!$L$2:$L$301,$AB93)&amp;"")</f>
        <v/>
      </c>
      <c r="M93">
        <f>IF($AB93="","",INDEX('Per Line'!$M$2:$M$301,$AB93)&amp;"")</f>
        <v/>
      </c>
      <c r="N93">
        <f>IF($AB93="","",INDEX('Per Line'!$N$2:$N$301,$AB93))</f>
        <v/>
      </c>
      <c r="O93" s="7">
        <f>IF($AB93="","",N93*Z93/100)</f>
        <v/>
      </c>
      <c r="P93">
        <f>IF($AB93="","",INDEX('Per Line'!$X$2:$X$301,$AB93)&amp;"")</f>
        <v/>
      </c>
      <c r="Q93" s="7">
        <f>IF($AB93="","",SUMIFS('Per Line'!$W$2:$W$301,'Per Line'!$E$2:$E$301,$B93,'Per Line'!$AO$2:$AO$301,1))</f>
        <v/>
      </c>
      <c r="R93">
        <f>IF($AB93="","",Settings!$C$7)</f>
        <v/>
      </c>
      <c r="S93" s="7">
        <f>IF($AB93="","",SUMIFS('Per Line'!$W$2:$W$301,'Per Line'!$E$2:$E$301,$B93,'Per Line'!$AN$2:$AN$301,0,'Per Line'!$AO$2:$AO$301,0))</f>
        <v/>
      </c>
      <c r="T93" s="7">
        <f>IF($AB93="","",S93*R93)</f>
        <v/>
      </c>
      <c r="U93">
        <f>IF($AB93="","",Settings!$C$6)</f>
        <v/>
      </c>
      <c r="V93" s="7">
        <f>IF($AB93="","",SUMIFS('Per Line'!$W$2:$W$301,'Per Line'!$E$2:$E$301,$B93,'Per Line'!$AN$2:$AN$301,1,'Per Line'!$AO$2:$AO$301,0))</f>
        <v/>
      </c>
      <c r="W93" s="7">
        <f>IF($AB93="","",V93*U93)</f>
        <v/>
      </c>
      <c r="X93" s="7">
        <f>IF($AB93="","",W93+T93)</f>
        <v/>
      </c>
      <c r="Y93" s="7">
        <f>IF($AB93="","",Z93-X93)</f>
        <v/>
      </c>
      <c r="Z93" s="7">
        <f>IF($AB93="","",S93+V93+Q93)</f>
        <v/>
      </c>
      <c r="AA93" s="7">
        <f>IF($AB93="","",Z93-X93-O93)</f>
        <v/>
      </c>
      <c r="AB93" s="13">
        <f>IF(ROWS($AB$2:$AB93)&lt;=MAX('Per Line'!$AM$2:$AM$301),MATCH(ROWS($AB$2:$AB93),'Per Line'!$AM$2:$AM$301,0),"")</f>
        <v/>
      </c>
    </row>
    <row r="94">
      <c r="A94" s="12" t="n"/>
      <c r="B94">
        <f>IF($AB94="","",INDEX('Per Line'!$E$2:$E$301,$AB94)&amp;"")</f>
        <v/>
      </c>
      <c r="C94">
        <f>IF($AB94="","",INDEX('Per Line'!$A$2:$A$301,$AB94)&amp;"")</f>
        <v/>
      </c>
      <c r="D94">
        <f>IF($AB94="","",INDEX('Per Line'!$B$2:$B$301,$AB94))</f>
        <v/>
      </c>
      <c r="E94">
        <f>IF($AB94="","",INDEX('Per Line'!$C$2:$C$301,$AB94)&amp;"")</f>
        <v/>
      </c>
      <c r="F94">
        <f>IF($AB94="","",INDEX('Per Line'!$D$2:$D$301,$AB94)&amp;"")</f>
        <v/>
      </c>
      <c r="G94">
        <f>IF($AB94="","",INDEX('Per Line'!$F$2:$F$301,$AB94)&amp;"")</f>
        <v/>
      </c>
      <c r="H94" s="11">
        <f>IF($AB94="","",INDEX('Per Line'!$G$2:$G$301,$AB94))</f>
        <v/>
      </c>
      <c r="I94">
        <f>IF($AB94="","",INDEX('Per Line'!$H$2:$H$301,$AB94)&amp;"")</f>
        <v/>
      </c>
      <c r="J94">
        <f>IF($AB94="","",INDEX('Per Line'!$J$2:$J$301,$AB94)&amp;"")</f>
        <v/>
      </c>
      <c r="K94">
        <f>IF($AB94="","",INDEX('Per Line'!$K$2:$K$301,$AB94)&amp;"")</f>
        <v/>
      </c>
      <c r="L94">
        <f>IF($AB94="","",INDEX('Per Line'!$L$2:$L$301,$AB94)&amp;"")</f>
        <v/>
      </c>
      <c r="M94">
        <f>IF($AB94="","",INDEX('Per Line'!$M$2:$M$301,$AB94)&amp;"")</f>
        <v/>
      </c>
      <c r="N94">
        <f>IF($AB94="","",INDEX('Per Line'!$N$2:$N$301,$AB94))</f>
        <v/>
      </c>
      <c r="O94" s="7">
        <f>IF($AB94="","",N94*Z94/100)</f>
        <v/>
      </c>
      <c r="P94">
        <f>IF($AB94="","",INDEX('Per Line'!$X$2:$X$301,$AB94)&amp;"")</f>
        <v/>
      </c>
      <c r="Q94" s="7">
        <f>IF($AB94="","",SUMIFS('Per Line'!$W$2:$W$301,'Per Line'!$E$2:$E$301,$B94,'Per Line'!$AO$2:$AO$301,1))</f>
        <v/>
      </c>
      <c r="R94">
        <f>IF($AB94="","",Settings!$C$7)</f>
        <v/>
      </c>
      <c r="S94" s="7">
        <f>IF($AB94="","",SUMIFS('Per Line'!$W$2:$W$301,'Per Line'!$E$2:$E$301,$B94,'Per Line'!$AN$2:$AN$301,0,'Per Line'!$AO$2:$AO$301,0))</f>
        <v/>
      </c>
      <c r="T94" s="7">
        <f>IF($AB94="","",S94*R94)</f>
        <v/>
      </c>
      <c r="U94">
        <f>IF($AB94="","",Settings!$C$6)</f>
        <v/>
      </c>
      <c r="V94" s="7">
        <f>IF($AB94="","",SUMIFS('Per Line'!$W$2:$W$301,'Per Line'!$E$2:$E$301,$B94,'Per Line'!$AN$2:$AN$301,1,'Per Line'!$AO$2:$AO$301,0))</f>
        <v/>
      </c>
      <c r="W94" s="7">
        <f>IF($AB94="","",V94*U94)</f>
        <v/>
      </c>
      <c r="X94" s="7">
        <f>IF($AB94="","",W94+T94)</f>
        <v/>
      </c>
      <c r="Y94" s="7">
        <f>IF($AB94="","",Z94-X94)</f>
        <v/>
      </c>
      <c r="Z94" s="7">
        <f>IF($AB94="","",S94+V94+Q94)</f>
        <v/>
      </c>
      <c r="AA94" s="7">
        <f>IF($AB94="","",Z94-X94-O94)</f>
        <v/>
      </c>
      <c r="AB94" s="13">
        <f>IF(ROWS($AB$2:$AB94)&lt;=MAX('Per Line'!$AM$2:$AM$301),MATCH(ROWS($AB$2:$AB94),'Per Line'!$AM$2:$AM$301,0),"")</f>
        <v/>
      </c>
    </row>
    <row r="95">
      <c r="A95" s="12" t="n"/>
      <c r="B95">
        <f>IF($AB95="","",INDEX('Per Line'!$E$2:$E$301,$AB95)&amp;"")</f>
        <v/>
      </c>
      <c r="C95">
        <f>IF($AB95="","",INDEX('Per Line'!$A$2:$A$301,$AB95)&amp;"")</f>
        <v/>
      </c>
      <c r="D95">
        <f>IF($AB95="","",INDEX('Per Line'!$B$2:$B$301,$AB95))</f>
        <v/>
      </c>
      <c r="E95">
        <f>IF($AB95="","",INDEX('Per Line'!$C$2:$C$301,$AB95)&amp;"")</f>
        <v/>
      </c>
      <c r="F95">
        <f>IF($AB95="","",INDEX('Per Line'!$D$2:$D$301,$AB95)&amp;"")</f>
        <v/>
      </c>
      <c r="G95">
        <f>IF($AB95="","",INDEX('Per Line'!$F$2:$F$301,$AB95)&amp;"")</f>
        <v/>
      </c>
      <c r="H95" s="11">
        <f>IF($AB95="","",INDEX('Per Line'!$G$2:$G$301,$AB95))</f>
        <v/>
      </c>
      <c r="I95">
        <f>IF($AB95="","",INDEX('Per Line'!$H$2:$H$301,$AB95)&amp;"")</f>
        <v/>
      </c>
      <c r="J95">
        <f>IF($AB95="","",INDEX('Per Line'!$J$2:$J$301,$AB95)&amp;"")</f>
        <v/>
      </c>
      <c r="K95">
        <f>IF($AB95="","",INDEX('Per Line'!$K$2:$K$301,$AB95)&amp;"")</f>
        <v/>
      </c>
      <c r="L95">
        <f>IF($AB95="","",INDEX('Per Line'!$L$2:$L$301,$AB95)&amp;"")</f>
        <v/>
      </c>
      <c r="M95">
        <f>IF($AB95="","",INDEX('Per Line'!$M$2:$M$301,$AB95)&amp;"")</f>
        <v/>
      </c>
      <c r="N95">
        <f>IF($AB95="","",INDEX('Per Line'!$N$2:$N$301,$AB95))</f>
        <v/>
      </c>
      <c r="O95" s="7">
        <f>IF($AB95="","",N95*Z95/100)</f>
        <v/>
      </c>
      <c r="P95">
        <f>IF($AB95="","",INDEX('Per Line'!$X$2:$X$301,$AB95)&amp;"")</f>
        <v/>
      </c>
      <c r="Q95" s="7">
        <f>IF($AB95="","",SUMIFS('Per Line'!$W$2:$W$301,'Per Line'!$E$2:$E$301,$B95,'Per Line'!$AO$2:$AO$301,1))</f>
        <v/>
      </c>
      <c r="R95">
        <f>IF($AB95="","",Settings!$C$7)</f>
        <v/>
      </c>
      <c r="S95" s="7">
        <f>IF($AB95="","",SUMIFS('Per Line'!$W$2:$W$301,'Per Line'!$E$2:$E$301,$B95,'Per Line'!$AN$2:$AN$301,0,'Per Line'!$AO$2:$AO$301,0))</f>
        <v/>
      </c>
      <c r="T95" s="7">
        <f>IF($AB95="","",S95*R95)</f>
        <v/>
      </c>
      <c r="U95">
        <f>IF($AB95="","",Settings!$C$6)</f>
        <v/>
      </c>
      <c r="V95" s="7">
        <f>IF($AB95="","",SUMIFS('Per Line'!$W$2:$W$301,'Per Line'!$E$2:$E$301,$B95,'Per Line'!$AN$2:$AN$301,1,'Per Line'!$AO$2:$AO$301,0))</f>
        <v/>
      </c>
      <c r="W95" s="7">
        <f>IF($AB95="","",V95*U95)</f>
        <v/>
      </c>
      <c r="X95" s="7">
        <f>IF($AB95="","",W95+T95)</f>
        <v/>
      </c>
      <c r="Y95" s="7">
        <f>IF($AB95="","",Z95-X95)</f>
        <v/>
      </c>
      <c r="Z95" s="7">
        <f>IF($AB95="","",S95+V95+Q95)</f>
        <v/>
      </c>
      <c r="AA95" s="7">
        <f>IF($AB95="","",Z95-X95-O95)</f>
        <v/>
      </c>
      <c r="AB95" s="13">
        <f>IF(ROWS($AB$2:$AB95)&lt;=MAX('Per Line'!$AM$2:$AM$301),MATCH(ROWS($AB$2:$AB95),'Per Line'!$AM$2:$AM$301,0),"")</f>
        <v/>
      </c>
    </row>
    <row r="96">
      <c r="A96" s="12" t="n"/>
      <c r="B96">
        <f>IF($AB96="","",INDEX('Per Line'!$E$2:$E$301,$AB96)&amp;"")</f>
        <v/>
      </c>
      <c r="C96">
        <f>IF($AB96="","",INDEX('Per Line'!$A$2:$A$301,$AB96)&amp;"")</f>
        <v/>
      </c>
      <c r="D96">
        <f>IF($AB96="","",INDEX('Per Line'!$B$2:$B$301,$AB96))</f>
        <v/>
      </c>
      <c r="E96">
        <f>IF($AB96="","",INDEX('Per Line'!$C$2:$C$301,$AB96)&amp;"")</f>
        <v/>
      </c>
      <c r="F96">
        <f>IF($AB96="","",INDEX('Per Line'!$D$2:$D$301,$AB96)&amp;"")</f>
        <v/>
      </c>
      <c r="G96">
        <f>IF($AB96="","",INDEX('Per Line'!$F$2:$F$301,$AB96)&amp;"")</f>
        <v/>
      </c>
      <c r="H96" s="11">
        <f>IF($AB96="","",INDEX('Per Line'!$G$2:$G$301,$AB96))</f>
        <v/>
      </c>
      <c r="I96">
        <f>IF($AB96="","",INDEX('Per Line'!$H$2:$H$301,$AB96)&amp;"")</f>
        <v/>
      </c>
      <c r="J96">
        <f>IF($AB96="","",INDEX('Per Line'!$J$2:$J$301,$AB96)&amp;"")</f>
        <v/>
      </c>
      <c r="K96">
        <f>IF($AB96="","",INDEX('Per Line'!$K$2:$K$301,$AB96)&amp;"")</f>
        <v/>
      </c>
      <c r="L96">
        <f>IF($AB96="","",INDEX('Per Line'!$L$2:$L$301,$AB96)&amp;"")</f>
        <v/>
      </c>
      <c r="M96">
        <f>IF($AB96="","",INDEX('Per Line'!$M$2:$M$301,$AB96)&amp;"")</f>
        <v/>
      </c>
      <c r="N96">
        <f>IF($AB96="","",INDEX('Per Line'!$N$2:$N$301,$AB96))</f>
        <v/>
      </c>
      <c r="O96" s="7">
        <f>IF($AB96="","",N96*Z96/100)</f>
        <v/>
      </c>
      <c r="P96">
        <f>IF($AB96="","",INDEX('Per Line'!$X$2:$X$301,$AB96)&amp;"")</f>
        <v/>
      </c>
      <c r="Q96" s="7">
        <f>IF($AB96="","",SUMIFS('Per Line'!$W$2:$W$301,'Per Line'!$E$2:$E$301,$B96,'Per Line'!$AO$2:$AO$301,1))</f>
        <v/>
      </c>
      <c r="R96">
        <f>IF($AB96="","",Settings!$C$7)</f>
        <v/>
      </c>
      <c r="S96" s="7">
        <f>IF($AB96="","",SUMIFS('Per Line'!$W$2:$W$301,'Per Line'!$E$2:$E$301,$B96,'Per Line'!$AN$2:$AN$301,0,'Per Line'!$AO$2:$AO$301,0))</f>
        <v/>
      </c>
      <c r="T96" s="7">
        <f>IF($AB96="","",S96*R96)</f>
        <v/>
      </c>
      <c r="U96">
        <f>IF($AB96="","",Settings!$C$6)</f>
        <v/>
      </c>
      <c r="V96" s="7">
        <f>IF($AB96="","",SUMIFS('Per Line'!$W$2:$W$301,'Per Line'!$E$2:$E$301,$B96,'Per Line'!$AN$2:$AN$301,1,'Per Line'!$AO$2:$AO$301,0))</f>
        <v/>
      </c>
      <c r="W96" s="7">
        <f>IF($AB96="","",V96*U96)</f>
        <v/>
      </c>
      <c r="X96" s="7">
        <f>IF($AB96="","",W96+T96)</f>
        <v/>
      </c>
      <c r="Y96" s="7">
        <f>IF($AB96="","",Z96-X96)</f>
        <v/>
      </c>
      <c r="Z96" s="7">
        <f>IF($AB96="","",S96+V96+Q96)</f>
        <v/>
      </c>
      <c r="AA96" s="7">
        <f>IF($AB96="","",Z96-X96-O96)</f>
        <v/>
      </c>
      <c r="AB96" s="13">
        <f>IF(ROWS($AB$2:$AB96)&lt;=MAX('Per Line'!$AM$2:$AM$301),MATCH(ROWS($AB$2:$AB96),'Per Line'!$AM$2:$AM$301,0),"")</f>
        <v/>
      </c>
    </row>
    <row r="97">
      <c r="A97" s="12" t="n"/>
      <c r="B97">
        <f>IF($AB97="","",INDEX('Per Line'!$E$2:$E$301,$AB97)&amp;"")</f>
        <v/>
      </c>
      <c r="C97">
        <f>IF($AB97="","",INDEX('Per Line'!$A$2:$A$301,$AB97)&amp;"")</f>
        <v/>
      </c>
      <c r="D97">
        <f>IF($AB97="","",INDEX('Per Line'!$B$2:$B$301,$AB97))</f>
        <v/>
      </c>
      <c r="E97">
        <f>IF($AB97="","",INDEX('Per Line'!$C$2:$C$301,$AB97)&amp;"")</f>
        <v/>
      </c>
      <c r="F97">
        <f>IF($AB97="","",INDEX('Per Line'!$D$2:$D$301,$AB97)&amp;"")</f>
        <v/>
      </c>
      <c r="G97">
        <f>IF($AB97="","",INDEX('Per Line'!$F$2:$F$301,$AB97)&amp;"")</f>
        <v/>
      </c>
      <c r="H97" s="11">
        <f>IF($AB97="","",INDEX('Per Line'!$G$2:$G$301,$AB97))</f>
        <v/>
      </c>
      <c r="I97">
        <f>IF($AB97="","",INDEX('Per Line'!$H$2:$H$301,$AB97)&amp;"")</f>
        <v/>
      </c>
      <c r="J97">
        <f>IF($AB97="","",INDEX('Per Line'!$J$2:$J$301,$AB97)&amp;"")</f>
        <v/>
      </c>
      <c r="K97">
        <f>IF($AB97="","",INDEX('Per Line'!$K$2:$K$301,$AB97)&amp;"")</f>
        <v/>
      </c>
      <c r="L97">
        <f>IF($AB97="","",INDEX('Per Line'!$L$2:$L$301,$AB97)&amp;"")</f>
        <v/>
      </c>
      <c r="M97">
        <f>IF($AB97="","",INDEX('Per Line'!$M$2:$M$301,$AB97)&amp;"")</f>
        <v/>
      </c>
      <c r="N97">
        <f>IF($AB97="","",INDEX('Per Line'!$N$2:$N$301,$AB97))</f>
        <v/>
      </c>
      <c r="O97" s="7">
        <f>IF($AB97="","",N97*Z97/100)</f>
        <v/>
      </c>
      <c r="P97">
        <f>IF($AB97="","",INDEX('Per Line'!$X$2:$X$301,$AB97)&amp;"")</f>
        <v/>
      </c>
      <c r="Q97" s="7">
        <f>IF($AB97="","",SUMIFS('Per Line'!$W$2:$W$301,'Per Line'!$E$2:$E$301,$B97,'Per Line'!$AO$2:$AO$301,1))</f>
        <v/>
      </c>
      <c r="R97">
        <f>IF($AB97="","",Settings!$C$7)</f>
        <v/>
      </c>
      <c r="S97" s="7">
        <f>IF($AB97="","",SUMIFS('Per Line'!$W$2:$W$301,'Per Line'!$E$2:$E$301,$B97,'Per Line'!$AN$2:$AN$301,0,'Per Line'!$AO$2:$AO$301,0))</f>
        <v/>
      </c>
      <c r="T97" s="7">
        <f>IF($AB97="","",S97*R97)</f>
        <v/>
      </c>
      <c r="U97">
        <f>IF($AB97="","",Settings!$C$6)</f>
        <v/>
      </c>
      <c r="V97" s="7">
        <f>IF($AB97="","",SUMIFS('Per Line'!$W$2:$W$301,'Per Line'!$E$2:$E$301,$B97,'Per Line'!$AN$2:$AN$301,1,'Per Line'!$AO$2:$AO$301,0))</f>
        <v/>
      </c>
      <c r="W97" s="7">
        <f>IF($AB97="","",V97*U97)</f>
        <v/>
      </c>
      <c r="X97" s="7">
        <f>IF($AB97="","",W97+T97)</f>
        <v/>
      </c>
      <c r="Y97" s="7">
        <f>IF($AB97="","",Z97-X97)</f>
        <v/>
      </c>
      <c r="Z97" s="7">
        <f>IF($AB97="","",S97+V97+Q97)</f>
        <v/>
      </c>
      <c r="AA97" s="7">
        <f>IF($AB97="","",Z97-X97-O97)</f>
        <v/>
      </c>
      <c r="AB97" s="13">
        <f>IF(ROWS($AB$2:$AB97)&lt;=MAX('Per Line'!$AM$2:$AM$301),MATCH(ROWS($AB$2:$AB97),'Per Line'!$AM$2:$AM$301,0),"")</f>
        <v/>
      </c>
    </row>
    <row r="98">
      <c r="A98" s="12" t="n"/>
      <c r="B98">
        <f>IF($AB98="","",INDEX('Per Line'!$E$2:$E$301,$AB98)&amp;"")</f>
        <v/>
      </c>
      <c r="C98">
        <f>IF($AB98="","",INDEX('Per Line'!$A$2:$A$301,$AB98)&amp;"")</f>
        <v/>
      </c>
      <c r="D98">
        <f>IF($AB98="","",INDEX('Per Line'!$B$2:$B$301,$AB98))</f>
        <v/>
      </c>
      <c r="E98">
        <f>IF($AB98="","",INDEX('Per Line'!$C$2:$C$301,$AB98)&amp;"")</f>
        <v/>
      </c>
      <c r="F98">
        <f>IF($AB98="","",INDEX('Per Line'!$D$2:$D$301,$AB98)&amp;"")</f>
        <v/>
      </c>
      <c r="G98">
        <f>IF($AB98="","",INDEX('Per Line'!$F$2:$F$301,$AB98)&amp;"")</f>
        <v/>
      </c>
      <c r="H98" s="11">
        <f>IF($AB98="","",INDEX('Per Line'!$G$2:$G$301,$AB98))</f>
        <v/>
      </c>
      <c r="I98">
        <f>IF($AB98="","",INDEX('Per Line'!$H$2:$H$301,$AB98)&amp;"")</f>
        <v/>
      </c>
      <c r="J98">
        <f>IF($AB98="","",INDEX('Per Line'!$J$2:$J$301,$AB98)&amp;"")</f>
        <v/>
      </c>
      <c r="K98">
        <f>IF($AB98="","",INDEX('Per Line'!$K$2:$K$301,$AB98)&amp;"")</f>
        <v/>
      </c>
      <c r="L98">
        <f>IF($AB98="","",INDEX('Per Line'!$L$2:$L$301,$AB98)&amp;"")</f>
        <v/>
      </c>
      <c r="M98">
        <f>IF($AB98="","",INDEX('Per Line'!$M$2:$M$301,$AB98)&amp;"")</f>
        <v/>
      </c>
      <c r="N98">
        <f>IF($AB98="","",INDEX('Per Line'!$N$2:$N$301,$AB98))</f>
        <v/>
      </c>
      <c r="O98" s="7">
        <f>IF($AB98="","",N98*Z98/100)</f>
        <v/>
      </c>
      <c r="P98">
        <f>IF($AB98="","",INDEX('Per Line'!$X$2:$X$301,$AB98)&amp;"")</f>
        <v/>
      </c>
      <c r="Q98" s="7">
        <f>IF($AB98="","",SUMIFS('Per Line'!$W$2:$W$301,'Per Line'!$E$2:$E$301,$B98,'Per Line'!$AO$2:$AO$301,1))</f>
        <v/>
      </c>
      <c r="R98">
        <f>IF($AB98="","",Settings!$C$7)</f>
        <v/>
      </c>
      <c r="S98" s="7">
        <f>IF($AB98="","",SUMIFS('Per Line'!$W$2:$W$301,'Per Line'!$E$2:$E$301,$B98,'Per Line'!$AN$2:$AN$301,0,'Per Line'!$AO$2:$AO$301,0))</f>
        <v/>
      </c>
      <c r="T98" s="7">
        <f>IF($AB98="","",S98*R98)</f>
        <v/>
      </c>
      <c r="U98">
        <f>IF($AB98="","",Settings!$C$6)</f>
        <v/>
      </c>
      <c r="V98" s="7">
        <f>IF($AB98="","",SUMIFS('Per Line'!$W$2:$W$301,'Per Line'!$E$2:$E$301,$B98,'Per Line'!$AN$2:$AN$301,1,'Per Line'!$AO$2:$AO$301,0))</f>
        <v/>
      </c>
      <c r="W98" s="7">
        <f>IF($AB98="","",V98*U98)</f>
        <v/>
      </c>
      <c r="X98" s="7">
        <f>IF($AB98="","",W98+T98)</f>
        <v/>
      </c>
      <c r="Y98" s="7">
        <f>IF($AB98="","",Z98-X98)</f>
        <v/>
      </c>
      <c r="Z98" s="7">
        <f>IF($AB98="","",S98+V98+Q98)</f>
        <v/>
      </c>
      <c r="AA98" s="7">
        <f>IF($AB98="","",Z98-X98-O98)</f>
        <v/>
      </c>
      <c r="AB98" s="13">
        <f>IF(ROWS($AB$2:$AB98)&lt;=MAX('Per Line'!$AM$2:$AM$301),MATCH(ROWS($AB$2:$AB98),'Per Line'!$AM$2:$AM$301,0),"")</f>
        <v/>
      </c>
    </row>
    <row r="99">
      <c r="A99" s="12" t="n"/>
      <c r="B99">
        <f>IF($AB99="","",INDEX('Per Line'!$E$2:$E$301,$AB99)&amp;"")</f>
        <v/>
      </c>
      <c r="C99">
        <f>IF($AB99="","",INDEX('Per Line'!$A$2:$A$301,$AB99)&amp;"")</f>
        <v/>
      </c>
      <c r="D99">
        <f>IF($AB99="","",INDEX('Per Line'!$B$2:$B$301,$AB99))</f>
        <v/>
      </c>
      <c r="E99">
        <f>IF($AB99="","",INDEX('Per Line'!$C$2:$C$301,$AB99)&amp;"")</f>
        <v/>
      </c>
      <c r="F99">
        <f>IF($AB99="","",INDEX('Per Line'!$D$2:$D$301,$AB99)&amp;"")</f>
        <v/>
      </c>
      <c r="G99">
        <f>IF($AB99="","",INDEX('Per Line'!$F$2:$F$301,$AB99)&amp;"")</f>
        <v/>
      </c>
      <c r="H99" s="11">
        <f>IF($AB99="","",INDEX('Per Line'!$G$2:$G$301,$AB99))</f>
        <v/>
      </c>
      <c r="I99">
        <f>IF($AB99="","",INDEX('Per Line'!$H$2:$H$301,$AB99)&amp;"")</f>
        <v/>
      </c>
      <c r="J99">
        <f>IF($AB99="","",INDEX('Per Line'!$J$2:$J$301,$AB99)&amp;"")</f>
        <v/>
      </c>
      <c r="K99">
        <f>IF($AB99="","",INDEX('Per Line'!$K$2:$K$301,$AB99)&amp;"")</f>
        <v/>
      </c>
      <c r="L99">
        <f>IF($AB99="","",INDEX('Per Line'!$L$2:$L$301,$AB99)&amp;"")</f>
        <v/>
      </c>
      <c r="M99">
        <f>IF($AB99="","",INDEX('Per Line'!$M$2:$M$301,$AB99)&amp;"")</f>
        <v/>
      </c>
      <c r="N99">
        <f>IF($AB99="","",INDEX('Per Line'!$N$2:$N$301,$AB99))</f>
        <v/>
      </c>
      <c r="O99" s="7">
        <f>IF($AB99="","",N99*Z99/100)</f>
        <v/>
      </c>
      <c r="P99">
        <f>IF($AB99="","",INDEX('Per Line'!$X$2:$X$301,$AB99)&amp;"")</f>
        <v/>
      </c>
      <c r="Q99" s="7">
        <f>IF($AB99="","",SUMIFS('Per Line'!$W$2:$W$301,'Per Line'!$E$2:$E$301,$B99,'Per Line'!$AO$2:$AO$301,1))</f>
        <v/>
      </c>
      <c r="R99">
        <f>IF($AB99="","",Settings!$C$7)</f>
        <v/>
      </c>
      <c r="S99" s="7">
        <f>IF($AB99="","",SUMIFS('Per Line'!$W$2:$W$301,'Per Line'!$E$2:$E$301,$B99,'Per Line'!$AN$2:$AN$301,0,'Per Line'!$AO$2:$AO$301,0))</f>
        <v/>
      </c>
      <c r="T99" s="7">
        <f>IF($AB99="","",S99*R99)</f>
        <v/>
      </c>
      <c r="U99">
        <f>IF($AB99="","",Settings!$C$6)</f>
        <v/>
      </c>
      <c r="V99" s="7">
        <f>IF($AB99="","",SUMIFS('Per Line'!$W$2:$W$301,'Per Line'!$E$2:$E$301,$B99,'Per Line'!$AN$2:$AN$301,1,'Per Line'!$AO$2:$AO$301,0))</f>
        <v/>
      </c>
      <c r="W99" s="7">
        <f>IF($AB99="","",V99*U99)</f>
        <v/>
      </c>
      <c r="X99" s="7">
        <f>IF($AB99="","",W99+T99)</f>
        <v/>
      </c>
      <c r="Y99" s="7">
        <f>IF($AB99="","",Z99-X99)</f>
        <v/>
      </c>
      <c r="Z99" s="7">
        <f>IF($AB99="","",S99+V99+Q99)</f>
        <v/>
      </c>
      <c r="AA99" s="7">
        <f>IF($AB99="","",Z99-X99-O99)</f>
        <v/>
      </c>
      <c r="AB99" s="13">
        <f>IF(ROWS($AB$2:$AB99)&lt;=MAX('Per Line'!$AM$2:$AM$301),MATCH(ROWS($AB$2:$AB99),'Per Line'!$AM$2:$AM$301,0),"")</f>
        <v/>
      </c>
    </row>
    <row r="100">
      <c r="A100" s="12" t="n"/>
      <c r="B100">
        <f>IF($AB100="","",INDEX('Per Line'!$E$2:$E$301,$AB100)&amp;"")</f>
        <v/>
      </c>
      <c r="C100">
        <f>IF($AB100="","",INDEX('Per Line'!$A$2:$A$301,$AB100)&amp;"")</f>
        <v/>
      </c>
      <c r="D100">
        <f>IF($AB100="","",INDEX('Per Line'!$B$2:$B$301,$AB100))</f>
        <v/>
      </c>
      <c r="E100">
        <f>IF($AB100="","",INDEX('Per Line'!$C$2:$C$301,$AB100)&amp;"")</f>
        <v/>
      </c>
      <c r="F100">
        <f>IF($AB100="","",INDEX('Per Line'!$D$2:$D$301,$AB100)&amp;"")</f>
        <v/>
      </c>
      <c r="G100">
        <f>IF($AB100="","",INDEX('Per Line'!$F$2:$F$301,$AB100)&amp;"")</f>
        <v/>
      </c>
      <c r="H100" s="11">
        <f>IF($AB100="","",INDEX('Per Line'!$G$2:$G$301,$AB100))</f>
        <v/>
      </c>
      <c r="I100">
        <f>IF($AB100="","",INDEX('Per Line'!$H$2:$H$301,$AB100)&amp;"")</f>
        <v/>
      </c>
      <c r="J100">
        <f>IF($AB100="","",INDEX('Per Line'!$J$2:$J$301,$AB100)&amp;"")</f>
        <v/>
      </c>
      <c r="K100">
        <f>IF($AB100="","",INDEX('Per Line'!$K$2:$K$301,$AB100)&amp;"")</f>
        <v/>
      </c>
      <c r="L100">
        <f>IF($AB100="","",INDEX('Per Line'!$L$2:$L$301,$AB100)&amp;"")</f>
        <v/>
      </c>
      <c r="M100">
        <f>IF($AB100="","",INDEX('Per Line'!$M$2:$M$301,$AB100)&amp;"")</f>
        <v/>
      </c>
      <c r="N100">
        <f>IF($AB100="","",INDEX('Per Line'!$N$2:$N$301,$AB100))</f>
        <v/>
      </c>
      <c r="O100" s="7">
        <f>IF($AB100="","",N100*Z100/100)</f>
        <v/>
      </c>
      <c r="P100">
        <f>IF($AB100="","",INDEX('Per Line'!$X$2:$X$301,$AB100)&amp;"")</f>
        <v/>
      </c>
      <c r="Q100" s="7">
        <f>IF($AB100="","",SUMIFS('Per Line'!$W$2:$W$301,'Per Line'!$E$2:$E$301,$B100,'Per Line'!$AO$2:$AO$301,1))</f>
        <v/>
      </c>
      <c r="R100">
        <f>IF($AB100="","",Settings!$C$7)</f>
        <v/>
      </c>
      <c r="S100" s="7">
        <f>IF($AB100="","",SUMIFS('Per Line'!$W$2:$W$301,'Per Line'!$E$2:$E$301,$B100,'Per Line'!$AN$2:$AN$301,0,'Per Line'!$AO$2:$AO$301,0))</f>
        <v/>
      </c>
      <c r="T100" s="7">
        <f>IF($AB100="","",S100*R100)</f>
        <v/>
      </c>
      <c r="U100">
        <f>IF($AB100="","",Settings!$C$6)</f>
        <v/>
      </c>
      <c r="V100" s="7">
        <f>IF($AB100="","",SUMIFS('Per Line'!$W$2:$W$301,'Per Line'!$E$2:$E$301,$B100,'Per Line'!$AN$2:$AN$301,1,'Per Line'!$AO$2:$AO$301,0))</f>
        <v/>
      </c>
      <c r="W100" s="7">
        <f>IF($AB100="","",V100*U100)</f>
        <v/>
      </c>
      <c r="X100" s="7">
        <f>IF($AB100="","",W100+T100)</f>
        <v/>
      </c>
      <c r="Y100" s="7">
        <f>IF($AB100="","",Z100-X100)</f>
        <v/>
      </c>
      <c r="Z100" s="7">
        <f>IF($AB100="","",S100+V100+Q100)</f>
        <v/>
      </c>
      <c r="AA100" s="7">
        <f>IF($AB100="","",Z100-X100-O100)</f>
        <v/>
      </c>
      <c r="AB100" s="13">
        <f>IF(ROWS($AB$2:$AB100)&lt;=MAX('Per Line'!$AM$2:$AM$301),MATCH(ROWS($AB$2:$AB100),'Per Line'!$AM$2:$AM$301,0),"")</f>
        <v/>
      </c>
    </row>
    <row r="101">
      <c r="A101" s="12" t="n"/>
      <c r="B101">
        <f>IF($AB101="","",INDEX('Per Line'!$E$2:$E$301,$AB101)&amp;"")</f>
        <v/>
      </c>
      <c r="C101">
        <f>IF($AB101="","",INDEX('Per Line'!$A$2:$A$301,$AB101)&amp;"")</f>
        <v/>
      </c>
      <c r="D101">
        <f>IF($AB101="","",INDEX('Per Line'!$B$2:$B$301,$AB101))</f>
        <v/>
      </c>
      <c r="E101">
        <f>IF($AB101="","",INDEX('Per Line'!$C$2:$C$301,$AB101)&amp;"")</f>
        <v/>
      </c>
      <c r="F101">
        <f>IF($AB101="","",INDEX('Per Line'!$D$2:$D$301,$AB101)&amp;"")</f>
        <v/>
      </c>
      <c r="G101">
        <f>IF($AB101="","",INDEX('Per Line'!$F$2:$F$301,$AB101)&amp;"")</f>
        <v/>
      </c>
      <c r="H101" s="11">
        <f>IF($AB101="","",INDEX('Per Line'!$G$2:$G$301,$AB101))</f>
        <v/>
      </c>
      <c r="I101">
        <f>IF($AB101="","",INDEX('Per Line'!$H$2:$H$301,$AB101)&amp;"")</f>
        <v/>
      </c>
      <c r="J101">
        <f>IF($AB101="","",INDEX('Per Line'!$J$2:$J$301,$AB101)&amp;"")</f>
        <v/>
      </c>
      <c r="K101">
        <f>IF($AB101="","",INDEX('Per Line'!$K$2:$K$301,$AB101)&amp;"")</f>
        <v/>
      </c>
      <c r="L101">
        <f>IF($AB101="","",INDEX('Per Line'!$L$2:$L$301,$AB101)&amp;"")</f>
        <v/>
      </c>
      <c r="M101">
        <f>IF($AB101="","",INDEX('Per Line'!$M$2:$M$301,$AB101)&amp;"")</f>
        <v/>
      </c>
      <c r="N101">
        <f>IF($AB101="","",INDEX('Per Line'!$N$2:$N$301,$AB101))</f>
        <v/>
      </c>
      <c r="O101" s="7">
        <f>IF($AB101="","",N101*Z101/100)</f>
        <v/>
      </c>
      <c r="P101">
        <f>IF($AB101="","",INDEX('Per Line'!$X$2:$X$301,$AB101)&amp;"")</f>
        <v/>
      </c>
      <c r="Q101" s="7">
        <f>IF($AB101="","",SUMIFS('Per Line'!$W$2:$W$301,'Per Line'!$E$2:$E$301,$B101,'Per Line'!$AO$2:$AO$301,1))</f>
        <v/>
      </c>
      <c r="R101">
        <f>IF($AB101="","",Settings!$C$7)</f>
        <v/>
      </c>
      <c r="S101" s="7">
        <f>IF($AB101="","",SUMIFS('Per Line'!$W$2:$W$301,'Per Line'!$E$2:$E$301,$B101,'Per Line'!$AN$2:$AN$301,0,'Per Line'!$AO$2:$AO$301,0))</f>
        <v/>
      </c>
      <c r="T101" s="7">
        <f>IF($AB101="","",S101*R101)</f>
        <v/>
      </c>
      <c r="U101">
        <f>IF($AB101="","",Settings!$C$6)</f>
        <v/>
      </c>
      <c r="V101" s="7">
        <f>IF($AB101="","",SUMIFS('Per Line'!$W$2:$W$301,'Per Line'!$E$2:$E$301,$B101,'Per Line'!$AN$2:$AN$301,1,'Per Line'!$AO$2:$AO$301,0))</f>
        <v/>
      </c>
      <c r="W101" s="7">
        <f>IF($AB101="","",V101*U101)</f>
        <v/>
      </c>
      <c r="X101" s="7">
        <f>IF($AB101="","",W101+T101)</f>
        <v/>
      </c>
      <c r="Y101" s="7">
        <f>IF($AB101="","",Z101-X101)</f>
        <v/>
      </c>
      <c r="Z101" s="7">
        <f>IF($AB101="","",S101+V101+Q101)</f>
        <v/>
      </c>
      <c r="AA101" s="7">
        <f>IF($AB101="","",Z101-X101-O101)</f>
        <v/>
      </c>
      <c r="AB101" s="13">
        <f>IF(ROWS($AB$2:$AB101)&lt;=MAX('Per Line'!$AM$2:$AM$301),MATCH(ROWS($AB$2:$AB101),'Per Line'!$AM$2:$AM$301,0),"")</f>
        <v/>
      </c>
    </row>
  </sheetData>
  <autoFilter ref="A1:AB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2026-10-12T10:41:45Z</dcterms:created>
  <dcterms:modified xmlns:dcterms="http://purl.org/dc/terms/" xmlns:xsi="http://www.w3.org/2001/XMLSchema-instance" xsi:type="dcterms:W3CDTF">2026-10-12T10:41:45Z</dcterms:modified>
</cp:coreProperties>
</file>