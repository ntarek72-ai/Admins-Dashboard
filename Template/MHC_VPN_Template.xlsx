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Line'!$A$1:$AL$1501</definedName>
    <definedName name="_xlnm._FilterDatabase" localSheetId="3" hidden="1">'Per Invoice'!$A$1:$V$501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MISR HEALTH CARE (VPN)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A-Q, S-AD (same order as the system export).</t>
        </is>
      </c>
    </row>
    <row r="6">
      <c r="A6" s="3" t="inlineStr">
        <is>
          <t>3. Green columns (R, AE, AF, AG, AH) and the grey helper columns (AI-AL)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August 2026 sheet)</t>
        </is>
      </c>
    </row>
    <row r="15">
      <c r="A15" s="3" t="inlineStr">
        <is>
          <t>Co val = Co Payment % x Total / 100.   Discount = Total x Rebates (Rebates is a fraction here, e.g. 0.14).   Subtotal = Total - Discount.   Net = Subtotal - Co val.   (Total = 'Item Total Price (EGP)')</t>
        </is>
      </c>
    </row>
    <row r="16">
      <c r="A16" s="3" t="inlineStr">
        <is>
          <t>Rebates per line = Local rate (12%) if Local is TRUE, otherwise Imported rate (4%).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1,500 lines and 500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MISR HEALTH CARE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VPN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0.12</v>
      </c>
      <c r="D6" t="inlineStr">
        <is>
          <t>Source: Aug sheet (Rebates = 0.12 when Imported = FALSE).</t>
        </is>
      </c>
    </row>
    <row r="7">
      <c r="B7" t="inlineStr">
        <is>
          <t>Imported (IMP) products rebate %</t>
        </is>
      </c>
      <c r="C7" s="5" t="n">
        <v>0.04</v>
      </c>
      <c r="D7" t="inlineStr">
        <is>
          <t>Source: Aug sheet (Rebates = 0.04 when Imported = TRUE).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Line'!$C$2:$C$1501)</f>
        <v/>
      </c>
    </row>
    <row r="11">
      <c r="B11" t="inlineStr">
        <is>
          <t>Invoices (unique Order #)</t>
        </is>
      </c>
      <c r="C11">
        <f>MAX('Per Line'!$AJ$2:$AJ$1501)</f>
        <v/>
      </c>
    </row>
    <row r="12">
      <c r="B12" t="inlineStr">
        <is>
          <t>Invoices shown in Per Invoice</t>
        </is>
      </c>
      <c r="C12">
        <f>SUMPRODUCT(--('Per Invoice'!$C$2:$C$501&lt;&gt;""))</f>
        <v/>
      </c>
    </row>
    <row r="13">
      <c r="B13" t="inlineStr">
        <is>
          <t>Grand Total - Per Line (Product Total)</t>
        </is>
      </c>
      <c r="C13" s="7">
        <f>SUM('Per Line'!$AC$2:$AC$1501)</f>
        <v/>
      </c>
    </row>
    <row r="14">
      <c r="B14" t="inlineStr">
        <is>
          <t>Grand Total - Per Invoice</t>
        </is>
      </c>
      <c r="C14" s="7">
        <f>SUM('Per Invoice'!$T$2:$T$501)</f>
        <v/>
      </c>
    </row>
    <row r="15">
      <c r="B15" t="inlineStr">
        <is>
          <t>Discount - Per Line</t>
        </is>
      </c>
      <c r="C15" s="7">
        <f>SUM('Per Line'!$AF$2:$AF$1501)</f>
        <v/>
      </c>
    </row>
    <row r="16">
      <c r="B16" t="inlineStr">
        <is>
          <t>Discount - Per Invoice</t>
        </is>
      </c>
      <c r="C16" s="7">
        <f>SUM('Per Invoice'!$R$2:$R$501)</f>
        <v/>
      </c>
    </row>
    <row r="17">
      <c r="B17" t="inlineStr">
        <is>
          <t>Co val - Per Line</t>
        </is>
      </c>
      <c r="C17" s="7">
        <f>SUM('Per Line'!$R$2:$R$1501)</f>
        <v/>
      </c>
    </row>
    <row r="18">
      <c r="B18" t="inlineStr">
        <is>
          <t>Co val - Per Invoice</t>
        </is>
      </c>
      <c r="C18" s="7">
        <f>SUM('Per Invoice'!$K$2:$K$501)</f>
        <v/>
      </c>
    </row>
    <row r="19">
      <c r="B19" t="inlineStr">
        <is>
          <t>Net - Per Line</t>
        </is>
      </c>
      <c r="C19" s="7">
        <f>SUM('Per Line'!$AH$2:$AH$1501)</f>
        <v/>
      </c>
    </row>
    <row r="20">
      <c r="B20" t="inlineStr">
        <is>
          <t>Net - Per Invoice</t>
        </is>
      </c>
      <c r="C20" s="7">
        <f>SUM('Per Invoice'!$U$2:$U$501)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Line'!$C:$C)-1&gt;1500,"TOO MANY LINES - extend template",IF(C11&gt;500,"TOO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  <col width="12" customWidth="1" min="15" max="15"/>
    <col width="13" customWidth="1" min="16" max="16"/>
    <col width="12" customWidth="1" min="17" max="17"/>
    <col width="11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32" customHeight="1">
      <c r="A1" s="8" t="inlineStr">
        <is>
          <t>ERX ID</t>
        </is>
      </c>
      <c r="B1" s="8" t="inlineStr">
        <is>
          <t>Mongo Order ID</t>
        </is>
      </c>
      <c r="C1" s="8" t="inlineStr">
        <is>
          <t>Order Number</t>
        </is>
      </c>
      <c r="D1" s="8" t="inlineStr">
        <is>
          <t>Pool ID</t>
        </is>
      </c>
      <c r="E1" s="8" t="inlineStr">
        <is>
          <t>Approval Number</t>
        </is>
      </c>
      <c r="F1" s="8" t="inlineStr">
        <is>
          <t>Approval Reference</t>
        </is>
      </c>
      <c r="G1" s="8" t="inlineStr">
        <is>
          <t>Group ID</t>
        </is>
      </c>
      <c r="H1" s="8" t="inlineStr">
        <is>
          <t>Branch ID</t>
        </is>
      </c>
      <c r="I1" s="8" t="inlineStr">
        <is>
          <t>Order Status</t>
        </is>
      </c>
      <c r="J1" s="8" t="inlineStr">
        <is>
          <t>Total (EGP)</t>
        </is>
      </c>
      <c r="K1" s="8" t="inlineStr">
        <is>
          <t>By Patient (EGP)</t>
        </is>
      </c>
      <c r="L1" s="8" t="inlineStr">
        <is>
          <t>Order Type</t>
        </is>
      </c>
      <c r="M1" s="8" t="inlineStr">
        <is>
          <t>Original Order Type</t>
        </is>
      </c>
      <c r="N1" s="8" t="inlineStr">
        <is>
          <t>Payer</t>
        </is>
      </c>
      <c r="O1" s="8" t="inlineStr">
        <is>
          <t>Card Holder Name</t>
        </is>
      </c>
      <c r="P1" s="8" t="inlineStr">
        <is>
          <t>Card Number</t>
        </is>
      </c>
      <c r="Q1" s="8" t="inlineStr">
        <is>
          <t>Co Payment (%)</t>
        </is>
      </c>
      <c r="R1" s="9" t="inlineStr">
        <is>
          <t>Co val</t>
        </is>
      </c>
      <c r="S1" s="8" t="inlineStr">
        <is>
          <t>Creation Date</t>
        </is>
      </c>
      <c r="T1" s="8" t="inlineStr">
        <is>
          <t>Creation Time</t>
        </is>
      </c>
      <c r="U1" s="8" t="inlineStr">
        <is>
          <t>Dispatch Date</t>
        </is>
      </c>
      <c r="V1" s="8" t="inlineStr">
        <is>
          <t>Dispatch Time</t>
        </is>
      </c>
      <c r="W1" s="8" t="inlineStr">
        <is>
          <t>Heisenberg ID</t>
        </is>
      </c>
      <c r="X1" s="8" t="inlineStr">
        <is>
          <t>Item</t>
        </is>
      </c>
      <c r="Y1" s="8" t="inlineStr">
        <is>
          <t>Item Unit</t>
        </is>
      </c>
      <c r="Z1" s="8" t="inlineStr">
        <is>
          <t>Item Form</t>
        </is>
      </c>
      <c r="AA1" s="8" t="inlineStr">
        <is>
          <t>Item Price (EGP)</t>
        </is>
      </c>
      <c r="AB1" s="8" t="inlineStr">
        <is>
          <t>Item Quantity</t>
        </is>
      </c>
      <c r="AC1" s="8" t="inlineStr">
        <is>
          <t>Item Total Price (EGP)</t>
        </is>
      </c>
      <c r="AD1" s="8" t="inlineStr">
        <is>
          <t>Imported</t>
        </is>
      </c>
      <c r="AE1" s="9" t="inlineStr">
        <is>
          <t>Rebates</t>
        </is>
      </c>
      <c r="AF1" s="9" t="inlineStr">
        <is>
          <t>Discount</t>
        </is>
      </c>
      <c r="AG1" s="9" t="inlineStr">
        <is>
          <t>Subtotal</t>
        </is>
      </c>
      <c r="AH1" s="9" t="inlineStr">
        <is>
          <t>Net</t>
        </is>
      </c>
      <c r="AI1" s="10" t="inlineStr">
        <is>
          <t>Order 1st Row (helper)</t>
        </is>
      </c>
      <c r="AJ1" s="10" t="inlineStr">
        <is>
          <t>Invoice # (helper)</t>
        </is>
      </c>
      <c r="AK1" s="10" t="inlineStr">
        <is>
          <t>Is Local (helper)</t>
        </is>
      </c>
      <c r="AL1" s="10" t="inlineStr">
        <is>
          <t>Sort Key (helper)</t>
        </is>
      </c>
    </row>
    <row r="2">
      <c r="J2" s="7" t="n"/>
      <c r="K2" s="7" t="n"/>
      <c r="R2" s="7">
        <f>IF($C2="","",Q2*AC2/100)</f>
        <v/>
      </c>
      <c r="S2" s="11" t="n"/>
      <c r="U2" s="11" t="n"/>
      <c r="AA2" s="7" t="n"/>
      <c r="AC2" s="7" t="n"/>
      <c r="AE2">
        <f>IF($C2="","",IF($AK2=1,Settings!$C$6,Settings!$C$7)*1)</f>
        <v/>
      </c>
      <c r="AF2" s="7">
        <f>IF($C2="","",AE2*AC2)</f>
        <v/>
      </c>
      <c r="AG2" s="7">
        <f>IF($C2="","",AC2-AF2)</f>
        <v/>
      </c>
      <c r="AH2" s="7">
        <f>IF($C2="","",AG2-R2)</f>
        <v/>
      </c>
      <c r="AI2">
        <f>IF($C2="","",IF(COUNTIF($C$2:$C2,$C2)=1,1,0))</f>
        <v/>
      </c>
      <c r="AJ2">
        <f>IF($AI2=1,SUMPRODUCT(--($AL$2:$AL$1501&lt;$AL2))+1,"")</f>
        <v/>
      </c>
      <c r="AK2">
        <f>IF($C2="","",IF(OR($AD2=TRUE(),$AD2="TRUE"),0,1))</f>
        <v/>
      </c>
      <c r="AL2">
        <f>IF($AI2=1,IFERROR(IF(VALUE($C2)&lt;100000000,VALUE($C2),1000000000),IFERROR(IF(VALUE(MID($C2,2,20))&lt;100000000,VALUE(MID($C2,2,20)),1000000000),1000000000))+ROW()/100000,"")</f>
        <v/>
      </c>
    </row>
    <row r="3">
      <c r="J3" s="7" t="n"/>
      <c r="K3" s="7" t="n"/>
      <c r="R3" s="7">
        <f>IF($C3="","",Q3*AC3/100)</f>
        <v/>
      </c>
      <c r="S3" s="11" t="n"/>
      <c r="U3" s="11" t="n"/>
      <c r="AA3" s="7" t="n"/>
      <c r="AC3" s="7" t="n"/>
      <c r="AE3">
        <f>IF($C3="","",IF($AK3=1,Settings!$C$6,Settings!$C$7)*1)</f>
        <v/>
      </c>
      <c r="AF3" s="7">
        <f>IF($C3="","",AE3*AC3)</f>
        <v/>
      </c>
      <c r="AG3" s="7">
        <f>IF($C3="","",AC3-AF3)</f>
        <v/>
      </c>
      <c r="AH3" s="7">
        <f>IF($C3="","",AG3-R3)</f>
        <v/>
      </c>
      <c r="AI3">
        <f>IF($C3="","",IF(COUNTIF($C$2:$C3,$C3)=1,1,0))</f>
        <v/>
      </c>
      <c r="AJ3">
        <f>IF($AI3=1,SUMPRODUCT(--($AL$2:$AL$1501&lt;$AL3))+1,"")</f>
        <v/>
      </c>
      <c r="AK3">
        <f>IF($C3="","",IF(OR($AD3=TRUE(),$AD3="TRUE"),0,1))</f>
        <v/>
      </c>
      <c r="AL3">
        <f>IF($AI3=1,IFERROR(IF(VALUE($C3)&lt;100000000,VALUE($C3),1000000000),IFERROR(IF(VALUE(MID($C3,2,20))&lt;100000000,VALUE(MID($C3,2,20)),1000000000),1000000000))+ROW()/100000,"")</f>
        <v/>
      </c>
    </row>
    <row r="4">
      <c r="J4" s="7" t="n"/>
      <c r="K4" s="7" t="n"/>
      <c r="R4" s="7">
        <f>IF($C4="","",Q4*AC4/100)</f>
        <v/>
      </c>
      <c r="S4" s="11" t="n"/>
      <c r="U4" s="11" t="n"/>
      <c r="AA4" s="7" t="n"/>
      <c r="AC4" s="7" t="n"/>
      <c r="AE4">
        <f>IF($C4="","",IF($AK4=1,Settings!$C$6,Settings!$C$7)*1)</f>
        <v/>
      </c>
      <c r="AF4" s="7">
        <f>IF($C4="","",AE4*AC4)</f>
        <v/>
      </c>
      <c r="AG4" s="7">
        <f>IF($C4="","",AC4-AF4)</f>
        <v/>
      </c>
      <c r="AH4" s="7">
        <f>IF($C4="","",AG4-R4)</f>
        <v/>
      </c>
      <c r="AI4">
        <f>IF($C4="","",IF(COUNTIF($C$2:$C4,$C4)=1,1,0))</f>
        <v/>
      </c>
      <c r="AJ4">
        <f>IF($AI4=1,SUMPRODUCT(--($AL$2:$AL$1501&lt;$AL4))+1,"")</f>
        <v/>
      </c>
      <c r="AK4">
        <f>IF($C4="","",IF(OR($AD4=TRUE(),$AD4="TRUE"),0,1))</f>
        <v/>
      </c>
      <c r="AL4">
        <f>IF($AI4=1,IFERROR(IF(VALUE($C4)&lt;100000000,VALUE($C4),1000000000),IFERROR(IF(VALUE(MID($C4,2,20))&lt;100000000,VALUE(MID($C4,2,20)),1000000000),1000000000))+ROW()/100000,"")</f>
        <v/>
      </c>
    </row>
    <row r="5">
      <c r="J5" s="7" t="n"/>
      <c r="K5" s="7" t="n"/>
      <c r="R5" s="7">
        <f>IF($C5="","",Q5*AC5/100)</f>
        <v/>
      </c>
      <c r="S5" s="11" t="n"/>
      <c r="U5" s="11" t="n"/>
      <c r="AA5" s="7" t="n"/>
      <c r="AC5" s="7" t="n"/>
      <c r="AE5">
        <f>IF($C5="","",IF($AK5=1,Settings!$C$6,Settings!$C$7)*1)</f>
        <v/>
      </c>
      <c r="AF5" s="7">
        <f>IF($C5="","",AE5*AC5)</f>
        <v/>
      </c>
      <c r="AG5" s="7">
        <f>IF($C5="","",AC5-AF5)</f>
        <v/>
      </c>
      <c r="AH5" s="7">
        <f>IF($C5="","",AG5-R5)</f>
        <v/>
      </c>
      <c r="AI5">
        <f>IF($C5="","",IF(COUNTIF($C$2:$C5,$C5)=1,1,0))</f>
        <v/>
      </c>
      <c r="AJ5">
        <f>IF($AI5=1,SUMPRODUCT(--($AL$2:$AL$1501&lt;$AL5))+1,"")</f>
        <v/>
      </c>
      <c r="AK5">
        <f>IF($C5="","",IF(OR($AD5=TRUE(),$AD5="TRUE"),0,1))</f>
        <v/>
      </c>
      <c r="AL5">
        <f>IF($AI5=1,IFERROR(IF(VALUE($C5)&lt;100000000,VALUE($C5),1000000000),IFERROR(IF(VALUE(MID($C5,2,20))&lt;100000000,VALUE(MID($C5,2,20)),1000000000),1000000000))+ROW()/100000,"")</f>
        <v/>
      </c>
    </row>
    <row r="6">
      <c r="J6" s="7" t="n"/>
      <c r="K6" s="7" t="n"/>
      <c r="R6" s="7">
        <f>IF($C6="","",Q6*AC6/100)</f>
        <v/>
      </c>
      <c r="S6" s="11" t="n"/>
      <c r="U6" s="11" t="n"/>
      <c r="AA6" s="7" t="n"/>
      <c r="AC6" s="7" t="n"/>
      <c r="AE6">
        <f>IF($C6="","",IF($AK6=1,Settings!$C$6,Settings!$C$7)*1)</f>
        <v/>
      </c>
      <c r="AF6" s="7">
        <f>IF($C6="","",AE6*AC6)</f>
        <v/>
      </c>
      <c r="AG6" s="7">
        <f>IF($C6="","",AC6-AF6)</f>
        <v/>
      </c>
      <c r="AH6" s="7">
        <f>IF($C6="","",AG6-R6)</f>
        <v/>
      </c>
      <c r="AI6">
        <f>IF($C6="","",IF(COUNTIF($C$2:$C6,$C6)=1,1,0))</f>
        <v/>
      </c>
      <c r="AJ6">
        <f>IF($AI6=1,SUMPRODUCT(--($AL$2:$AL$1501&lt;$AL6))+1,"")</f>
        <v/>
      </c>
      <c r="AK6">
        <f>IF($C6="","",IF(OR($AD6=TRUE(),$AD6="TRUE"),0,1))</f>
        <v/>
      </c>
      <c r="AL6">
        <f>IF($AI6=1,IFERROR(IF(VALUE($C6)&lt;100000000,VALUE($C6),1000000000),IFERROR(IF(VALUE(MID($C6,2,20))&lt;100000000,VALUE(MID($C6,2,20)),1000000000),1000000000))+ROW()/100000,"")</f>
        <v/>
      </c>
    </row>
    <row r="7">
      <c r="J7" s="7" t="n"/>
      <c r="K7" s="7" t="n"/>
      <c r="R7" s="7">
        <f>IF($C7="","",Q7*AC7/100)</f>
        <v/>
      </c>
      <c r="S7" s="11" t="n"/>
      <c r="U7" s="11" t="n"/>
      <c r="AA7" s="7" t="n"/>
      <c r="AC7" s="7" t="n"/>
      <c r="AE7">
        <f>IF($C7="","",IF($AK7=1,Settings!$C$6,Settings!$C$7)*1)</f>
        <v/>
      </c>
      <c r="AF7" s="7">
        <f>IF($C7="","",AE7*AC7)</f>
        <v/>
      </c>
      <c r="AG7" s="7">
        <f>IF($C7="","",AC7-AF7)</f>
        <v/>
      </c>
      <c r="AH7" s="7">
        <f>IF($C7="","",AG7-R7)</f>
        <v/>
      </c>
      <c r="AI7">
        <f>IF($C7="","",IF(COUNTIF($C$2:$C7,$C7)=1,1,0))</f>
        <v/>
      </c>
      <c r="AJ7">
        <f>IF($AI7=1,SUMPRODUCT(--($AL$2:$AL$1501&lt;$AL7))+1,"")</f>
        <v/>
      </c>
      <c r="AK7">
        <f>IF($C7="","",IF(OR($AD7=TRUE(),$AD7="TRUE"),0,1))</f>
        <v/>
      </c>
      <c r="AL7">
        <f>IF($AI7=1,IFERROR(IF(VALUE($C7)&lt;100000000,VALUE($C7),1000000000),IFERROR(IF(VALUE(MID($C7,2,20))&lt;100000000,VALUE(MID($C7,2,20)),1000000000),1000000000))+ROW()/100000,"")</f>
        <v/>
      </c>
    </row>
    <row r="8">
      <c r="J8" s="7" t="n"/>
      <c r="K8" s="7" t="n"/>
      <c r="R8" s="7">
        <f>IF($C8="","",Q8*AC8/100)</f>
        <v/>
      </c>
      <c r="S8" s="11" t="n"/>
      <c r="U8" s="11" t="n"/>
      <c r="AA8" s="7" t="n"/>
      <c r="AC8" s="7" t="n"/>
      <c r="AE8">
        <f>IF($C8="","",IF($AK8=1,Settings!$C$6,Settings!$C$7)*1)</f>
        <v/>
      </c>
      <c r="AF8" s="7">
        <f>IF($C8="","",AE8*AC8)</f>
        <v/>
      </c>
      <c r="AG8" s="7">
        <f>IF($C8="","",AC8-AF8)</f>
        <v/>
      </c>
      <c r="AH8" s="7">
        <f>IF($C8="","",AG8-R8)</f>
        <v/>
      </c>
      <c r="AI8">
        <f>IF($C8="","",IF(COUNTIF($C$2:$C8,$C8)=1,1,0))</f>
        <v/>
      </c>
      <c r="AJ8">
        <f>IF($AI8=1,SUMPRODUCT(--($AL$2:$AL$1501&lt;$AL8))+1,"")</f>
        <v/>
      </c>
      <c r="AK8">
        <f>IF($C8="","",IF(OR($AD8=TRUE(),$AD8="TRUE"),0,1))</f>
        <v/>
      </c>
      <c r="AL8">
        <f>IF($AI8=1,IFERROR(IF(VALUE($C8)&lt;100000000,VALUE($C8),1000000000),IFERROR(IF(VALUE(MID($C8,2,20))&lt;100000000,VALUE(MID($C8,2,20)),1000000000),1000000000))+ROW()/100000,"")</f>
        <v/>
      </c>
    </row>
    <row r="9">
      <c r="J9" s="7" t="n"/>
      <c r="K9" s="7" t="n"/>
      <c r="R9" s="7">
        <f>IF($C9="","",Q9*AC9/100)</f>
        <v/>
      </c>
      <c r="S9" s="11" t="n"/>
      <c r="U9" s="11" t="n"/>
      <c r="AA9" s="7" t="n"/>
      <c r="AC9" s="7" t="n"/>
      <c r="AE9">
        <f>IF($C9="","",IF($AK9=1,Settings!$C$6,Settings!$C$7)*1)</f>
        <v/>
      </c>
      <c r="AF9" s="7">
        <f>IF($C9="","",AE9*AC9)</f>
        <v/>
      </c>
      <c r="AG9" s="7">
        <f>IF($C9="","",AC9-AF9)</f>
        <v/>
      </c>
      <c r="AH9" s="7">
        <f>IF($C9="","",AG9-R9)</f>
        <v/>
      </c>
      <c r="AI9">
        <f>IF($C9="","",IF(COUNTIF($C$2:$C9,$C9)=1,1,0))</f>
        <v/>
      </c>
      <c r="AJ9">
        <f>IF($AI9=1,SUMPRODUCT(--($AL$2:$AL$1501&lt;$AL9))+1,"")</f>
        <v/>
      </c>
      <c r="AK9">
        <f>IF($C9="","",IF(OR($AD9=TRUE(),$AD9="TRUE"),0,1))</f>
        <v/>
      </c>
      <c r="AL9">
        <f>IF($AI9=1,IFERROR(IF(VALUE($C9)&lt;100000000,VALUE($C9),1000000000),IFERROR(IF(VALUE(MID($C9,2,20))&lt;100000000,VALUE(MID($C9,2,20)),1000000000),1000000000))+ROW()/100000,"")</f>
        <v/>
      </c>
    </row>
    <row r="10">
      <c r="J10" s="7" t="n"/>
      <c r="K10" s="7" t="n"/>
      <c r="R10" s="7">
        <f>IF($C10="","",Q10*AC10/100)</f>
        <v/>
      </c>
      <c r="S10" s="11" t="n"/>
      <c r="U10" s="11" t="n"/>
      <c r="AA10" s="7" t="n"/>
      <c r="AC10" s="7" t="n"/>
      <c r="AE10">
        <f>IF($C10="","",IF($AK10=1,Settings!$C$6,Settings!$C$7)*1)</f>
        <v/>
      </c>
      <c r="AF10" s="7">
        <f>IF($C10="","",AE10*AC10)</f>
        <v/>
      </c>
      <c r="AG10" s="7">
        <f>IF($C10="","",AC10-AF10)</f>
        <v/>
      </c>
      <c r="AH10" s="7">
        <f>IF($C10="","",AG10-R10)</f>
        <v/>
      </c>
      <c r="AI10">
        <f>IF($C10="","",IF(COUNTIF($C$2:$C10,$C10)=1,1,0))</f>
        <v/>
      </c>
      <c r="AJ10">
        <f>IF($AI10=1,SUMPRODUCT(--($AL$2:$AL$1501&lt;$AL10))+1,"")</f>
        <v/>
      </c>
      <c r="AK10">
        <f>IF($C10="","",IF(OR($AD10=TRUE(),$AD10="TRUE"),0,1))</f>
        <v/>
      </c>
      <c r="AL10">
        <f>IF($AI10=1,IFERROR(IF(VALUE($C10)&lt;100000000,VALUE($C10),1000000000),IFERROR(IF(VALUE(MID($C10,2,20))&lt;100000000,VALUE(MID($C10,2,20)),1000000000),1000000000))+ROW()/100000,"")</f>
        <v/>
      </c>
    </row>
    <row r="11">
      <c r="J11" s="7" t="n"/>
      <c r="K11" s="7" t="n"/>
      <c r="R11" s="7">
        <f>IF($C11="","",Q11*AC11/100)</f>
        <v/>
      </c>
      <c r="S11" s="11" t="n"/>
      <c r="U11" s="11" t="n"/>
      <c r="AA11" s="7" t="n"/>
      <c r="AC11" s="7" t="n"/>
      <c r="AE11">
        <f>IF($C11="","",IF($AK11=1,Settings!$C$6,Settings!$C$7)*1)</f>
        <v/>
      </c>
      <c r="AF11" s="7">
        <f>IF($C11="","",AE11*AC11)</f>
        <v/>
      </c>
      <c r="AG11" s="7">
        <f>IF($C11="","",AC11-AF11)</f>
        <v/>
      </c>
      <c r="AH11" s="7">
        <f>IF($C11="","",AG11-R11)</f>
        <v/>
      </c>
      <c r="AI11">
        <f>IF($C11="","",IF(COUNTIF($C$2:$C11,$C11)=1,1,0))</f>
        <v/>
      </c>
      <c r="AJ11">
        <f>IF($AI11=1,SUMPRODUCT(--($AL$2:$AL$1501&lt;$AL11))+1,"")</f>
        <v/>
      </c>
      <c r="AK11">
        <f>IF($C11="","",IF(OR($AD11=TRUE(),$AD11="TRUE"),0,1))</f>
        <v/>
      </c>
      <c r="AL11">
        <f>IF($AI11=1,IFERROR(IF(VALUE($C11)&lt;100000000,VALUE($C11),1000000000),IFERROR(IF(VALUE(MID($C11,2,20))&lt;100000000,VALUE(MID($C11,2,20)),1000000000),1000000000))+ROW()/100000,"")</f>
        <v/>
      </c>
    </row>
    <row r="12">
      <c r="J12" s="7" t="n"/>
      <c r="K12" s="7" t="n"/>
      <c r="R12" s="7">
        <f>IF($C12="","",Q12*AC12/100)</f>
        <v/>
      </c>
      <c r="S12" s="11" t="n"/>
      <c r="U12" s="11" t="n"/>
      <c r="AA12" s="7" t="n"/>
      <c r="AC12" s="7" t="n"/>
      <c r="AE12">
        <f>IF($C12="","",IF($AK12=1,Settings!$C$6,Settings!$C$7)*1)</f>
        <v/>
      </c>
      <c r="AF12" s="7">
        <f>IF($C12="","",AE12*AC12)</f>
        <v/>
      </c>
      <c r="AG12" s="7">
        <f>IF($C12="","",AC12-AF12)</f>
        <v/>
      </c>
      <c r="AH12" s="7">
        <f>IF($C12="","",AG12-R12)</f>
        <v/>
      </c>
      <c r="AI12">
        <f>IF($C12="","",IF(COUNTIF($C$2:$C12,$C12)=1,1,0))</f>
        <v/>
      </c>
      <c r="AJ12">
        <f>IF($AI12=1,SUMPRODUCT(--($AL$2:$AL$1501&lt;$AL12))+1,"")</f>
        <v/>
      </c>
      <c r="AK12">
        <f>IF($C12="","",IF(OR($AD12=TRUE(),$AD12="TRUE"),0,1))</f>
        <v/>
      </c>
      <c r="AL12">
        <f>IF($AI12=1,IFERROR(IF(VALUE($C12)&lt;100000000,VALUE($C12),1000000000),IFERROR(IF(VALUE(MID($C12,2,20))&lt;100000000,VALUE(MID($C12,2,20)),1000000000),1000000000))+ROW()/100000,"")</f>
        <v/>
      </c>
    </row>
    <row r="13">
      <c r="J13" s="7" t="n"/>
      <c r="K13" s="7" t="n"/>
      <c r="R13" s="7">
        <f>IF($C13="","",Q13*AC13/100)</f>
        <v/>
      </c>
      <c r="S13" s="11" t="n"/>
      <c r="U13" s="11" t="n"/>
      <c r="AA13" s="7" t="n"/>
      <c r="AC13" s="7" t="n"/>
      <c r="AE13">
        <f>IF($C13="","",IF($AK13=1,Settings!$C$6,Settings!$C$7)*1)</f>
        <v/>
      </c>
      <c r="AF13" s="7">
        <f>IF($C13="","",AE13*AC13)</f>
        <v/>
      </c>
      <c r="AG13" s="7">
        <f>IF($C13="","",AC13-AF13)</f>
        <v/>
      </c>
      <c r="AH13" s="7">
        <f>IF($C13="","",AG13-R13)</f>
        <v/>
      </c>
      <c r="AI13">
        <f>IF($C13="","",IF(COUNTIF($C$2:$C13,$C13)=1,1,0))</f>
        <v/>
      </c>
      <c r="AJ13">
        <f>IF($AI13=1,SUMPRODUCT(--($AL$2:$AL$1501&lt;$AL13))+1,"")</f>
        <v/>
      </c>
      <c r="AK13">
        <f>IF($C13="","",IF(OR($AD13=TRUE(),$AD13="TRUE"),0,1))</f>
        <v/>
      </c>
      <c r="AL13">
        <f>IF($AI13=1,IFERROR(IF(VALUE($C13)&lt;100000000,VALUE($C13),1000000000),IFERROR(IF(VALUE(MID($C13,2,20))&lt;100000000,VALUE(MID($C13,2,20)),1000000000),1000000000))+ROW()/100000,"")</f>
        <v/>
      </c>
    </row>
    <row r="14">
      <c r="J14" s="7" t="n"/>
      <c r="K14" s="7" t="n"/>
      <c r="R14" s="7">
        <f>IF($C14="","",Q14*AC14/100)</f>
        <v/>
      </c>
      <c r="S14" s="11" t="n"/>
      <c r="U14" s="11" t="n"/>
      <c r="AA14" s="7" t="n"/>
      <c r="AC14" s="7" t="n"/>
      <c r="AE14">
        <f>IF($C14="","",IF($AK14=1,Settings!$C$6,Settings!$C$7)*1)</f>
        <v/>
      </c>
      <c r="AF14" s="7">
        <f>IF($C14="","",AE14*AC14)</f>
        <v/>
      </c>
      <c r="AG14" s="7">
        <f>IF($C14="","",AC14-AF14)</f>
        <v/>
      </c>
      <c r="AH14" s="7">
        <f>IF($C14="","",AG14-R14)</f>
        <v/>
      </c>
      <c r="AI14">
        <f>IF($C14="","",IF(COUNTIF($C$2:$C14,$C14)=1,1,0))</f>
        <v/>
      </c>
      <c r="AJ14">
        <f>IF($AI14=1,SUMPRODUCT(--($AL$2:$AL$1501&lt;$AL14))+1,"")</f>
        <v/>
      </c>
      <c r="AK14">
        <f>IF($C14="","",IF(OR($AD14=TRUE(),$AD14="TRUE"),0,1))</f>
        <v/>
      </c>
      <c r="AL14">
        <f>IF($AI14=1,IFERROR(IF(VALUE($C14)&lt;100000000,VALUE($C14),1000000000),IFERROR(IF(VALUE(MID($C14,2,20))&lt;100000000,VALUE(MID($C14,2,20)),1000000000),1000000000))+ROW()/100000,"")</f>
        <v/>
      </c>
    </row>
    <row r="15">
      <c r="J15" s="7" t="n"/>
      <c r="K15" s="7" t="n"/>
      <c r="R15" s="7">
        <f>IF($C15="","",Q15*AC15/100)</f>
        <v/>
      </c>
      <c r="S15" s="11" t="n"/>
      <c r="U15" s="11" t="n"/>
      <c r="AA15" s="7" t="n"/>
      <c r="AC15" s="7" t="n"/>
      <c r="AE15">
        <f>IF($C15="","",IF($AK15=1,Settings!$C$6,Settings!$C$7)*1)</f>
        <v/>
      </c>
      <c r="AF15" s="7">
        <f>IF($C15="","",AE15*AC15)</f>
        <v/>
      </c>
      <c r="AG15" s="7">
        <f>IF($C15="","",AC15-AF15)</f>
        <v/>
      </c>
      <c r="AH15" s="7">
        <f>IF($C15="","",AG15-R15)</f>
        <v/>
      </c>
      <c r="AI15">
        <f>IF($C15="","",IF(COUNTIF($C$2:$C15,$C15)=1,1,0))</f>
        <v/>
      </c>
      <c r="AJ15">
        <f>IF($AI15=1,SUMPRODUCT(--($AL$2:$AL$1501&lt;$AL15))+1,"")</f>
        <v/>
      </c>
      <c r="AK15">
        <f>IF($C15="","",IF(OR($AD15=TRUE(),$AD15="TRUE"),0,1))</f>
        <v/>
      </c>
      <c r="AL15">
        <f>IF($AI15=1,IFERROR(IF(VALUE($C15)&lt;100000000,VALUE($C15),1000000000),IFERROR(IF(VALUE(MID($C15,2,20))&lt;100000000,VALUE(MID($C15,2,20)),1000000000),1000000000))+ROW()/100000,"")</f>
        <v/>
      </c>
    </row>
    <row r="16">
      <c r="J16" s="7" t="n"/>
      <c r="K16" s="7" t="n"/>
      <c r="R16" s="7">
        <f>IF($C16="","",Q16*AC16/100)</f>
        <v/>
      </c>
      <c r="S16" s="11" t="n"/>
      <c r="U16" s="11" t="n"/>
      <c r="AA16" s="7" t="n"/>
      <c r="AC16" s="7" t="n"/>
      <c r="AE16">
        <f>IF($C16="","",IF($AK16=1,Settings!$C$6,Settings!$C$7)*1)</f>
        <v/>
      </c>
      <c r="AF16" s="7">
        <f>IF($C16="","",AE16*AC16)</f>
        <v/>
      </c>
      <c r="AG16" s="7">
        <f>IF($C16="","",AC16-AF16)</f>
        <v/>
      </c>
      <c r="AH16" s="7">
        <f>IF($C16="","",AG16-R16)</f>
        <v/>
      </c>
      <c r="AI16">
        <f>IF($C16="","",IF(COUNTIF($C$2:$C16,$C16)=1,1,0))</f>
        <v/>
      </c>
      <c r="AJ16">
        <f>IF($AI16=1,SUMPRODUCT(--($AL$2:$AL$1501&lt;$AL16))+1,"")</f>
        <v/>
      </c>
      <c r="AK16">
        <f>IF($C16="","",IF(OR($AD16=TRUE(),$AD16="TRUE"),0,1))</f>
        <v/>
      </c>
      <c r="AL16">
        <f>IF($AI16=1,IFERROR(IF(VALUE($C16)&lt;100000000,VALUE($C16),1000000000),IFERROR(IF(VALUE(MID($C16,2,20))&lt;100000000,VALUE(MID($C16,2,20)),1000000000),1000000000))+ROW()/100000,"")</f>
        <v/>
      </c>
    </row>
    <row r="17">
      <c r="J17" s="7" t="n"/>
      <c r="K17" s="7" t="n"/>
      <c r="R17" s="7">
        <f>IF($C17="","",Q17*AC17/100)</f>
        <v/>
      </c>
      <c r="S17" s="11" t="n"/>
      <c r="U17" s="11" t="n"/>
      <c r="AA17" s="7" t="n"/>
      <c r="AC17" s="7" t="n"/>
      <c r="AE17">
        <f>IF($C17="","",IF($AK17=1,Settings!$C$6,Settings!$C$7)*1)</f>
        <v/>
      </c>
      <c r="AF17" s="7">
        <f>IF($C17="","",AE17*AC17)</f>
        <v/>
      </c>
      <c r="AG17" s="7">
        <f>IF($C17="","",AC17-AF17)</f>
        <v/>
      </c>
      <c r="AH17" s="7">
        <f>IF($C17="","",AG17-R17)</f>
        <v/>
      </c>
      <c r="AI17">
        <f>IF($C17="","",IF(COUNTIF($C$2:$C17,$C17)=1,1,0))</f>
        <v/>
      </c>
      <c r="AJ17">
        <f>IF($AI17=1,SUMPRODUCT(--($AL$2:$AL$1501&lt;$AL17))+1,"")</f>
        <v/>
      </c>
      <c r="AK17">
        <f>IF($C17="","",IF(OR($AD17=TRUE(),$AD17="TRUE"),0,1))</f>
        <v/>
      </c>
      <c r="AL17">
        <f>IF($AI17=1,IFERROR(IF(VALUE($C17)&lt;100000000,VALUE($C17),1000000000),IFERROR(IF(VALUE(MID($C17,2,20))&lt;100000000,VALUE(MID($C17,2,20)),1000000000),1000000000))+ROW()/100000,"")</f>
        <v/>
      </c>
    </row>
    <row r="18">
      <c r="J18" s="7" t="n"/>
      <c r="K18" s="7" t="n"/>
      <c r="R18" s="7">
        <f>IF($C18="","",Q18*AC18/100)</f>
        <v/>
      </c>
      <c r="S18" s="11" t="n"/>
      <c r="U18" s="11" t="n"/>
      <c r="AA18" s="7" t="n"/>
      <c r="AC18" s="7" t="n"/>
      <c r="AE18">
        <f>IF($C18="","",IF($AK18=1,Settings!$C$6,Settings!$C$7)*1)</f>
        <v/>
      </c>
      <c r="AF18" s="7">
        <f>IF($C18="","",AE18*AC18)</f>
        <v/>
      </c>
      <c r="AG18" s="7">
        <f>IF($C18="","",AC18-AF18)</f>
        <v/>
      </c>
      <c r="AH18" s="7">
        <f>IF($C18="","",AG18-R18)</f>
        <v/>
      </c>
      <c r="AI18">
        <f>IF($C18="","",IF(COUNTIF($C$2:$C18,$C18)=1,1,0))</f>
        <v/>
      </c>
      <c r="AJ18">
        <f>IF($AI18=1,SUMPRODUCT(--($AL$2:$AL$1501&lt;$AL18))+1,"")</f>
        <v/>
      </c>
      <c r="AK18">
        <f>IF($C18="","",IF(OR($AD18=TRUE(),$AD18="TRUE"),0,1))</f>
        <v/>
      </c>
      <c r="AL18">
        <f>IF($AI18=1,IFERROR(IF(VALUE($C18)&lt;100000000,VALUE($C18),1000000000),IFERROR(IF(VALUE(MID($C18,2,20))&lt;100000000,VALUE(MID($C18,2,20)),1000000000),1000000000))+ROW()/100000,"")</f>
        <v/>
      </c>
    </row>
    <row r="19">
      <c r="J19" s="7" t="n"/>
      <c r="K19" s="7" t="n"/>
      <c r="R19" s="7">
        <f>IF($C19="","",Q19*AC19/100)</f>
        <v/>
      </c>
      <c r="S19" s="11" t="n"/>
      <c r="U19" s="11" t="n"/>
      <c r="AA19" s="7" t="n"/>
      <c r="AC19" s="7" t="n"/>
      <c r="AE19">
        <f>IF($C19="","",IF($AK19=1,Settings!$C$6,Settings!$C$7)*1)</f>
        <v/>
      </c>
      <c r="AF19" s="7">
        <f>IF($C19="","",AE19*AC19)</f>
        <v/>
      </c>
      <c r="AG19" s="7">
        <f>IF($C19="","",AC19-AF19)</f>
        <v/>
      </c>
      <c r="AH19" s="7">
        <f>IF($C19="","",AG19-R19)</f>
        <v/>
      </c>
      <c r="AI19">
        <f>IF($C19="","",IF(COUNTIF($C$2:$C19,$C19)=1,1,0))</f>
        <v/>
      </c>
      <c r="AJ19">
        <f>IF($AI19=1,SUMPRODUCT(--($AL$2:$AL$1501&lt;$AL19))+1,"")</f>
        <v/>
      </c>
      <c r="AK19">
        <f>IF($C19="","",IF(OR($AD19=TRUE(),$AD19="TRUE"),0,1))</f>
        <v/>
      </c>
      <c r="AL19">
        <f>IF($AI19=1,IFERROR(IF(VALUE($C19)&lt;100000000,VALUE($C19),1000000000),IFERROR(IF(VALUE(MID($C19,2,20))&lt;100000000,VALUE(MID($C19,2,20)),1000000000),1000000000))+ROW()/100000,"")</f>
        <v/>
      </c>
    </row>
    <row r="20">
      <c r="J20" s="7" t="n"/>
      <c r="K20" s="7" t="n"/>
      <c r="R20" s="7">
        <f>IF($C20="","",Q20*AC20/100)</f>
        <v/>
      </c>
      <c r="S20" s="11" t="n"/>
      <c r="U20" s="11" t="n"/>
      <c r="AA20" s="7" t="n"/>
      <c r="AC20" s="7" t="n"/>
      <c r="AE20">
        <f>IF($C20="","",IF($AK20=1,Settings!$C$6,Settings!$C$7)*1)</f>
        <v/>
      </c>
      <c r="AF20" s="7">
        <f>IF($C20="","",AE20*AC20)</f>
        <v/>
      </c>
      <c r="AG20" s="7">
        <f>IF($C20="","",AC20-AF20)</f>
        <v/>
      </c>
      <c r="AH20" s="7">
        <f>IF($C20="","",AG20-R20)</f>
        <v/>
      </c>
      <c r="AI20">
        <f>IF($C20="","",IF(COUNTIF($C$2:$C20,$C20)=1,1,0))</f>
        <v/>
      </c>
      <c r="AJ20">
        <f>IF($AI20=1,SUMPRODUCT(--($AL$2:$AL$1501&lt;$AL20))+1,"")</f>
        <v/>
      </c>
      <c r="AK20">
        <f>IF($C20="","",IF(OR($AD20=TRUE(),$AD20="TRUE"),0,1))</f>
        <v/>
      </c>
      <c r="AL20">
        <f>IF($AI20=1,IFERROR(IF(VALUE($C20)&lt;100000000,VALUE($C20),1000000000),IFERROR(IF(VALUE(MID($C20,2,20))&lt;100000000,VALUE(MID($C20,2,20)),1000000000),1000000000))+ROW()/100000,"")</f>
        <v/>
      </c>
    </row>
    <row r="21">
      <c r="J21" s="7" t="n"/>
      <c r="K21" s="7" t="n"/>
      <c r="R21" s="7">
        <f>IF($C21="","",Q21*AC21/100)</f>
        <v/>
      </c>
      <c r="S21" s="11" t="n"/>
      <c r="U21" s="11" t="n"/>
      <c r="AA21" s="7" t="n"/>
      <c r="AC21" s="7" t="n"/>
      <c r="AE21">
        <f>IF($C21="","",IF($AK21=1,Settings!$C$6,Settings!$C$7)*1)</f>
        <v/>
      </c>
      <c r="AF21" s="7">
        <f>IF($C21="","",AE21*AC21)</f>
        <v/>
      </c>
      <c r="AG21" s="7">
        <f>IF($C21="","",AC21-AF21)</f>
        <v/>
      </c>
      <c r="AH21" s="7">
        <f>IF($C21="","",AG21-R21)</f>
        <v/>
      </c>
      <c r="AI21">
        <f>IF($C21="","",IF(COUNTIF($C$2:$C21,$C21)=1,1,0))</f>
        <v/>
      </c>
      <c r="AJ21">
        <f>IF($AI21=1,SUMPRODUCT(--($AL$2:$AL$1501&lt;$AL21))+1,"")</f>
        <v/>
      </c>
      <c r="AK21">
        <f>IF($C21="","",IF(OR($AD21=TRUE(),$AD21="TRUE"),0,1))</f>
        <v/>
      </c>
      <c r="AL21">
        <f>IF($AI21=1,IFERROR(IF(VALUE($C21)&lt;100000000,VALUE($C21),1000000000),IFERROR(IF(VALUE(MID($C21,2,20))&lt;100000000,VALUE(MID($C21,2,20)),1000000000),1000000000))+ROW()/100000,"")</f>
        <v/>
      </c>
    </row>
    <row r="22">
      <c r="J22" s="7" t="n"/>
      <c r="K22" s="7" t="n"/>
      <c r="R22" s="7">
        <f>IF($C22="","",Q22*AC22/100)</f>
        <v/>
      </c>
      <c r="S22" s="11" t="n"/>
      <c r="U22" s="11" t="n"/>
      <c r="AA22" s="7" t="n"/>
      <c r="AC22" s="7" t="n"/>
      <c r="AE22">
        <f>IF($C22="","",IF($AK22=1,Settings!$C$6,Settings!$C$7)*1)</f>
        <v/>
      </c>
      <c r="AF22" s="7">
        <f>IF($C22="","",AE22*AC22)</f>
        <v/>
      </c>
      <c r="AG22" s="7">
        <f>IF($C22="","",AC22-AF22)</f>
        <v/>
      </c>
      <c r="AH22" s="7">
        <f>IF($C22="","",AG22-R22)</f>
        <v/>
      </c>
      <c r="AI22">
        <f>IF($C22="","",IF(COUNTIF($C$2:$C22,$C22)=1,1,0))</f>
        <v/>
      </c>
      <c r="AJ22">
        <f>IF($AI22=1,SUMPRODUCT(--($AL$2:$AL$1501&lt;$AL22))+1,"")</f>
        <v/>
      </c>
      <c r="AK22">
        <f>IF($C22="","",IF(OR($AD22=TRUE(),$AD22="TRUE"),0,1))</f>
        <v/>
      </c>
      <c r="AL22">
        <f>IF($AI22=1,IFERROR(IF(VALUE($C22)&lt;100000000,VALUE($C22),1000000000),IFERROR(IF(VALUE(MID($C22,2,20))&lt;100000000,VALUE(MID($C22,2,20)),1000000000),1000000000))+ROW()/100000,"")</f>
        <v/>
      </c>
    </row>
    <row r="23">
      <c r="J23" s="7" t="n"/>
      <c r="K23" s="7" t="n"/>
      <c r="R23" s="7">
        <f>IF($C23="","",Q23*AC23/100)</f>
        <v/>
      </c>
      <c r="S23" s="11" t="n"/>
      <c r="U23" s="11" t="n"/>
      <c r="AA23" s="7" t="n"/>
      <c r="AC23" s="7" t="n"/>
      <c r="AE23">
        <f>IF($C23="","",IF($AK23=1,Settings!$C$6,Settings!$C$7)*1)</f>
        <v/>
      </c>
      <c r="AF23" s="7">
        <f>IF($C23="","",AE23*AC23)</f>
        <v/>
      </c>
      <c r="AG23" s="7">
        <f>IF($C23="","",AC23-AF23)</f>
        <v/>
      </c>
      <c r="AH23" s="7">
        <f>IF($C23="","",AG23-R23)</f>
        <v/>
      </c>
      <c r="AI23">
        <f>IF($C23="","",IF(COUNTIF($C$2:$C23,$C23)=1,1,0))</f>
        <v/>
      </c>
      <c r="AJ23">
        <f>IF($AI23=1,SUMPRODUCT(--($AL$2:$AL$1501&lt;$AL23))+1,"")</f>
        <v/>
      </c>
      <c r="AK23">
        <f>IF($C23="","",IF(OR($AD23=TRUE(),$AD23="TRUE"),0,1))</f>
        <v/>
      </c>
      <c r="AL23">
        <f>IF($AI23=1,IFERROR(IF(VALUE($C23)&lt;100000000,VALUE($C23),1000000000),IFERROR(IF(VALUE(MID($C23,2,20))&lt;100000000,VALUE(MID($C23,2,20)),1000000000),1000000000))+ROW()/100000,"")</f>
        <v/>
      </c>
    </row>
    <row r="24">
      <c r="J24" s="7" t="n"/>
      <c r="K24" s="7" t="n"/>
      <c r="R24" s="7">
        <f>IF($C24="","",Q24*AC24/100)</f>
        <v/>
      </c>
      <c r="S24" s="11" t="n"/>
      <c r="U24" s="11" t="n"/>
      <c r="AA24" s="7" t="n"/>
      <c r="AC24" s="7" t="n"/>
      <c r="AE24">
        <f>IF($C24="","",IF($AK24=1,Settings!$C$6,Settings!$C$7)*1)</f>
        <v/>
      </c>
      <c r="AF24" s="7">
        <f>IF($C24="","",AE24*AC24)</f>
        <v/>
      </c>
      <c r="AG24" s="7">
        <f>IF($C24="","",AC24-AF24)</f>
        <v/>
      </c>
      <c r="AH24" s="7">
        <f>IF($C24="","",AG24-R24)</f>
        <v/>
      </c>
      <c r="AI24">
        <f>IF($C24="","",IF(COUNTIF($C$2:$C24,$C24)=1,1,0))</f>
        <v/>
      </c>
      <c r="AJ24">
        <f>IF($AI24=1,SUMPRODUCT(--($AL$2:$AL$1501&lt;$AL24))+1,"")</f>
        <v/>
      </c>
      <c r="AK24">
        <f>IF($C24="","",IF(OR($AD24=TRUE(),$AD24="TRUE"),0,1))</f>
        <v/>
      </c>
      <c r="AL24">
        <f>IF($AI24=1,IFERROR(IF(VALUE($C24)&lt;100000000,VALUE($C24),1000000000),IFERROR(IF(VALUE(MID($C24,2,20))&lt;100000000,VALUE(MID($C24,2,20)),1000000000),1000000000))+ROW()/100000,"")</f>
        <v/>
      </c>
    </row>
    <row r="25">
      <c r="J25" s="7" t="n"/>
      <c r="K25" s="7" t="n"/>
      <c r="R25" s="7">
        <f>IF($C25="","",Q25*AC25/100)</f>
        <v/>
      </c>
      <c r="S25" s="11" t="n"/>
      <c r="U25" s="11" t="n"/>
      <c r="AA25" s="7" t="n"/>
      <c r="AC25" s="7" t="n"/>
      <c r="AE25">
        <f>IF($C25="","",IF($AK25=1,Settings!$C$6,Settings!$C$7)*1)</f>
        <v/>
      </c>
      <c r="AF25" s="7">
        <f>IF($C25="","",AE25*AC25)</f>
        <v/>
      </c>
      <c r="AG25" s="7">
        <f>IF($C25="","",AC25-AF25)</f>
        <v/>
      </c>
      <c r="AH25" s="7">
        <f>IF($C25="","",AG25-R25)</f>
        <v/>
      </c>
      <c r="AI25">
        <f>IF($C25="","",IF(COUNTIF($C$2:$C25,$C25)=1,1,0))</f>
        <v/>
      </c>
      <c r="AJ25">
        <f>IF($AI25=1,SUMPRODUCT(--($AL$2:$AL$1501&lt;$AL25))+1,"")</f>
        <v/>
      </c>
      <c r="AK25">
        <f>IF($C25="","",IF(OR($AD25=TRUE(),$AD25="TRUE"),0,1))</f>
        <v/>
      </c>
      <c r="AL25">
        <f>IF($AI25=1,IFERROR(IF(VALUE($C25)&lt;100000000,VALUE($C25),1000000000),IFERROR(IF(VALUE(MID($C25,2,20))&lt;100000000,VALUE(MID($C25,2,20)),1000000000),1000000000))+ROW()/100000,"")</f>
        <v/>
      </c>
    </row>
    <row r="26">
      <c r="J26" s="7" t="n"/>
      <c r="K26" s="7" t="n"/>
      <c r="R26" s="7">
        <f>IF($C26="","",Q26*AC26/100)</f>
        <v/>
      </c>
      <c r="S26" s="11" t="n"/>
      <c r="U26" s="11" t="n"/>
      <c r="AA26" s="7" t="n"/>
      <c r="AC26" s="7" t="n"/>
      <c r="AE26">
        <f>IF($C26="","",IF($AK26=1,Settings!$C$6,Settings!$C$7)*1)</f>
        <v/>
      </c>
      <c r="AF26" s="7">
        <f>IF($C26="","",AE26*AC26)</f>
        <v/>
      </c>
      <c r="AG26" s="7">
        <f>IF($C26="","",AC26-AF26)</f>
        <v/>
      </c>
      <c r="AH26" s="7">
        <f>IF($C26="","",AG26-R26)</f>
        <v/>
      </c>
      <c r="AI26">
        <f>IF($C26="","",IF(COUNTIF($C$2:$C26,$C26)=1,1,0))</f>
        <v/>
      </c>
      <c r="AJ26">
        <f>IF($AI26=1,SUMPRODUCT(--($AL$2:$AL$1501&lt;$AL26))+1,"")</f>
        <v/>
      </c>
      <c r="AK26">
        <f>IF($C26="","",IF(OR($AD26=TRUE(),$AD26="TRUE"),0,1))</f>
        <v/>
      </c>
      <c r="AL26">
        <f>IF($AI26=1,IFERROR(IF(VALUE($C26)&lt;100000000,VALUE($C26),1000000000),IFERROR(IF(VALUE(MID($C26,2,20))&lt;100000000,VALUE(MID($C26,2,20)),1000000000),1000000000))+ROW()/100000,"")</f>
        <v/>
      </c>
    </row>
    <row r="27">
      <c r="J27" s="7" t="n"/>
      <c r="K27" s="7" t="n"/>
      <c r="R27" s="7">
        <f>IF($C27="","",Q27*AC27/100)</f>
        <v/>
      </c>
      <c r="S27" s="11" t="n"/>
      <c r="U27" s="11" t="n"/>
      <c r="AA27" s="7" t="n"/>
      <c r="AC27" s="7" t="n"/>
      <c r="AE27">
        <f>IF($C27="","",IF($AK27=1,Settings!$C$6,Settings!$C$7)*1)</f>
        <v/>
      </c>
      <c r="AF27" s="7">
        <f>IF($C27="","",AE27*AC27)</f>
        <v/>
      </c>
      <c r="AG27" s="7">
        <f>IF($C27="","",AC27-AF27)</f>
        <v/>
      </c>
      <c r="AH27" s="7">
        <f>IF($C27="","",AG27-R27)</f>
        <v/>
      </c>
      <c r="AI27">
        <f>IF($C27="","",IF(COUNTIF($C$2:$C27,$C27)=1,1,0))</f>
        <v/>
      </c>
      <c r="AJ27">
        <f>IF($AI27=1,SUMPRODUCT(--($AL$2:$AL$1501&lt;$AL27))+1,"")</f>
        <v/>
      </c>
      <c r="AK27">
        <f>IF($C27="","",IF(OR($AD27=TRUE(),$AD27="TRUE"),0,1))</f>
        <v/>
      </c>
      <c r="AL27">
        <f>IF($AI27=1,IFERROR(IF(VALUE($C27)&lt;100000000,VALUE($C27),1000000000),IFERROR(IF(VALUE(MID($C27,2,20))&lt;100000000,VALUE(MID($C27,2,20)),1000000000),1000000000))+ROW()/100000,"")</f>
        <v/>
      </c>
    </row>
    <row r="28">
      <c r="J28" s="7" t="n"/>
      <c r="K28" s="7" t="n"/>
      <c r="R28" s="7">
        <f>IF($C28="","",Q28*AC28/100)</f>
        <v/>
      </c>
      <c r="S28" s="11" t="n"/>
      <c r="U28" s="11" t="n"/>
      <c r="AA28" s="7" t="n"/>
      <c r="AC28" s="7" t="n"/>
      <c r="AE28">
        <f>IF($C28="","",IF($AK28=1,Settings!$C$6,Settings!$C$7)*1)</f>
        <v/>
      </c>
      <c r="AF28" s="7">
        <f>IF($C28="","",AE28*AC28)</f>
        <v/>
      </c>
      <c r="AG28" s="7">
        <f>IF($C28="","",AC28-AF28)</f>
        <v/>
      </c>
      <c r="AH28" s="7">
        <f>IF($C28="","",AG28-R28)</f>
        <v/>
      </c>
      <c r="AI28">
        <f>IF($C28="","",IF(COUNTIF($C$2:$C28,$C28)=1,1,0))</f>
        <v/>
      </c>
      <c r="AJ28">
        <f>IF($AI28=1,SUMPRODUCT(--($AL$2:$AL$1501&lt;$AL28))+1,"")</f>
        <v/>
      </c>
      <c r="AK28">
        <f>IF($C28="","",IF(OR($AD28=TRUE(),$AD28="TRUE"),0,1))</f>
        <v/>
      </c>
      <c r="AL28">
        <f>IF($AI28=1,IFERROR(IF(VALUE($C28)&lt;100000000,VALUE($C28),1000000000),IFERROR(IF(VALUE(MID($C28,2,20))&lt;100000000,VALUE(MID($C28,2,20)),1000000000),1000000000))+ROW()/100000,"")</f>
        <v/>
      </c>
    </row>
    <row r="29">
      <c r="J29" s="7" t="n"/>
      <c r="K29" s="7" t="n"/>
      <c r="R29" s="7">
        <f>IF($C29="","",Q29*AC29/100)</f>
        <v/>
      </c>
      <c r="S29" s="11" t="n"/>
      <c r="U29" s="11" t="n"/>
      <c r="AA29" s="7" t="n"/>
      <c r="AC29" s="7" t="n"/>
      <c r="AE29">
        <f>IF($C29="","",IF($AK29=1,Settings!$C$6,Settings!$C$7)*1)</f>
        <v/>
      </c>
      <c r="AF29" s="7">
        <f>IF($C29="","",AE29*AC29)</f>
        <v/>
      </c>
      <c r="AG29" s="7">
        <f>IF($C29="","",AC29-AF29)</f>
        <v/>
      </c>
      <c r="AH29" s="7">
        <f>IF($C29="","",AG29-R29)</f>
        <v/>
      </c>
      <c r="AI29">
        <f>IF($C29="","",IF(COUNTIF($C$2:$C29,$C29)=1,1,0))</f>
        <v/>
      </c>
      <c r="AJ29">
        <f>IF($AI29=1,SUMPRODUCT(--($AL$2:$AL$1501&lt;$AL29))+1,"")</f>
        <v/>
      </c>
      <c r="AK29">
        <f>IF($C29="","",IF(OR($AD29=TRUE(),$AD29="TRUE"),0,1))</f>
        <v/>
      </c>
      <c r="AL29">
        <f>IF($AI29=1,IFERROR(IF(VALUE($C29)&lt;100000000,VALUE($C29),1000000000),IFERROR(IF(VALUE(MID($C29,2,20))&lt;100000000,VALUE(MID($C29,2,20)),1000000000),1000000000))+ROW()/100000,"")</f>
        <v/>
      </c>
    </row>
    <row r="30">
      <c r="J30" s="7" t="n"/>
      <c r="K30" s="7" t="n"/>
      <c r="R30" s="7">
        <f>IF($C30="","",Q30*AC30/100)</f>
        <v/>
      </c>
      <c r="S30" s="11" t="n"/>
      <c r="U30" s="11" t="n"/>
      <c r="AA30" s="7" t="n"/>
      <c r="AC30" s="7" t="n"/>
      <c r="AE30">
        <f>IF($C30="","",IF($AK30=1,Settings!$C$6,Settings!$C$7)*1)</f>
        <v/>
      </c>
      <c r="AF30" s="7">
        <f>IF($C30="","",AE30*AC30)</f>
        <v/>
      </c>
      <c r="AG30" s="7">
        <f>IF($C30="","",AC30-AF30)</f>
        <v/>
      </c>
      <c r="AH30" s="7">
        <f>IF($C30="","",AG30-R30)</f>
        <v/>
      </c>
      <c r="AI30">
        <f>IF($C30="","",IF(COUNTIF($C$2:$C30,$C30)=1,1,0))</f>
        <v/>
      </c>
      <c r="AJ30">
        <f>IF($AI30=1,SUMPRODUCT(--($AL$2:$AL$1501&lt;$AL30))+1,"")</f>
        <v/>
      </c>
      <c r="AK30">
        <f>IF($C30="","",IF(OR($AD30=TRUE(),$AD30="TRUE"),0,1))</f>
        <v/>
      </c>
      <c r="AL30">
        <f>IF($AI30=1,IFERROR(IF(VALUE($C30)&lt;100000000,VALUE($C30),1000000000),IFERROR(IF(VALUE(MID($C30,2,20))&lt;100000000,VALUE(MID($C30,2,20)),1000000000),1000000000))+ROW()/100000,"")</f>
        <v/>
      </c>
    </row>
    <row r="31">
      <c r="J31" s="7" t="n"/>
      <c r="K31" s="7" t="n"/>
      <c r="R31" s="7">
        <f>IF($C31="","",Q31*AC31/100)</f>
        <v/>
      </c>
      <c r="S31" s="11" t="n"/>
      <c r="U31" s="11" t="n"/>
      <c r="AA31" s="7" t="n"/>
      <c r="AC31" s="7" t="n"/>
      <c r="AE31">
        <f>IF($C31="","",IF($AK31=1,Settings!$C$6,Settings!$C$7)*1)</f>
        <v/>
      </c>
      <c r="AF31" s="7">
        <f>IF($C31="","",AE31*AC31)</f>
        <v/>
      </c>
      <c r="AG31" s="7">
        <f>IF($C31="","",AC31-AF31)</f>
        <v/>
      </c>
      <c r="AH31" s="7">
        <f>IF($C31="","",AG31-R31)</f>
        <v/>
      </c>
      <c r="AI31">
        <f>IF($C31="","",IF(COUNTIF($C$2:$C31,$C31)=1,1,0))</f>
        <v/>
      </c>
      <c r="AJ31">
        <f>IF($AI31=1,SUMPRODUCT(--($AL$2:$AL$1501&lt;$AL31))+1,"")</f>
        <v/>
      </c>
      <c r="AK31">
        <f>IF($C31="","",IF(OR($AD31=TRUE(),$AD31="TRUE"),0,1))</f>
        <v/>
      </c>
      <c r="AL31">
        <f>IF($AI31=1,IFERROR(IF(VALUE($C31)&lt;100000000,VALUE($C31),1000000000),IFERROR(IF(VALUE(MID($C31,2,20))&lt;100000000,VALUE(MID($C31,2,20)),1000000000),1000000000))+ROW()/100000,"")</f>
        <v/>
      </c>
    </row>
    <row r="32">
      <c r="J32" s="7" t="n"/>
      <c r="K32" s="7" t="n"/>
      <c r="R32" s="7">
        <f>IF($C32="","",Q32*AC32/100)</f>
        <v/>
      </c>
      <c r="S32" s="11" t="n"/>
      <c r="U32" s="11" t="n"/>
      <c r="AA32" s="7" t="n"/>
      <c r="AC32" s="7" t="n"/>
      <c r="AE32">
        <f>IF($C32="","",IF($AK32=1,Settings!$C$6,Settings!$C$7)*1)</f>
        <v/>
      </c>
      <c r="AF32" s="7">
        <f>IF($C32="","",AE32*AC32)</f>
        <v/>
      </c>
      <c r="AG32" s="7">
        <f>IF($C32="","",AC32-AF32)</f>
        <v/>
      </c>
      <c r="AH32" s="7">
        <f>IF($C32="","",AG32-R32)</f>
        <v/>
      </c>
      <c r="AI32">
        <f>IF($C32="","",IF(COUNTIF($C$2:$C32,$C32)=1,1,0))</f>
        <v/>
      </c>
      <c r="AJ32">
        <f>IF($AI32=1,SUMPRODUCT(--($AL$2:$AL$1501&lt;$AL32))+1,"")</f>
        <v/>
      </c>
      <c r="AK32">
        <f>IF($C32="","",IF(OR($AD32=TRUE(),$AD32="TRUE"),0,1))</f>
        <v/>
      </c>
      <c r="AL32">
        <f>IF($AI32=1,IFERROR(IF(VALUE($C32)&lt;100000000,VALUE($C32),1000000000),IFERROR(IF(VALUE(MID($C32,2,20))&lt;100000000,VALUE(MID($C32,2,20)),1000000000),1000000000))+ROW()/100000,"")</f>
        <v/>
      </c>
    </row>
    <row r="33">
      <c r="J33" s="7" t="n"/>
      <c r="K33" s="7" t="n"/>
      <c r="R33" s="7">
        <f>IF($C33="","",Q33*AC33/100)</f>
        <v/>
      </c>
      <c r="S33" s="11" t="n"/>
      <c r="U33" s="11" t="n"/>
      <c r="AA33" s="7" t="n"/>
      <c r="AC33" s="7" t="n"/>
      <c r="AE33">
        <f>IF($C33="","",IF($AK33=1,Settings!$C$6,Settings!$C$7)*1)</f>
        <v/>
      </c>
      <c r="AF33" s="7">
        <f>IF($C33="","",AE33*AC33)</f>
        <v/>
      </c>
      <c r="AG33" s="7">
        <f>IF($C33="","",AC33-AF33)</f>
        <v/>
      </c>
      <c r="AH33" s="7">
        <f>IF($C33="","",AG33-R33)</f>
        <v/>
      </c>
      <c r="AI33">
        <f>IF($C33="","",IF(COUNTIF($C$2:$C33,$C33)=1,1,0))</f>
        <v/>
      </c>
      <c r="AJ33">
        <f>IF($AI33=1,SUMPRODUCT(--($AL$2:$AL$1501&lt;$AL33))+1,"")</f>
        <v/>
      </c>
      <c r="AK33">
        <f>IF($C33="","",IF(OR($AD33=TRUE(),$AD33="TRUE"),0,1))</f>
        <v/>
      </c>
      <c r="AL33">
        <f>IF($AI33=1,IFERROR(IF(VALUE($C33)&lt;100000000,VALUE($C33),1000000000),IFERROR(IF(VALUE(MID($C33,2,20))&lt;100000000,VALUE(MID($C33,2,20)),1000000000),1000000000))+ROW()/100000,"")</f>
        <v/>
      </c>
    </row>
    <row r="34">
      <c r="J34" s="7" t="n"/>
      <c r="K34" s="7" t="n"/>
      <c r="R34" s="7">
        <f>IF($C34="","",Q34*AC34/100)</f>
        <v/>
      </c>
      <c r="S34" s="11" t="n"/>
      <c r="U34" s="11" t="n"/>
      <c r="AA34" s="7" t="n"/>
      <c r="AC34" s="7" t="n"/>
      <c r="AE34">
        <f>IF($C34="","",IF($AK34=1,Settings!$C$6,Settings!$C$7)*1)</f>
        <v/>
      </c>
      <c r="AF34" s="7">
        <f>IF($C34="","",AE34*AC34)</f>
        <v/>
      </c>
      <c r="AG34" s="7">
        <f>IF($C34="","",AC34-AF34)</f>
        <v/>
      </c>
      <c r="AH34" s="7">
        <f>IF($C34="","",AG34-R34)</f>
        <v/>
      </c>
      <c r="AI34">
        <f>IF($C34="","",IF(COUNTIF($C$2:$C34,$C34)=1,1,0))</f>
        <v/>
      </c>
      <c r="AJ34">
        <f>IF($AI34=1,SUMPRODUCT(--($AL$2:$AL$1501&lt;$AL34))+1,"")</f>
        <v/>
      </c>
      <c r="AK34">
        <f>IF($C34="","",IF(OR($AD34=TRUE(),$AD34="TRUE"),0,1))</f>
        <v/>
      </c>
      <c r="AL34">
        <f>IF($AI34=1,IFERROR(IF(VALUE($C34)&lt;100000000,VALUE($C34),1000000000),IFERROR(IF(VALUE(MID($C34,2,20))&lt;100000000,VALUE(MID($C34,2,20)),1000000000),1000000000))+ROW()/100000,"")</f>
        <v/>
      </c>
    </row>
    <row r="35">
      <c r="J35" s="7" t="n"/>
      <c r="K35" s="7" t="n"/>
      <c r="R35" s="7">
        <f>IF($C35="","",Q35*AC35/100)</f>
        <v/>
      </c>
      <c r="S35" s="11" t="n"/>
      <c r="U35" s="11" t="n"/>
      <c r="AA35" s="7" t="n"/>
      <c r="AC35" s="7" t="n"/>
      <c r="AE35">
        <f>IF($C35="","",IF($AK35=1,Settings!$C$6,Settings!$C$7)*1)</f>
        <v/>
      </c>
      <c r="AF35" s="7">
        <f>IF($C35="","",AE35*AC35)</f>
        <v/>
      </c>
      <c r="AG35" s="7">
        <f>IF($C35="","",AC35-AF35)</f>
        <v/>
      </c>
      <c r="AH35" s="7">
        <f>IF($C35="","",AG35-R35)</f>
        <v/>
      </c>
      <c r="AI35">
        <f>IF($C35="","",IF(COUNTIF($C$2:$C35,$C35)=1,1,0))</f>
        <v/>
      </c>
      <c r="AJ35">
        <f>IF($AI35=1,SUMPRODUCT(--($AL$2:$AL$1501&lt;$AL35))+1,"")</f>
        <v/>
      </c>
      <c r="AK35">
        <f>IF($C35="","",IF(OR($AD35=TRUE(),$AD35="TRUE"),0,1))</f>
        <v/>
      </c>
      <c r="AL35">
        <f>IF($AI35=1,IFERROR(IF(VALUE($C35)&lt;100000000,VALUE($C35),1000000000),IFERROR(IF(VALUE(MID($C35,2,20))&lt;100000000,VALUE(MID($C35,2,20)),1000000000),1000000000))+ROW()/100000,"")</f>
        <v/>
      </c>
    </row>
    <row r="36">
      <c r="J36" s="7" t="n"/>
      <c r="K36" s="7" t="n"/>
      <c r="R36" s="7">
        <f>IF($C36="","",Q36*AC36/100)</f>
        <v/>
      </c>
      <c r="S36" s="11" t="n"/>
      <c r="U36" s="11" t="n"/>
      <c r="AA36" s="7" t="n"/>
      <c r="AC36" s="7" t="n"/>
      <c r="AE36">
        <f>IF($C36="","",IF($AK36=1,Settings!$C$6,Settings!$C$7)*1)</f>
        <v/>
      </c>
      <c r="AF36" s="7">
        <f>IF($C36="","",AE36*AC36)</f>
        <v/>
      </c>
      <c r="AG36" s="7">
        <f>IF($C36="","",AC36-AF36)</f>
        <v/>
      </c>
      <c r="AH36" s="7">
        <f>IF($C36="","",AG36-R36)</f>
        <v/>
      </c>
      <c r="AI36">
        <f>IF($C36="","",IF(COUNTIF($C$2:$C36,$C36)=1,1,0))</f>
        <v/>
      </c>
      <c r="AJ36">
        <f>IF($AI36=1,SUMPRODUCT(--($AL$2:$AL$1501&lt;$AL36))+1,"")</f>
        <v/>
      </c>
      <c r="AK36">
        <f>IF($C36="","",IF(OR($AD36=TRUE(),$AD36="TRUE"),0,1))</f>
        <v/>
      </c>
      <c r="AL36">
        <f>IF($AI36=1,IFERROR(IF(VALUE($C36)&lt;100000000,VALUE($C36),1000000000),IFERROR(IF(VALUE(MID($C36,2,20))&lt;100000000,VALUE(MID($C36,2,20)),1000000000),1000000000))+ROW()/100000,"")</f>
        <v/>
      </c>
    </row>
    <row r="37">
      <c r="J37" s="7" t="n"/>
      <c r="K37" s="7" t="n"/>
      <c r="R37" s="7">
        <f>IF($C37="","",Q37*AC37/100)</f>
        <v/>
      </c>
      <c r="S37" s="11" t="n"/>
      <c r="U37" s="11" t="n"/>
      <c r="AA37" s="7" t="n"/>
      <c r="AC37" s="7" t="n"/>
      <c r="AE37">
        <f>IF($C37="","",IF($AK37=1,Settings!$C$6,Settings!$C$7)*1)</f>
        <v/>
      </c>
      <c r="AF37" s="7">
        <f>IF($C37="","",AE37*AC37)</f>
        <v/>
      </c>
      <c r="AG37" s="7">
        <f>IF($C37="","",AC37-AF37)</f>
        <v/>
      </c>
      <c r="AH37" s="7">
        <f>IF($C37="","",AG37-R37)</f>
        <v/>
      </c>
      <c r="AI37">
        <f>IF($C37="","",IF(COUNTIF($C$2:$C37,$C37)=1,1,0))</f>
        <v/>
      </c>
      <c r="AJ37">
        <f>IF($AI37=1,SUMPRODUCT(--($AL$2:$AL$1501&lt;$AL37))+1,"")</f>
        <v/>
      </c>
      <c r="AK37">
        <f>IF($C37="","",IF(OR($AD37=TRUE(),$AD37="TRUE"),0,1))</f>
        <v/>
      </c>
      <c r="AL37">
        <f>IF($AI37=1,IFERROR(IF(VALUE($C37)&lt;100000000,VALUE($C37),1000000000),IFERROR(IF(VALUE(MID($C37,2,20))&lt;100000000,VALUE(MID($C37,2,20)),1000000000),1000000000))+ROW()/100000,"")</f>
        <v/>
      </c>
    </row>
    <row r="38">
      <c r="J38" s="7" t="n"/>
      <c r="K38" s="7" t="n"/>
      <c r="R38" s="7">
        <f>IF($C38="","",Q38*AC38/100)</f>
        <v/>
      </c>
      <c r="S38" s="11" t="n"/>
      <c r="U38" s="11" t="n"/>
      <c r="AA38" s="7" t="n"/>
      <c r="AC38" s="7" t="n"/>
      <c r="AE38">
        <f>IF($C38="","",IF($AK38=1,Settings!$C$6,Settings!$C$7)*1)</f>
        <v/>
      </c>
      <c r="AF38" s="7">
        <f>IF($C38="","",AE38*AC38)</f>
        <v/>
      </c>
      <c r="AG38" s="7">
        <f>IF($C38="","",AC38-AF38)</f>
        <v/>
      </c>
      <c r="AH38" s="7">
        <f>IF($C38="","",AG38-R38)</f>
        <v/>
      </c>
      <c r="AI38">
        <f>IF($C38="","",IF(COUNTIF($C$2:$C38,$C38)=1,1,0))</f>
        <v/>
      </c>
      <c r="AJ38">
        <f>IF($AI38=1,SUMPRODUCT(--($AL$2:$AL$1501&lt;$AL38))+1,"")</f>
        <v/>
      </c>
      <c r="AK38">
        <f>IF($C38="","",IF(OR($AD38=TRUE(),$AD38="TRUE"),0,1))</f>
        <v/>
      </c>
      <c r="AL38">
        <f>IF($AI38=1,IFERROR(IF(VALUE($C38)&lt;100000000,VALUE($C38),1000000000),IFERROR(IF(VALUE(MID($C38,2,20))&lt;100000000,VALUE(MID($C38,2,20)),1000000000),1000000000))+ROW()/100000,"")</f>
        <v/>
      </c>
    </row>
    <row r="39">
      <c r="J39" s="7" t="n"/>
      <c r="K39" s="7" t="n"/>
      <c r="R39" s="7">
        <f>IF($C39="","",Q39*AC39/100)</f>
        <v/>
      </c>
      <c r="S39" s="11" t="n"/>
      <c r="U39" s="11" t="n"/>
      <c r="AA39" s="7" t="n"/>
      <c r="AC39" s="7" t="n"/>
      <c r="AE39">
        <f>IF($C39="","",IF($AK39=1,Settings!$C$6,Settings!$C$7)*1)</f>
        <v/>
      </c>
      <c r="AF39" s="7">
        <f>IF($C39="","",AE39*AC39)</f>
        <v/>
      </c>
      <c r="AG39" s="7">
        <f>IF($C39="","",AC39-AF39)</f>
        <v/>
      </c>
      <c r="AH39" s="7">
        <f>IF($C39="","",AG39-R39)</f>
        <v/>
      </c>
      <c r="AI39">
        <f>IF($C39="","",IF(COUNTIF($C$2:$C39,$C39)=1,1,0))</f>
        <v/>
      </c>
      <c r="AJ39">
        <f>IF($AI39=1,SUMPRODUCT(--($AL$2:$AL$1501&lt;$AL39))+1,"")</f>
        <v/>
      </c>
      <c r="AK39">
        <f>IF($C39="","",IF(OR($AD39=TRUE(),$AD39="TRUE"),0,1))</f>
        <v/>
      </c>
      <c r="AL39">
        <f>IF($AI39=1,IFERROR(IF(VALUE($C39)&lt;100000000,VALUE($C39),1000000000),IFERROR(IF(VALUE(MID($C39,2,20))&lt;100000000,VALUE(MID($C39,2,20)),1000000000),1000000000))+ROW()/100000,"")</f>
        <v/>
      </c>
    </row>
    <row r="40">
      <c r="J40" s="7" t="n"/>
      <c r="K40" s="7" t="n"/>
      <c r="R40" s="7">
        <f>IF($C40="","",Q40*AC40/100)</f>
        <v/>
      </c>
      <c r="S40" s="11" t="n"/>
      <c r="U40" s="11" t="n"/>
      <c r="AA40" s="7" t="n"/>
      <c r="AC40" s="7" t="n"/>
      <c r="AE40">
        <f>IF($C40="","",IF($AK40=1,Settings!$C$6,Settings!$C$7)*1)</f>
        <v/>
      </c>
      <c r="AF40" s="7">
        <f>IF($C40="","",AE40*AC40)</f>
        <v/>
      </c>
      <c r="AG40" s="7">
        <f>IF($C40="","",AC40-AF40)</f>
        <v/>
      </c>
      <c r="AH40" s="7">
        <f>IF($C40="","",AG40-R40)</f>
        <v/>
      </c>
      <c r="AI40">
        <f>IF($C40="","",IF(COUNTIF($C$2:$C40,$C40)=1,1,0))</f>
        <v/>
      </c>
      <c r="AJ40">
        <f>IF($AI40=1,SUMPRODUCT(--($AL$2:$AL$1501&lt;$AL40))+1,"")</f>
        <v/>
      </c>
      <c r="AK40">
        <f>IF($C40="","",IF(OR($AD40=TRUE(),$AD40="TRUE"),0,1))</f>
        <v/>
      </c>
      <c r="AL40">
        <f>IF($AI40=1,IFERROR(IF(VALUE($C40)&lt;100000000,VALUE($C40),1000000000),IFERROR(IF(VALUE(MID($C40,2,20))&lt;100000000,VALUE(MID($C40,2,20)),1000000000),1000000000))+ROW()/100000,"")</f>
        <v/>
      </c>
    </row>
    <row r="41">
      <c r="J41" s="7" t="n"/>
      <c r="K41" s="7" t="n"/>
      <c r="R41" s="7">
        <f>IF($C41="","",Q41*AC41/100)</f>
        <v/>
      </c>
      <c r="S41" s="11" t="n"/>
      <c r="U41" s="11" t="n"/>
      <c r="AA41" s="7" t="n"/>
      <c r="AC41" s="7" t="n"/>
      <c r="AE41">
        <f>IF($C41="","",IF($AK41=1,Settings!$C$6,Settings!$C$7)*1)</f>
        <v/>
      </c>
      <c r="AF41" s="7">
        <f>IF($C41="","",AE41*AC41)</f>
        <v/>
      </c>
      <c r="AG41" s="7">
        <f>IF($C41="","",AC41-AF41)</f>
        <v/>
      </c>
      <c r="AH41" s="7">
        <f>IF($C41="","",AG41-R41)</f>
        <v/>
      </c>
      <c r="AI41">
        <f>IF($C41="","",IF(COUNTIF($C$2:$C41,$C41)=1,1,0))</f>
        <v/>
      </c>
      <c r="AJ41">
        <f>IF($AI41=1,SUMPRODUCT(--($AL$2:$AL$1501&lt;$AL41))+1,"")</f>
        <v/>
      </c>
      <c r="AK41">
        <f>IF($C41="","",IF(OR($AD41=TRUE(),$AD41="TRUE"),0,1))</f>
        <v/>
      </c>
      <c r="AL41">
        <f>IF($AI41=1,IFERROR(IF(VALUE($C41)&lt;100000000,VALUE($C41),1000000000),IFERROR(IF(VALUE(MID($C41,2,20))&lt;100000000,VALUE(MID($C41,2,20)),1000000000),1000000000))+ROW()/100000,"")</f>
        <v/>
      </c>
    </row>
    <row r="42">
      <c r="J42" s="7" t="n"/>
      <c r="K42" s="7" t="n"/>
      <c r="R42" s="7">
        <f>IF($C42="","",Q42*AC42/100)</f>
        <v/>
      </c>
      <c r="S42" s="11" t="n"/>
      <c r="U42" s="11" t="n"/>
      <c r="AA42" s="7" t="n"/>
      <c r="AC42" s="7" t="n"/>
      <c r="AE42">
        <f>IF($C42="","",IF($AK42=1,Settings!$C$6,Settings!$C$7)*1)</f>
        <v/>
      </c>
      <c r="AF42" s="7">
        <f>IF($C42="","",AE42*AC42)</f>
        <v/>
      </c>
      <c r="AG42" s="7">
        <f>IF($C42="","",AC42-AF42)</f>
        <v/>
      </c>
      <c r="AH42" s="7">
        <f>IF($C42="","",AG42-R42)</f>
        <v/>
      </c>
      <c r="AI42">
        <f>IF($C42="","",IF(COUNTIF($C$2:$C42,$C42)=1,1,0))</f>
        <v/>
      </c>
      <c r="AJ42">
        <f>IF($AI42=1,SUMPRODUCT(--($AL$2:$AL$1501&lt;$AL42))+1,"")</f>
        <v/>
      </c>
      <c r="AK42">
        <f>IF($C42="","",IF(OR($AD42=TRUE(),$AD42="TRUE"),0,1))</f>
        <v/>
      </c>
      <c r="AL42">
        <f>IF($AI42=1,IFERROR(IF(VALUE($C42)&lt;100000000,VALUE($C42),1000000000),IFERROR(IF(VALUE(MID($C42,2,20))&lt;100000000,VALUE(MID($C42,2,20)),1000000000),1000000000))+ROW()/100000,"")</f>
        <v/>
      </c>
    </row>
    <row r="43">
      <c r="J43" s="7" t="n"/>
      <c r="K43" s="7" t="n"/>
      <c r="R43" s="7">
        <f>IF($C43="","",Q43*AC43/100)</f>
        <v/>
      </c>
      <c r="S43" s="11" t="n"/>
      <c r="U43" s="11" t="n"/>
      <c r="AA43" s="7" t="n"/>
      <c r="AC43" s="7" t="n"/>
      <c r="AE43">
        <f>IF($C43="","",IF($AK43=1,Settings!$C$6,Settings!$C$7)*1)</f>
        <v/>
      </c>
      <c r="AF43" s="7">
        <f>IF($C43="","",AE43*AC43)</f>
        <v/>
      </c>
      <c r="AG43" s="7">
        <f>IF($C43="","",AC43-AF43)</f>
        <v/>
      </c>
      <c r="AH43" s="7">
        <f>IF($C43="","",AG43-R43)</f>
        <v/>
      </c>
      <c r="AI43">
        <f>IF($C43="","",IF(COUNTIF($C$2:$C43,$C43)=1,1,0))</f>
        <v/>
      </c>
      <c r="AJ43">
        <f>IF($AI43=1,SUMPRODUCT(--($AL$2:$AL$1501&lt;$AL43))+1,"")</f>
        <v/>
      </c>
      <c r="AK43">
        <f>IF($C43="","",IF(OR($AD43=TRUE(),$AD43="TRUE"),0,1))</f>
        <v/>
      </c>
      <c r="AL43">
        <f>IF($AI43=1,IFERROR(IF(VALUE($C43)&lt;100000000,VALUE($C43),1000000000),IFERROR(IF(VALUE(MID($C43,2,20))&lt;100000000,VALUE(MID($C43,2,20)),1000000000),1000000000))+ROW()/100000,"")</f>
        <v/>
      </c>
    </row>
    <row r="44">
      <c r="J44" s="7" t="n"/>
      <c r="K44" s="7" t="n"/>
      <c r="R44" s="7">
        <f>IF($C44="","",Q44*AC44/100)</f>
        <v/>
      </c>
      <c r="S44" s="11" t="n"/>
      <c r="U44" s="11" t="n"/>
      <c r="AA44" s="7" t="n"/>
      <c r="AC44" s="7" t="n"/>
      <c r="AE44">
        <f>IF($C44="","",IF($AK44=1,Settings!$C$6,Settings!$C$7)*1)</f>
        <v/>
      </c>
      <c r="AF44" s="7">
        <f>IF($C44="","",AE44*AC44)</f>
        <v/>
      </c>
      <c r="AG44" s="7">
        <f>IF($C44="","",AC44-AF44)</f>
        <v/>
      </c>
      <c r="AH44" s="7">
        <f>IF($C44="","",AG44-R44)</f>
        <v/>
      </c>
      <c r="AI44">
        <f>IF($C44="","",IF(COUNTIF($C$2:$C44,$C44)=1,1,0))</f>
        <v/>
      </c>
      <c r="AJ44">
        <f>IF($AI44=1,SUMPRODUCT(--($AL$2:$AL$1501&lt;$AL44))+1,"")</f>
        <v/>
      </c>
      <c r="AK44">
        <f>IF($C44="","",IF(OR($AD44=TRUE(),$AD44="TRUE"),0,1))</f>
        <v/>
      </c>
      <c r="AL44">
        <f>IF($AI44=1,IFERROR(IF(VALUE($C44)&lt;100000000,VALUE($C44),1000000000),IFERROR(IF(VALUE(MID($C44,2,20))&lt;100000000,VALUE(MID($C44,2,20)),1000000000),1000000000))+ROW()/100000,"")</f>
        <v/>
      </c>
    </row>
    <row r="45">
      <c r="J45" s="7" t="n"/>
      <c r="K45" s="7" t="n"/>
      <c r="R45" s="7">
        <f>IF($C45="","",Q45*AC45/100)</f>
        <v/>
      </c>
      <c r="S45" s="11" t="n"/>
      <c r="U45" s="11" t="n"/>
      <c r="AA45" s="7" t="n"/>
      <c r="AC45" s="7" t="n"/>
      <c r="AE45">
        <f>IF($C45="","",IF($AK45=1,Settings!$C$6,Settings!$C$7)*1)</f>
        <v/>
      </c>
      <c r="AF45" s="7">
        <f>IF($C45="","",AE45*AC45)</f>
        <v/>
      </c>
      <c r="AG45" s="7">
        <f>IF($C45="","",AC45-AF45)</f>
        <v/>
      </c>
      <c r="AH45" s="7">
        <f>IF($C45="","",AG45-R45)</f>
        <v/>
      </c>
      <c r="AI45">
        <f>IF($C45="","",IF(COUNTIF($C$2:$C45,$C45)=1,1,0))</f>
        <v/>
      </c>
      <c r="AJ45">
        <f>IF($AI45=1,SUMPRODUCT(--($AL$2:$AL$1501&lt;$AL45))+1,"")</f>
        <v/>
      </c>
      <c r="AK45">
        <f>IF($C45="","",IF(OR($AD45=TRUE(),$AD45="TRUE"),0,1))</f>
        <v/>
      </c>
      <c r="AL45">
        <f>IF($AI45=1,IFERROR(IF(VALUE($C45)&lt;100000000,VALUE($C45),1000000000),IFERROR(IF(VALUE(MID($C45,2,20))&lt;100000000,VALUE(MID($C45,2,20)),1000000000),1000000000))+ROW()/100000,"")</f>
        <v/>
      </c>
    </row>
    <row r="46">
      <c r="J46" s="7" t="n"/>
      <c r="K46" s="7" t="n"/>
      <c r="R46" s="7">
        <f>IF($C46="","",Q46*AC46/100)</f>
        <v/>
      </c>
      <c r="S46" s="11" t="n"/>
      <c r="U46" s="11" t="n"/>
      <c r="AA46" s="7" t="n"/>
      <c r="AC46" s="7" t="n"/>
      <c r="AE46">
        <f>IF($C46="","",IF($AK46=1,Settings!$C$6,Settings!$C$7)*1)</f>
        <v/>
      </c>
      <c r="AF46" s="7">
        <f>IF($C46="","",AE46*AC46)</f>
        <v/>
      </c>
      <c r="AG46" s="7">
        <f>IF($C46="","",AC46-AF46)</f>
        <v/>
      </c>
      <c r="AH46" s="7">
        <f>IF($C46="","",AG46-R46)</f>
        <v/>
      </c>
      <c r="AI46">
        <f>IF($C46="","",IF(COUNTIF($C$2:$C46,$C46)=1,1,0))</f>
        <v/>
      </c>
      <c r="AJ46">
        <f>IF($AI46=1,SUMPRODUCT(--($AL$2:$AL$1501&lt;$AL46))+1,"")</f>
        <v/>
      </c>
      <c r="AK46">
        <f>IF($C46="","",IF(OR($AD46=TRUE(),$AD46="TRUE"),0,1))</f>
        <v/>
      </c>
      <c r="AL46">
        <f>IF($AI46=1,IFERROR(IF(VALUE($C46)&lt;100000000,VALUE($C46),1000000000),IFERROR(IF(VALUE(MID($C46,2,20))&lt;100000000,VALUE(MID($C46,2,20)),1000000000),1000000000))+ROW()/100000,"")</f>
        <v/>
      </c>
    </row>
    <row r="47">
      <c r="J47" s="7" t="n"/>
      <c r="K47" s="7" t="n"/>
      <c r="R47" s="7">
        <f>IF($C47="","",Q47*AC47/100)</f>
        <v/>
      </c>
      <c r="S47" s="11" t="n"/>
      <c r="U47" s="11" t="n"/>
      <c r="AA47" s="7" t="n"/>
      <c r="AC47" s="7" t="n"/>
      <c r="AE47">
        <f>IF($C47="","",IF($AK47=1,Settings!$C$6,Settings!$C$7)*1)</f>
        <v/>
      </c>
      <c r="AF47" s="7">
        <f>IF($C47="","",AE47*AC47)</f>
        <v/>
      </c>
      <c r="AG47" s="7">
        <f>IF($C47="","",AC47-AF47)</f>
        <v/>
      </c>
      <c r="AH47" s="7">
        <f>IF($C47="","",AG47-R47)</f>
        <v/>
      </c>
      <c r="AI47">
        <f>IF($C47="","",IF(COUNTIF($C$2:$C47,$C47)=1,1,0))</f>
        <v/>
      </c>
      <c r="AJ47">
        <f>IF($AI47=1,SUMPRODUCT(--($AL$2:$AL$1501&lt;$AL47))+1,"")</f>
        <v/>
      </c>
      <c r="AK47">
        <f>IF($C47="","",IF(OR($AD47=TRUE(),$AD47="TRUE"),0,1))</f>
        <v/>
      </c>
      <c r="AL47">
        <f>IF($AI47=1,IFERROR(IF(VALUE($C47)&lt;100000000,VALUE($C47),1000000000),IFERROR(IF(VALUE(MID($C47,2,20))&lt;100000000,VALUE(MID($C47,2,20)),1000000000),1000000000))+ROW()/100000,"")</f>
        <v/>
      </c>
    </row>
    <row r="48">
      <c r="J48" s="7" t="n"/>
      <c r="K48" s="7" t="n"/>
      <c r="R48" s="7">
        <f>IF($C48="","",Q48*AC48/100)</f>
        <v/>
      </c>
      <c r="S48" s="11" t="n"/>
      <c r="U48" s="11" t="n"/>
      <c r="AA48" s="7" t="n"/>
      <c r="AC48" s="7" t="n"/>
      <c r="AE48">
        <f>IF($C48="","",IF($AK48=1,Settings!$C$6,Settings!$C$7)*1)</f>
        <v/>
      </c>
      <c r="AF48" s="7">
        <f>IF($C48="","",AE48*AC48)</f>
        <v/>
      </c>
      <c r="AG48" s="7">
        <f>IF($C48="","",AC48-AF48)</f>
        <v/>
      </c>
      <c r="AH48" s="7">
        <f>IF($C48="","",AG48-R48)</f>
        <v/>
      </c>
      <c r="AI48">
        <f>IF($C48="","",IF(COUNTIF($C$2:$C48,$C48)=1,1,0))</f>
        <v/>
      </c>
      <c r="AJ48">
        <f>IF($AI48=1,SUMPRODUCT(--($AL$2:$AL$1501&lt;$AL48))+1,"")</f>
        <v/>
      </c>
      <c r="AK48">
        <f>IF($C48="","",IF(OR($AD48=TRUE(),$AD48="TRUE"),0,1))</f>
        <v/>
      </c>
      <c r="AL48">
        <f>IF($AI48=1,IFERROR(IF(VALUE($C48)&lt;100000000,VALUE($C48),1000000000),IFERROR(IF(VALUE(MID($C48,2,20))&lt;100000000,VALUE(MID($C48,2,20)),1000000000),1000000000))+ROW()/100000,"")</f>
        <v/>
      </c>
    </row>
    <row r="49">
      <c r="J49" s="7" t="n"/>
      <c r="K49" s="7" t="n"/>
      <c r="R49" s="7">
        <f>IF($C49="","",Q49*AC49/100)</f>
        <v/>
      </c>
      <c r="S49" s="11" t="n"/>
      <c r="U49" s="11" t="n"/>
      <c r="AA49" s="7" t="n"/>
      <c r="AC49" s="7" t="n"/>
      <c r="AE49">
        <f>IF($C49="","",IF($AK49=1,Settings!$C$6,Settings!$C$7)*1)</f>
        <v/>
      </c>
      <c r="AF49" s="7">
        <f>IF($C49="","",AE49*AC49)</f>
        <v/>
      </c>
      <c r="AG49" s="7">
        <f>IF($C49="","",AC49-AF49)</f>
        <v/>
      </c>
      <c r="AH49" s="7">
        <f>IF($C49="","",AG49-R49)</f>
        <v/>
      </c>
      <c r="AI49">
        <f>IF($C49="","",IF(COUNTIF($C$2:$C49,$C49)=1,1,0))</f>
        <v/>
      </c>
      <c r="AJ49">
        <f>IF($AI49=1,SUMPRODUCT(--($AL$2:$AL$1501&lt;$AL49))+1,"")</f>
        <v/>
      </c>
      <c r="AK49">
        <f>IF($C49="","",IF(OR($AD49=TRUE(),$AD49="TRUE"),0,1))</f>
        <v/>
      </c>
      <c r="AL49">
        <f>IF($AI49=1,IFERROR(IF(VALUE($C49)&lt;100000000,VALUE($C49),1000000000),IFERROR(IF(VALUE(MID($C49,2,20))&lt;100000000,VALUE(MID($C49,2,20)),1000000000),1000000000))+ROW()/100000,"")</f>
        <v/>
      </c>
    </row>
    <row r="50">
      <c r="J50" s="7" t="n"/>
      <c r="K50" s="7" t="n"/>
      <c r="R50" s="7">
        <f>IF($C50="","",Q50*AC50/100)</f>
        <v/>
      </c>
      <c r="S50" s="11" t="n"/>
      <c r="U50" s="11" t="n"/>
      <c r="AA50" s="7" t="n"/>
      <c r="AC50" s="7" t="n"/>
      <c r="AE50">
        <f>IF($C50="","",IF($AK50=1,Settings!$C$6,Settings!$C$7)*1)</f>
        <v/>
      </c>
      <c r="AF50" s="7">
        <f>IF($C50="","",AE50*AC50)</f>
        <v/>
      </c>
      <c r="AG50" s="7">
        <f>IF($C50="","",AC50-AF50)</f>
        <v/>
      </c>
      <c r="AH50" s="7">
        <f>IF($C50="","",AG50-R50)</f>
        <v/>
      </c>
      <c r="AI50">
        <f>IF($C50="","",IF(COUNTIF($C$2:$C50,$C50)=1,1,0))</f>
        <v/>
      </c>
      <c r="AJ50">
        <f>IF($AI50=1,SUMPRODUCT(--($AL$2:$AL$1501&lt;$AL50))+1,"")</f>
        <v/>
      </c>
      <c r="AK50">
        <f>IF($C50="","",IF(OR($AD50=TRUE(),$AD50="TRUE"),0,1))</f>
        <v/>
      </c>
      <c r="AL50">
        <f>IF($AI50=1,IFERROR(IF(VALUE($C50)&lt;100000000,VALUE($C50),1000000000),IFERROR(IF(VALUE(MID($C50,2,20))&lt;100000000,VALUE(MID($C50,2,20)),1000000000),1000000000))+ROW()/100000,"")</f>
        <v/>
      </c>
    </row>
    <row r="51">
      <c r="J51" s="7" t="n"/>
      <c r="K51" s="7" t="n"/>
      <c r="R51" s="7">
        <f>IF($C51="","",Q51*AC51/100)</f>
        <v/>
      </c>
      <c r="S51" s="11" t="n"/>
      <c r="U51" s="11" t="n"/>
      <c r="AA51" s="7" t="n"/>
      <c r="AC51" s="7" t="n"/>
      <c r="AE51">
        <f>IF($C51="","",IF($AK51=1,Settings!$C$6,Settings!$C$7)*1)</f>
        <v/>
      </c>
      <c r="AF51" s="7">
        <f>IF($C51="","",AE51*AC51)</f>
        <v/>
      </c>
      <c r="AG51" s="7">
        <f>IF($C51="","",AC51-AF51)</f>
        <v/>
      </c>
      <c r="AH51" s="7">
        <f>IF($C51="","",AG51-R51)</f>
        <v/>
      </c>
      <c r="AI51">
        <f>IF($C51="","",IF(COUNTIF($C$2:$C51,$C51)=1,1,0))</f>
        <v/>
      </c>
      <c r="AJ51">
        <f>IF($AI51=1,SUMPRODUCT(--($AL$2:$AL$1501&lt;$AL51))+1,"")</f>
        <v/>
      </c>
      <c r="AK51">
        <f>IF($C51="","",IF(OR($AD51=TRUE(),$AD51="TRUE"),0,1))</f>
        <v/>
      </c>
      <c r="AL51">
        <f>IF($AI51=1,IFERROR(IF(VALUE($C51)&lt;100000000,VALUE($C51),1000000000),IFERROR(IF(VALUE(MID($C51,2,20))&lt;100000000,VALUE(MID($C51,2,20)),1000000000),1000000000))+ROW()/100000,"")</f>
        <v/>
      </c>
    </row>
    <row r="52">
      <c r="J52" s="7" t="n"/>
      <c r="K52" s="7" t="n"/>
      <c r="R52" s="7">
        <f>IF($C52="","",Q52*AC52/100)</f>
        <v/>
      </c>
      <c r="S52" s="11" t="n"/>
      <c r="U52" s="11" t="n"/>
      <c r="AA52" s="7" t="n"/>
      <c r="AC52" s="7" t="n"/>
      <c r="AE52">
        <f>IF($C52="","",IF($AK52=1,Settings!$C$6,Settings!$C$7)*1)</f>
        <v/>
      </c>
      <c r="AF52" s="7">
        <f>IF($C52="","",AE52*AC52)</f>
        <v/>
      </c>
      <c r="AG52" s="7">
        <f>IF($C52="","",AC52-AF52)</f>
        <v/>
      </c>
      <c r="AH52" s="7">
        <f>IF($C52="","",AG52-R52)</f>
        <v/>
      </c>
      <c r="AI52">
        <f>IF($C52="","",IF(COUNTIF($C$2:$C52,$C52)=1,1,0))</f>
        <v/>
      </c>
      <c r="AJ52">
        <f>IF($AI52=1,SUMPRODUCT(--($AL$2:$AL$1501&lt;$AL52))+1,"")</f>
        <v/>
      </c>
      <c r="AK52">
        <f>IF($C52="","",IF(OR($AD52=TRUE(),$AD52="TRUE"),0,1))</f>
        <v/>
      </c>
      <c r="AL52">
        <f>IF($AI52=1,IFERROR(IF(VALUE($C52)&lt;100000000,VALUE($C52),1000000000),IFERROR(IF(VALUE(MID($C52,2,20))&lt;100000000,VALUE(MID($C52,2,20)),1000000000),1000000000))+ROW()/100000,"")</f>
        <v/>
      </c>
    </row>
    <row r="53">
      <c r="J53" s="7" t="n"/>
      <c r="K53" s="7" t="n"/>
      <c r="R53" s="7">
        <f>IF($C53="","",Q53*AC53/100)</f>
        <v/>
      </c>
      <c r="S53" s="11" t="n"/>
      <c r="U53" s="11" t="n"/>
      <c r="AA53" s="7" t="n"/>
      <c r="AC53" s="7" t="n"/>
      <c r="AE53">
        <f>IF($C53="","",IF($AK53=1,Settings!$C$6,Settings!$C$7)*1)</f>
        <v/>
      </c>
      <c r="AF53" s="7">
        <f>IF($C53="","",AE53*AC53)</f>
        <v/>
      </c>
      <c r="AG53" s="7">
        <f>IF($C53="","",AC53-AF53)</f>
        <v/>
      </c>
      <c r="AH53" s="7">
        <f>IF($C53="","",AG53-R53)</f>
        <v/>
      </c>
      <c r="AI53">
        <f>IF($C53="","",IF(COUNTIF($C$2:$C53,$C53)=1,1,0))</f>
        <v/>
      </c>
      <c r="AJ53">
        <f>IF($AI53=1,SUMPRODUCT(--($AL$2:$AL$1501&lt;$AL53))+1,"")</f>
        <v/>
      </c>
      <c r="AK53">
        <f>IF($C53="","",IF(OR($AD53=TRUE(),$AD53="TRUE"),0,1))</f>
        <v/>
      </c>
      <c r="AL53">
        <f>IF($AI53=1,IFERROR(IF(VALUE($C53)&lt;100000000,VALUE($C53),1000000000),IFERROR(IF(VALUE(MID($C53,2,20))&lt;100000000,VALUE(MID($C53,2,20)),1000000000),1000000000))+ROW()/100000,"")</f>
        <v/>
      </c>
    </row>
    <row r="54">
      <c r="J54" s="7" t="n"/>
      <c r="K54" s="7" t="n"/>
      <c r="R54" s="7">
        <f>IF($C54="","",Q54*AC54/100)</f>
        <v/>
      </c>
      <c r="S54" s="11" t="n"/>
      <c r="U54" s="11" t="n"/>
      <c r="AA54" s="7" t="n"/>
      <c r="AC54" s="7" t="n"/>
      <c r="AE54">
        <f>IF($C54="","",IF($AK54=1,Settings!$C$6,Settings!$C$7)*1)</f>
        <v/>
      </c>
      <c r="AF54" s="7">
        <f>IF($C54="","",AE54*AC54)</f>
        <v/>
      </c>
      <c r="AG54" s="7">
        <f>IF($C54="","",AC54-AF54)</f>
        <v/>
      </c>
      <c r="AH54" s="7">
        <f>IF($C54="","",AG54-R54)</f>
        <v/>
      </c>
      <c r="AI54">
        <f>IF($C54="","",IF(COUNTIF($C$2:$C54,$C54)=1,1,0))</f>
        <v/>
      </c>
      <c r="AJ54">
        <f>IF($AI54=1,SUMPRODUCT(--($AL$2:$AL$1501&lt;$AL54))+1,"")</f>
        <v/>
      </c>
      <c r="AK54">
        <f>IF($C54="","",IF(OR($AD54=TRUE(),$AD54="TRUE"),0,1))</f>
        <v/>
      </c>
      <c r="AL54">
        <f>IF($AI54=1,IFERROR(IF(VALUE($C54)&lt;100000000,VALUE($C54),1000000000),IFERROR(IF(VALUE(MID($C54,2,20))&lt;100000000,VALUE(MID($C54,2,20)),1000000000),1000000000))+ROW()/100000,"")</f>
        <v/>
      </c>
    </row>
    <row r="55">
      <c r="J55" s="7" t="n"/>
      <c r="K55" s="7" t="n"/>
      <c r="R55" s="7">
        <f>IF($C55="","",Q55*AC55/100)</f>
        <v/>
      </c>
      <c r="S55" s="11" t="n"/>
      <c r="U55" s="11" t="n"/>
      <c r="AA55" s="7" t="n"/>
      <c r="AC55" s="7" t="n"/>
      <c r="AE55">
        <f>IF($C55="","",IF($AK55=1,Settings!$C$6,Settings!$C$7)*1)</f>
        <v/>
      </c>
      <c r="AF55" s="7">
        <f>IF($C55="","",AE55*AC55)</f>
        <v/>
      </c>
      <c r="AG55" s="7">
        <f>IF($C55="","",AC55-AF55)</f>
        <v/>
      </c>
      <c r="AH55" s="7">
        <f>IF($C55="","",AG55-R55)</f>
        <v/>
      </c>
      <c r="AI55">
        <f>IF($C55="","",IF(COUNTIF($C$2:$C55,$C55)=1,1,0))</f>
        <v/>
      </c>
      <c r="AJ55">
        <f>IF($AI55=1,SUMPRODUCT(--($AL$2:$AL$1501&lt;$AL55))+1,"")</f>
        <v/>
      </c>
      <c r="AK55">
        <f>IF($C55="","",IF(OR($AD55=TRUE(),$AD55="TRUE"),0,1))</f>
        <v/>
      </c>
      <c r="AL55">
        <f>IF($AI55=1,IFERROR(IF(VALUE($C55)&lt;100000000,VALUE($C55),1000000000),IFERROR(IF(VALUE(MID($C55,2,20))&lt;100000000,VALUE(MID($C55,2,20)),1000000000),1000000000))+ROW()/100000,"")</f>
        <v/>
      </c>
    </row>
    <row r="56">
      <c r="J56" s="7" t="n"/>
      <c r="K56" s="7" t="n"/>
      <c r="R56" s="7">
        <f>IF($C56="","",Q56*AC56/100)</f>
        <v/>
      </c>
      <c r="S56" s="11" t="n"/>
      <c r="U56" s="11" t="n"/>
      <c r="AA56" s="7" t="n"/>
      <c r="AC56" s="7" t="n"/>
      <c r="AE56">
        <f>IF($C56="","",IF($AK56=1,Settings!$C$6,Settings!$C$7)*1)</f>
        <v/>
      </c>
      <c r="AF56" s="7">
        <f>IF($C56="","",AE56*AC56)</f>
        <v/>
      </c>
      <c r="AG56" s="7">
        <f>IF($C56="","",AC56-AF56)</f>
        <v/>
      </c>
      <c r="AH56" s="7">
        <f>IF($C56="","",AG56-R56)</f>
        <v/>
      </c>
      <c r="AI56">
        <f>IF($C56="","",IF(COUNTIF($C$2:$C56,$C56)=1,1,0))</f>
        <v/>
      </c>
      <c r="AJ56">
        <f>IF($AI56=1,SUMPRODUCT(--($AL$2:$AL$1501&lt;$AL56))+1,"")</f>
        <v/>
      </c>
      <c r="AK56">
        <f>IF($C56="","",IF(OR($AD56=TRUE(),$AD56="TRUE"),0,1))</f>
        <v/>
      </c>
      <c r="AL56">
        <f>IF($AI56=1,IFERROR(IF(VALUE($C56)&lt;100000000,VALUE($C56),1000000000),IFERROR(IF(VALUE(MID($C56,2,20))&lt;100000000,VALUE(MID($C56,2,20)),1000000000),1000000000))+ROW()/100000,"")</f>
        <v/>
      </c>
    </row>
    <row r="57">
      <c r="J57" s="7" t="n"/>
      <c r="K57" s="7" t="n"/>
      <c r="R57" s="7">
        <f>IF($C57="","",Q57*AC57/100)</f>
        <v/>
      </c>
      <c r="S57" s="11" t="n"/>
      <c r="U57" s="11" t="n"/>
      <c r="AA57" s="7" t="n"/>
      <c r="AC57" s="7" t="n"/>
      <c r="AE57">
        <f>IF($C57="","",IF($AK57=1,Settings!$C$6,Settings!$C$7)*1)</f>
        <v/>
      </c>
      <c r="AF57" s="7">
        <f>IF($C57="","",AE57*AC57)</f>
        <v/>
      </c>
      <c r="AG57" s="7">
        <f>IF($C57="","",AC57-AF57)</f>
        <v/>
      </c>
      <c r="AH57" s="7">
        <f>IF($C57="","",AG57-R57)</f>
        <v/>
      </c>
      <c r="AI57">
        <f>IF($C57="","",IF(COUNTIF($C$2:$C57,$C57)=1,1,0))</f>
        <v/>
      </c>
      <c r="AJ57">
        <f>IF($AI57=1,SUMPRODUCT(--($AL$2:$AL$1501&lt;$AL57))+1,"")</f>
        <v/>
      </c>
      <c r="AK57">
        <f>IF($C57="","",IF(OR($AD57=TRUE(),$AD57="TRUE"),0,1))</f>
        <v/>
      </c>
      <c r="AL57">
        <f>IF($AI57=1,IFERROR(IF(VALUE($C57)&lt;100000000,VALUE($C57),1000000000),IFERROR(IF(VALUE(MID($C57,2,20))&lt;100000000,VALUE(MID($C57,2,20)),1000000000),1000000000))+ROW()/100000,"")</f>
        <v/>
      </c>
    </row>
    <row r="58">
      <c r="J58" s="7" t="n"/>
      <c r="K58" s="7" t="n"/>
      <c r="R58" s="7">
        <f>IF($C58="","",Q58*AC58/100)</f>
        <v/>
      </c>
      <c r="S58" s="11" t="n"/>
      <c r="U58" s="11" t="n"/>
      <c r="AA58" s="7" t="n"/>
      <c r="AC58" s="7" t="n"/>
      <c r="AE58">
        <f>IF($C58="","",IF($AK58=1,Settings!$C$6,Settings!$C$7)*1)</f>
        <v/>
      </c>
      <c r="AF58" s="7">
        <f>IF($C58="","",AE58*AC58)</f>
        <v/>
      </c>
      <c r="AG58" s="7">
        <f>IF($C58="","",AC58-AF58)</f>
        <v/>
      </c>
      <c r="AH58" s="7">
        <f>IF($C58="","",AG58-R58)</f>
        <v/>
      </c>
      <c r="AI58">
        <f>IF($C58="","",IF(COUNTIF($C$2:$C58,$C58)=1,1,0))</f>
        <v/>
      </c>
      <c r="AJ58">
        <f>IF($AI58=1,SUMPRODUCT(--($AL$2:$AL$1501&lt;$AL58))+1,"")</f>
        <v/>
      </c>
      <c r="AK58">
        <f>IF($C58="","",IF(OR($AD58=TRUE(),$AD58="TRUE"),0,1))</f>
        <v/>
      </c>
      <c r="AL58">
        <f>IF($AI58=1,IFERROR(IF(VALUE($C58)&lt;100000000,VALUE($C58),1000000000),IFERROR(IF(VALUE(MID($C58,2,20))&lt;100000000,VALUE(MID($C58,2,20)),1000000000),1000000000))+ROW()/100000,"")</f>
        <v/>
      </c>
    </row>
    <row r="59">
      <c r="J59" s="7" t="n"/>
      <c r="K59" s="7" t="n"/>
      <c r="R59" s="7">
        <f>IF($C59="","",Q59*AC59/100)</f>
        <v/>
      </c>
      <c r="S59" s="11" t="n"/>
      <c r="U59" s="11" t="n"/>
      <c r="AA59" s="7" t="n"/>
      <c r="AC59" s="7" t="n"/>
      <c r="AE59">
        <f>IF($C59="","",IF($AK59=1,Settings!$C$6,Settings!$C$7)*1)</f>
        <v/>
      </c>
      <c r="AF59" s="7">
        <f>IF($C59="","",AE59*AC59)</f>
        <v/>
      </c>
      <c r="AG59" s="7">
        <f>IF($C59="","",AC59-AF59)</f>
        <v/>
      </c>
      <c r="AH59" s="7">
        <f>IF($C59="","",AG59-R59)</f>
        <v/>
      </c>
      <c r="AI59">
        <f>IF($C59="","",IF(COUNTIF($C$2:$C59,$C59)=1,1,0))</f>
        <v/>
      </c>
      <c r="AJ59">
        <f>IF($AI59=1,SUMPRODUCT(--($AL$2:$AL$1501&lt;$AL59))+1,"")</f>
        <v/>
      </c>
      <c r="AK59">
        <f>IF($C59="","",IF(OR($AD59=TRUE(),$AD59="TRUE"),0,1))</f>
        <v/>
      </c>
      <c r="AL59">
        <f>IF($AI59=1,IFERROR(IF(VALUE($C59)&lt;100000000,VALUE($C59),1000000000),IFERROR(IF(VALUE(MID($C59,2,20))&lt;100000000,VALUE(MID($C59,2,20)),1000000000),1000000000))+ROW()/100000,"")</f>
        <v/>
      </c>
    </row>
    <row r="60">
      <c r="J60" s="7" t="n"/>
      <c r="K60" s="7" t="n"/>
      <c r="R60" s="7">
        <f>IF($C60="","",Q60*AC60/100)</f>
        <v/>
      </c>
      <c r="S60" s="11" t="n"/>
      <c r="U60" s="11" t="n"/>
      <c r="AA60" s="7" t="n"/>
      <c r="AC60" s="7" t="n"/>
      <c r="AE60">
        <f>IF($C60="","",IF($AK60=1,Settings!$C$6,Settings!$C$7)*1)</f>
        <v/>
      </c>
      <c r="AF60" s="7">
        <f>IF($C60="","",AE60*AC60)</f>
        <v/>
      </c>
      <c r="AG60" s="7">
        <f>IF($C60="","",AC60-AF60)</f>
        <v/>
      </c>
      <c r="AH60" s="7">
        <f>IF($C60="","",AG60-R60)</f>
        <v/>
      </c>
      <c r="AI60">
        <f>IF($C60="","",IF(COUNTIF($C$2:$C60,$C60)=1,1,0))</f>
        <v/>
      </c>
      <c r="AJ60">
        <f>IF($AI60=1,SUMPRODUCT(--($AL$2:$AL$1501&lt;$AL60))+1,"")</f>
        <v/>
      </c>
      <c r="AK60">
        <f>IF($C60="","",IF(OR($AD60=TRUE(),$AD60="TRUE"),0,1))</f>
        <v/>
      </c>
      <c r="AL60">
        <f>IF($AI60=1,IFERROR(IF(VALUE($C60)&lt;100000000,VALUE($C60),1000000000),IFERROR(IF(VALUE(MID($C60,2,20))&lt;100000000,VALUE(MID($C60,2,20)),1000000000),1000000000))+ROW()/100000,"")</f>
        <v/>
      </c>
    </row>
    <row r="61">
      <c r="J61" s="7" t="n"/>
      <c r="K61" s="7" t="n"/>
      <c r="R61" s="7">
        <f>IF($C61="","",Q61*AC61/100)</f>
        <v/>
      </c>
      <c r="S61" s="11" t="n"/>
      <c r="U61" s="11" t="n"/>
      <c r="AA61" s="7" t="n"/>
      <c r="AC61" s="7" t="n"/>
      <c r="AE61">
        <f>IF($C61="","",IF($AK61=1,Settings!$C$6,Settings!$C$7)*1)</f>
        <v/>
      </c>
      <c r="AF61" s="7">
        <f>IF($C61="","",AE61*AC61)</f>
        <v/>
      </c>
      <c r="AG61" s="7">
        <f>IF($C61="","",AC61-AF61)</f>
        <v/>
      </c>
      <c r="AH61" s="7">
        <f>IF($C61="","",AG61-R61)</f>
        <v/>
      </c>
      <c r="AI61">
        <f>IF($C61="","",IF(COUNTIF($C$2:$C61,$C61)=1,1,0))</f>
        <v/>
      </c>
      <c r="AJ61">
        <f>IF($AI61=1,SUMPRODUCT(--($AL$2:$AL$1501&lt;$AL61))+1,"")</f>
        <v/>
      </c>
      <c r="AK61">
        <f>IF($C61="","",IF(OR($AD61=TRUE(),$AD61="TRUE"),0,1))</f>
        <v/>
      </c>
      <c r="AL61">
        <f>IF($AI61=1,IFERROR(IF(VALUE($C61)&lt;100000000,VALUE($C61),1000000000),IFERROR(IF(VALUE(MID($C61,2,20))&lt;100000000,VALUE(MID($C61,2,20)),1000000000),1000000000))+ROW()/100000,"")</f>
        <v/>
      </c>
    </row>
    <row r="62">
      <c r="J62" s="7" t="n"/>
      <c r="K62" s="7" t="n"/>
      <c r="R62" s="7">
        <f>IF($C62="","",Q62*AC62/100)</f>
        <v/>
      </c>
      <c r="S62" s="11" t="n"/>
      <c r="U62" s="11" t="n"/>
      <c r="AA62" s="7" t="n"/>
      <c r="AC62" s="7" t="n"/>
      <c r="AE62">
        <f>IF($C62="","",IF($AK62=1,Settings!$C$6,Settings!$C$7)*1)</f>
        <v/>
      </c>
      <c r="AF62" s="7">
        <f>IF($C62="","",AE62*AC62)</f>
        <v/>
      </c>
      <c r="AG62" s="7">
        <f>IF($C62="","",AC62-AF62)</f>
        <v/>
      </c>
      <c r="AH62" s="7">
        <f>IF($C62="","",AG62-R62)</f>
        <v/>
      </c>
      <c r="AI62">
        <f>IF($C62="","",IF(COUNTIF($C$2:$C62,$C62)=1,1,0))</f>
        <v/>
      </c>
      <c r="AJ62">
        <f>IF($AI62=1,SUMPRODUCT(--($AL$2:$AL$1501&lt;$AL62))+1,"")</f>
        <v/>
      </c>
      <c r="AK62">
        <f>IF($C62="","",IF(OR($AD62=TRUE(),$AD62="TRUE"),0,1))</f>
        <v/>
      </c>
      <c r="AL62">
        <f>IF($AI62=1,IFERROR(IF(VALUE($C62)&lt;100000000,VALUE($C62),1000000000),IFERROR(IF(VALUE(MID($C62,2,20))&lt;100000000,VALUE(MID($C62,2,20)),1000000000),1000000000))+ROW()/100000,"")</f>
        <v/>
      </c>
    </row>
    <row r="63">
      <c r="J63" s="7" t="n"/>
      <c r="K63" s="7" t="n"/>
      <c r="R63" s="7">
        <f>IF($C63="","",Q63*AC63/100)</f>
        <v/>
      </c>
      <c r="S63" s="11" t="n"/>
      <c r="U63" s="11" t="n"/>
      <c r="AA63" s="7" t="n"/>
      <c r="AC63" s="7" t="n"/>
      <c r="AE63">
        <f>IF($C63="","",IF($AK63=1,Settings!$C$6,Settings!$C$7)*1)</f>
        <v/>
      </c>
      <c r="AF63" s="7">
        <f>IF($C63="","",AE63*AC63)</f>
        <v/>
      </c>
      <c r="AG63" s="7">
        <f>IF($C63="","",AC63-AF63)</f>
        <v/>
      </c>
      <c r="AH63" s="7">
        <f>IF($C63="","",AG63-R63)</f>
        <v/>
      </c>
      <c r="AI63">
        <f>IF($C63="","",IF(COUNTIF($C$2:$C63,$C63)=1,1,0))</f>
        <v/>
      </c>
      <c r="AJ63">
        <f>IF($AI63=1,SUMPRODUCT(--($AL$2:$AL$1501&lt;$AL63))+1,"")</f>
        <v/>
      </c>
      <c r="AK63">
        <f>IF($C63="","",IF(OR($AD63=TRUE(),$AD63="TRUE"),0,1))</f>
        <v/>
      </c>
      <c r="AL63">
        <f>IF($AI63=1,IFERROR(IF(VALUE($C63)&lt;100000000,VALUE($C63),1000000000),IFERROR(IF(VALUE(MID($C63,2,20))&lt;100000000,VALUE(MID($C63,2,20)),1000000000),1000000000))+ROW()/100000,"")</f>
        <v/>
      </c>
    </row>
    <row r="64">
      <c r="J64" s="7" t="n"/>
      <c r="K64" s="7" t="n"/>
      <c r="R64" s="7">
        <f>IF($C64="","",Q64*AC64/100)</f>
        <v/>
      </c>
      <c r="S64" s="11" t="n"/>
      <c r="U64" s="11" t="n"/>
      <c r="AA64" s="7" t="n"/>
      <c r="AC64" s="7" t="n"/>
      <c r="AE64">
        <f>IF($C64="","",IF($AK64=1,Settings!$C$6,Settings!$C$7)*1)</f>
        <v/>
      </c>
      <c r="AF64" s="7">
        <f>IF($C64="","",AE64*AC64)</f>
        <v/>
      </c>
      <c r="AG64" s="7">
        <f>IF($C64="","",AC64-AF64)</f>
        <v/>
      </c>
      <c r="AH64" s="7">
        <f>IF($C64="","",AG64-R64)</f>
        <v/>
      </c>
      <c r="AI64">
        <f>IF($C64="","",IF(COUNTIF($C$2:$C64,$C64)=1,1,0))</f>
        <v/>
      </c>
      <c r="AJ64">
        <f>IF($AI64=1,SUMPRODUCT(--($AL$2:$AL$1501&lt;$AL64))+1,"")</f>
        <v/>
      </c>
      <c r="AK64">
        <f>IF($C64="","",IF(OR($AD64=TRUE(),$AD64="TRUE"),0,1))</f>
        <v/>
      </c>
      <c r="AL64">
        <f>IF($AI64=1,IFERROR(IF(VALUE($C64)&lt;100000000,VALUE($C64),1000000000),IFERROR(IF(VALUE(MID($C64,2,20))&lt;100000000,VALUE(MID($C64,2,20)),1000000000),1000000000))+ROW()/100000,"")</f>
        <v/>
      </c>
    </row>
    <row r="65">
      <c r="J65" s="7" t="n"/>
      <c r="K65" s="7" t="n"/>
      <c r="R65" s="7">
        <f>IF($C65="","",Q65*AC65/100)</f>
        <v/>
      </c>
      <c r="S65" s="11" t="n"/>
      <c r="U65" s="11" t="n"/>
      <c r="AA65" s="7" t="n"/>
      <c r="AC65" s="7" t="n"/>
      <c r="AE65">
        <f>IF($C65="","",IF($AK65=1,Settings!$C$6,Settings!$C$7)*1)</f>
        <v/>
      </c>
      <c r="AF65" s="7">
        <f>IF($C65="","",AE65*AC65)</f>
        <v/>
      </c>
      <c r="AG65" s="7">
        <f>IF($C65="","",AC65-AF65)</f>
        <v/>
      </c>
      <c r="AH65" s="7">
        <f>IF($C65="","",AG65-R65)</f>
        <v/>
      </c>
      <c r="AI65">
        <f>IF($C65="","",IF(COUNTIF($C$2:$C65,$C65)=1,1,0))</f>
        <v/>
      </c>
      <c r="AJ65">
        <f>IF($AI65=1,SUMPRODUCT(--($AL$2:$AL$1501&lt;$AL65))+1,"")</f>
        <v/>
      </c>
      <c r="AK65">
        <f>IF($C65="","",IF(OR($AD65=TRUE(),$AD65="TRUE"),0,1))</f>
        <v/>
      </c>
      <c r="AL65">
        <f>IF($AI65=1,IFERROR(IF(VALUE($C65)&lt;100000000,VALUE($C65),1000000000),IFERROR(IF(VALUE(MID($C65,2,20))&lt;100000000,VALUE(MID($C65,2,20)),1000000000),1000000000))+ROW()/100000,"")</f>
        <v/>
      </c>
    </row>
    <row r="66">
      <c r="J66" s="7" t="n"/>
      <c r="K66" s="7" t="n"/>
      <c r="R66" s="7">
        <f>IF($C66="","",Q66*AC66/100)</f>
        <v/>
      </c>
      <c r="S66" s="11" t="n"/>
      <c r="U66" s="11" t="n"/>
      <c r="AA66" s="7" t="n"/>
      <c r="AC66" s="7" t="n"/>
      <c r="AE66">
        <f>IF($C66="","",IF($AK66=1,Settings!$C$6,Settings!$C$7)*1)</f>
        <v/>
      </c>
      <c r="AF66" s="7">
        <f>IF($C66="","",AE66*AC66)</f>
        <v/>
      </c>
      <c r="AG66" s="7">
        <f>IF($C66="","",AC66-AF66)</f>
        <v/>
      </c>
      <c r="AH66" s="7">
        <f>IF($C66="","",AG66-R66)</f>
        <v/>
      </c>
      <c r="AI66">
        <f>IF($C66="","",IF(COUNTIF($C$2:$C66,$C66)=1,1,0))</f>
        <v/>
      </c>
      <c r="AJ66">
        <f>IF($AI66=1,SUMPRODUCT(--($AL$2:$AL$1501&lt;$AL66))+1,"")</f>
        <v/>
      </c>
      <c r="AK66">
        <f>IF($C66="","",IF(OR($AD66=TRUE(),$AD66="TRUE"),0,1))</f>
        <v/>
      </c>
      <c r="AL66">
        <f>IF($AI66=1,IFERROR(IF(VALUE($C66)&lt;100000000,VALUE($C66),1000000000),IFERROR(IF(VALUE(MID($C66,2,20))&lt;100000000,VALUE(MID($C66,2,20)),1000000000),1000000000))+ROW()/100000,"")</f>
        <v/>
      </c>
    </row>
    <row r="67">
      <c r="J67" s="7" t="n"/>
      <c r="K67" s="7" t="n"/>
      <c r="R67" s="7">
        <f>IF($C67="","",Q67*AC67/100)</f>
        <v/>
      </c>
      <c r="S67" s="11" t="n"/>
      <c r="U67" s="11" t="n"/>
      <c r="AA67" s="7" t="n"/>
      <c r="AC67" s="7" t="n"/>
      <c r="AE67">
        <f>IF($C67="","",IF($AK67=1,Settings!$C$6,Settings!$C$7)*1)</f>
        <v/>
      </c>
      <c r="AF67" s="7">
        <f>IF($C67="","",AE67*AC67)</f>
        <v/>
      </c>
      <c r="AG67" s="7">
        <f>IF($C67="","",AC67-AF67)</f>
        <v/>
      </c>
      <c r="AH67" s="7">
        <f>IF($C67="","",AG67-R67)</f>
        <v/>
      </c>
      <c r="AI67">
        <f>IF($C67="","",IF(COUNTIF($C$2:$C67,$C67)=1,1,0))</f>
        <v/>
      </c>
      <c r="AJ67">
        <f>IF($AI67=1,SUMPRODUCT(--($AL$2:$AL$1501&lt;$AL67))+1,"")</f>
        <v/>
      </c>
      <c r="AK67">
        <f>IF($C67="","",IF(OR($AD67=TRUE(),$AD67="TRUE"),0,1))</f>
        <v/>
      </c>
      <c r="AL67">
        <f>IF($AI67=1,IFERROR(IF(VALUE($C67)&lt;100000000,VALUE($C67),1000000000),IFERROR(IF(VALUE(MID($C67,2,20))&lt;100000000,VALUE(MID($C67,2,20)),1000000000),1000000000))+ROW()/100000,"")</f>
        <v/>
      </c>
    </row>
    <row r="68">
      <c r="J68" s="7" t="n"/>
      <c r="K68" s="7" t="n"/>
      <c r="R68" s="7">
        <f>IF($C68="","",Q68*AC68/100)</f>
        <v/>
      </c>
      <c r="S68" s="11" t="n"/>
      <c r="U68" s="11" t="n"/>
      <c r="AA68" s="7" t="n"/>
      <c r="AC68" s="7" t="n"/>
      <c r="AE68">
        <f>IF($C68="","",IF($AK68=1,Settings!$C$6,Settings!$C$7)*1)</f>
        <v/>
      </c>
      <c r="AF68" s="7">
        <f>IF($C68="","",AE68*AC68)</f>
        <v/>
      </c>
      <c r="AG68" s="7">
        <f>IF($C68="","",AC68-AF68)</f>
        <v/>
      </c>
      <c r="AH68" s="7">
        <f>IF($C68="","",AG68-R68)</f>
        <v/>
      </c>
      <c r="AI68">
        <f>IF($C68="","",IF(COUNTIF($C$2:$C68,$C68)=1,1,0))</f>
        <v/>
      </c>
      <c r="AJ68">
        <f>IF($AI68=1,SUMPRODUCT(--($AL$2:$AL$1501&lt;$AL68))+1,"")</f>
        <v/>
      </c>
      <c r="AK68">
        <f>IF($C68="","",IF(OR($AD68=TRUE(),$AD68="TRUE"),0,1))</f>
        <v/>
      </c>
      <c r="AL68">
        <f>IF($AI68=1,IFERROR(IF(VALUE($C68)&lt;100000000,VALUE($C68),1000000000),IFERROR(IF(VALUE(MID($C68,2,20))&lt;100000000,VALUE(MID($C68,2,20)),1000000000),1000000000))+ROW()/100000,"")</f>
        <v/>
      </c>
    </row>
    <row r="69">
      <c r="J69" s="7" t="n"/>
      <c r="K69" s="7" t="n"/>
      <c r="R69" s="7">
        <f>IF($C69="","",Q69*AC69/100)</f>
        <v/>
      </c>
      <c r="S69" s="11" t="n"/>
      <c r="U69" s="11" t="n"/>
      <c r="AA69" s="7" t="n"/>
      <c r="AC69" s="7" t="n"/>
      <c r="AE69">
        <f>IF($C69="","",IF($AK69=1,Settings!$C$6,Settings!$C$7)*1)</f>
        <v/>
      </c>
      <c r="AF69" s="7">
        <f>IF($C69="","",AE69*AC69)</f>
        <v/>
      </c>
      <c r="AG69" s="7">
        <f>IF($C69="","",AC69-AF69)</f>
        <v/>
      </c>
      <c r="AH69" s="7">
        <f>IF($C69="","",AG69-R69)</f>
        <v/>
      </c>
      <c r="AI69">
        <f>IF($C69="","",IF(COUNTIF($C$2:$C69,$C69)=1,1,0))</f>
        <v/>
      </c>
      <c r="AJ69">
        <f>IF($AI69=1,SUMPRODUCT(--($AL$2:$AL$1501&lt;$AL69))+1,"")</f>
        <v/>
      </c>
      <c r="AK69">
        <f>IF($C69="","",IF(OR($AD69=TRUE(),$AD69="TRUE"),0,1))</f>
        <v/>
      </c>
      <c r="AL69">
        <f>IF($AI69=1,IFERROR(IF(VALUE($C69)&lt;100000000,VALUE($C69),1000000000),IFERROR(IF(VALUE(MID($C69,2,20))&lt;100000000,VALUE(MID($C69,2,20)),1000000000),1000000000))+ROW()/100000,"")</f>
        <v/>
      </c>
    </row>
    <row r="70">
      <c r="J70" s="7" t="n"/>
      <c r="K70" s="7" t="n"/>
      <c r="R70" s="7">
        <f>IF($C70="","",Q70*AC70/100)</f>
        <v/>
      </c>
      <c r="S70" s="11" t="n"/>
      <c r="U70" s="11" t="n"/>
      <c r="AA70" s="7" t="n"/>
      <c r="AC70" s="7" t="n"/>
      <c r="AE70">
        <f>IF($C70="","",IF($AK70=1,Settings!$C$6,Settings!$C$7)*1)</f>
        <v/>
      </c>
      <c r="AF70" s="7">
        <f>IF($C70="","",AE70*AC70)</f>
        <v/>
      </c>
      <c r="AG70" s="7">
        <f>IF($C70="","",AC70-AF70)</f>
        <v/>
      </c>
      <c r="AH70" s="7">
        <f>IF($C70="","",AG70-R70)</f>
        <v/>
      </c>
      <c r="AI70">
        <f>IF($C70="","",IF(COUNTIF($C$2:$C70,$C70)=1,1,0))</f>
        <v/>
      </c>
      <c r="AJ70">
        <f>IF($AI70=1,SUMPRODUCT(--($AL$2:$AL$1501&lt;$AL70))+1,"")</f>
        <v/>
      </c>
      <c r="AK70">
        <f>IF($C70="","",IF(OR($AD70=TRUE(),$AD70="TRUE"),0,1))</f>
        <v/>
      </c>
      <c r="AL70">
        <f>IF($AI70=1,IFERROR(IF(VALUE($C70)&lt;100000000,VALUE($C70),1000000000),IFERROR(IF(VALUE(MID($C70,2,20))&lt;100000000,VALUE(MID($C70,2,20)),1000000000),1000000000))+ROW()/100000,"")</f>
        <v/>
      </c>
    </row>
    <row r="71">
      <c r="J71" s="7" t="n"/>
      <c r="K71" s="7" t="n"/>
      <c r="R71" s="7">
        <f>IF($C71="","",Q71*AC71/100)</f>
        <v/>
      </c>
      <c r="S71" s="11" t="n"/>
      <c r="U71" s="11" t="n"/>
      <c r="AA71" s="7" t="n"/>
      <c r="AC71" s="7" t="n"/>
      <c r="AE71">
        <f>IF($C71="","",IF($AK71=1,Settings!$C$6,Settings!$C$7)*1)</f>
        <v/>
      </c>
      <c r="AF71" s="7">
        <f>IF($C71="","",AE71*AC71)</f>
        <v/>
      </c>
      <c r="AG71" s="7">
        <f>IF($C71="","",AC71-AF71)</f>
        <v/>
      </c>
      <c r="AH71" s="7">
        <f>IF($C71="","",AG71-R71)</f>
        <v/>
      </c>
      <c r="AI71">
        <f>IF($C71="","",IF(COUNTIF($C$2:$C71,$C71)=1,1,0))</f>
        <v/>
      </c>
      <c r="AJ71">
        <f>IF($AI71=1,SUMPRODUCT(--($AL$2:$AL$1501&lt;$AL71))+1,"")</f>
        <v/>
      </c>
      <c r="AK71">
        <f>IF($C71="","",IF(OR($AD71=TRUE(),$AD71="TRUE"),0,1))</f>
        <v/>
      </c>
      <c r="AL71">
        <f>IF($AI71=1,IFERROR(IF(VALUE($C71)&lt;100000000,VALUE($C71),1000000000),IFERROR(IF(VALUE(MID($C71,2,20))&lt;100000000,VALUE(MID($C71,2,20)),1000000000),1000000000))+ROW()/100000,"")</f>
        <v/>
      </c>
    </row>
    <row r="72">
      <c r="J72" s="7" t="n"/>
      <c r="K72" s="7" t="n"/>
      <c r="R72" s="7">
        <f>IF($C72="","",Q72*AC72/100)</f>
        <v/>
      </c>
      <c r="S72" s="11" t="n"/>
      <c r="U72" s="11" t="n"/>
      <c r="AA72" s="7" t="n"/>
      <c r="AC72" s="7" t="n"/>
      <c r="AE72">
        <f>IF($C72="","",IF($AK72=1,Settings!$C$6,Settings!$C$7)*1)</f>
        <v/>
      </c>
      <c r="AF72" s="7">
        <f>IF($C72="","",AE72*AC72)</f>
        <v/>
      </c>
      <c r="AG72" s="7">
        <f>IF($C72="","",AC72-AF72)</f>
        <v/>
      </c>
      <c r="AH72" s="7">
        <f>IF($C72="","",AG72-R72)</f>
        <v/>
      </c>
      <c r="AI72">
        <f>IF($C72="","",IF(COUNTIF($C$2:$C72,$C72)=1,1,0))</f>
        <v/>
      </c>
      <c r="AJ72">
        <f>IF($AI72=1,SUMPRODUCT(--($AL$2:$AL$1501&lt;$AL72))+1,"")</f>
        <v/>
      </c>
      <c r="AK72">
        <f>IF($C72="","",IF(OR($AD72=TRUE(),$AD72="TRUE"),0,1))</f>
        <v/>
      </c>
      <c r="AL72">
        <f>IF($AI72=1,IFERROR(IF(VALUE($C72)&lt;100000000,VALUE($C72),1000000000),IFERROR(IF(VALUE(MID($C72,2,20))&lt;100000000,VALUE(MID($C72,2,20)),1000000000),1000000000))+ROW()/100000,"")</f>
        <v/>
      </c>
    </row>
    <row r="73">
      <c r="J73" s="7" t="n"/>
      <c r="K73" s="7" t="n"/>
      <c r="R73" s="7">
        <f>IF($C73="","",Q73*AC73/100)</f>
        <v/>
      </c>
      <c r="S73" s="11" t="n"/>
      <c r="U73" s="11" t="n"/>
      <c r="AA73" s="7" t="n"/>
      <c r="AC73" s="7" t="n"/>
      <c r="AE73">
        <f>IF($C73="","",IF($AK73=1,Settings!$C$6,Settings!$C$7)*1)</f>
        <v/>
      </c>
      <c r="AF73" s="7">
        <f>IF($C73="","",AE73*AC73)</f>
        <v/>
      </c>
      <c r="AG73" s="7">
        <f>IF($C73="","",AC73-AF73)</f>
        <v/>
      </c>
      <c r="AH73" s="7">
        <f>IF($C73="","",AG73-R73)</f>
        <v/>
      </c>
      <c r="AI73">
        <f>IF($C73="","",IF(COUNTIF($C$2:$C73,$C73)=1,1,0))</f>
        <v/>
      </c>
      <c r="AJ73">
        <f>IF($AI73=1,SUMPRODUCT(--($AL$2:$AL$1501&lt;$AL73))+1,"")</f>
        <v/>
      </c>
      <c r="AK73">
        <f>IF($C73="","",IF(OR($AD73=TRUE(),$AD73="TRUE"),0,1))</f>
        <v/>
      </c>
      <c r="AL73">
        <f>IF($AI73=1,IFERROR(IF(VALUE($C73)&lt;100000000,VALUE($C73),1000000000),IFERROR(IF(VALUE(MID($C73,2,20))&lt;100000000,VALUE(MID($C73,2,20)),1000000000),1000000000))+ROW()/100000,"")</f>
        <v/>
      </c>
    </row>
    <row r="74">
      <c r="J74" s="7" t="n"/>
      <c r="K74" s="7" t="n"/>
      <c r="R74" s="7">
        <f>IF($C74="","",Q74*AC74/100)</f>
        <v/>
      </c>
      <c r="S74" s="11" t="n"/>
      <c r="U74" s="11" t="n"/>
      <c r="AA74" s="7" t="n"/>
      <c r="AC74" s="7" t="n"/>
      <c r="AE74">
        <f>IF($C74="","",IF($AK74=1,Settings!$C$6,Settings!$C$7)*1)</f>
        <v/>
      </c>
      <c r="AF74" s="7">
        <f>IF($C74="","",AE74*AC74)</f>
        <v/>
      </c>
      <c r="AG74" s="7">
        <f>IF($C74="","",AC74-AF74)</f>
        <v/>
      </c>
      <c r="AH74" s="7">
        <f>IF($C74="","",AG74-R74)</f>
        <v/>
      </c>
      <c r="AI74">
        <f>IF($C74="","",IF(COUNTIF($C$2:$C74,$C74)=1,1,0))</f>
        <v/>
      </c>
      <c r="AJ74">
        <f>IF($AI74=1,SUMPRODUCT(--($AL$2:$AL$1501&lt;$AL74))+1,"")</f>
        <v/>
      </c>
      <c r="AK74">
        <f>IF($C74="","",IF(OR($AD74=TRUE(),$AD74="TRUE"),0,1))</f>
        <v/>
      </c>
      <c r="AL74">
        <f>IF($AI74=1,IFERROR(IF(VALUE($C74)&lt;100000000,VALUE($C74),1000000000),IFERROR(IF(VALUE(MID($C74,2,20))&lt;100000000,VALUE(MID($C74,2,20)),1000000000),1000000000))+ROW()/100000,"")</f>
        <v/>
      </c>
    </row>
    <row r="75">
      <c r="J75" s="7" t="n"/>
      <c r="K75" s="7" t="n"/>
      <c r="R75" s="7">
        <f>IF($C75="","",Q75*AC75/100)</f>
        <v/>
      </c>
      <c r="S75" s="11" t="n"/>
      <c r="U75" s="11" t="n"/>
      <c r="AA75" s="7" t="n"/>
      <c r="AC75" s="7" t="n"/>
      <c r="AE75">
        <f>IF($C75="","",IF($AK75=1,Settings!$C$6,Settings!$C$7)*1)</f>
        <v/>
      </c>
      <c r="AF75" s="7">
        <f>IF($C75="","",AE75*AC75)</f>
        <v/>
      </c>
      <c r="AG75" s="7">
        <f>IF($C75="","",AC75-AF75)</f>
        <v/>
      </c>
      <c r="AH75" s="7">
        <f>IF($C75="","",AG75-R75)</f>
        <v/>
      </c>
      <c r="AI75">
        <f>IF($C75="","",IF(COUNTIF($C$2:$C75,$C75)=1,1,0))</f>
        <v/>
      </c>
      <c r="AJ75">
        <f>IF($AI75=1,SUMPRODUCT(--($AL$2:$AL$1501&lt;$AL75))+1,"")</f>
        <v/>
      </c>
      <c r="AK75">
        <f>IF($C75="","",IF(OR($AD75=TRUE(),$AD75="TRUE"),0,1))</f>
        <v/>
      </c>
      <c r="AL75">
        <f>IF($AI75=1,IFERROR(IF(VALUE($C75)&lt;100000000,VALUE($C75),1000000000),IFERROR(IF(VALUE(MID($C75,2,20))&lt;100000000,VALUE(MID($C75,2,20)),1000000000),1000000000))+ROW()/100000,"")</f>
        <v/>
      </c>
    </row>
    <row r="76">
      <c r="J76" s="7" t="n"/>
      <c r="K76" s="7" t="n"/>
      <c r="R76" s="7">
        <f>IF($C76="","",Q76*AC76/100)</f>
        <v/>
      </c>
      <c r="S76" s="11" t="n"/>
      <c r="U76" s="11" t="n"/>
      <c r="AA76" s="7" t="n"/>
      <c r="AC76" s="7" t="n"/>
      <c r="AE76">
        <f>IF($C76="","",IF($AK76=1,Settings!$C$6,Settings!$C$7)*1)</f>
        <v/>
      </c>
      <c r="AF76" s="7">
        <f>IF($C76="","",AE76*AC76)</f>
        <v/>
      </c>
      <c r="AG76" s="7">
        <f>IF($C76="","",AC76-AF76)</f>
        <v/>
      </c>
      <c r="AH76" s="7">
        <f>IF($C76="","",AG76-R76)</f>
        <v/>
      </c>
      <c r="AI76">
        <f>IF($C76="","",IF(COUNTIF($C$2:$C76,$C76)=1,1,0))</f>
        <v/>
      </c>
      <c r="AJ76">
        <f>IF($AI76=1,SUMPRODUCT(--($AL$2:$AL$1501&lt;$AL76))+1,"")</f>
        <v/>
      </c>
      <c r="AK76">
        <f>IF($C76="","",IF(OR($AD76=TRUE(),$AD76="TRUE"),0,1))</f>
        <v/>
      </c>
      <c r="AL76">
        <f>IF($AI76=1,IFERROR(IF(VALUE($C76)&lt;100000000,VALUE($C76),1000000000),IFERROR(IF(VALUE(MID($C76,2,20))&lt;100000000,VALUE(MID($C76,2,20)),1000000000),1000000000))+ROW()/100000,"")</f>
        <v/>
      </c>
    </row>
    <row r="77">
      <c r="J77" s="7" t="n"/>
      <c r="K77" s="7" t="n"/>
      <c r="R77" s="7">
        <f>IF($C77="","",Q77*AC77/100)</f>
        <v/>
      </c>
      <c r="S77" s="11" t="n"/>
      <c r="U77" s="11" t="n"/>
      <c r="AA77" s="7" t="n"/>
      <c r="AC77" s="7" t="n"/>
      <c r="AE77">
        <f>IF($C77="","",IF($AK77=1,Settings!$C$6,Settings!$C$7)*1)</f>
        <v/>
      </c>
      <c r="AF77" s="7">
        <f>IF($C77="","",AE77*AC77)</f>
        <v/>
      </c>
      <c r="AG77" s="7">
        <f>IF($C77="","",AC77-AF77)</f>
        <v/>
      </c>
      <c r="AH77" s="7">
        <f>IF($C77="","",AG77-R77)</f>
        <v/>
      </c>
      <c r="AI77">
        <f>IF($C77="","",IF(COUNTIF($C$2:$C77,$C77)=1,1,0))</f>
        <v/>
      </c>
      <c r="AJ77">
        <f>IF($AI77=1,SUMPRODUCT(--($AL$2:$AL$1501&lt;$AL77))+1,"")</f>
        <v/>
      </c>
      <c r="AK77">
        <f>IF($C77="","",IF(OR($AD77=TRUE(),$AD77="TRUE"),0,1))</f>
        <v/>
      </c>
      <c r="AL77">
        <f>IF($AI77=1,IFERROR(IF(VALUE($C77)&lt;100000000,VALUE($C77),1000000000),IFERROR(IF(VALUE(MID($C77,2,20))&lt;100000000,VALUE(MID($C77,2,20)),1000000000),1000000000))+ROW()/100000,"")</f>
        <v/>
      </c>
    </row>
    <row r="78">
      <c r="J78" s="7" t="n"/>
      <c r="K78" s="7" t="n"/>
      <c r="R78" s="7">
        <f>IF($C78="","",Q78*AC78/100)</f>
        <v/>
      </c>
      <c r="S78" s="11" t="n"/>
      <c r="U78" s="11" t="n"/>
      <c r="AA78" s="7" t="n"/>
      <c r="AC78" s="7" t="n"/>
      <c r="AE78">
        <f>IF($C78="","",IF($AK78=1,Settings!$C$6,Settings!$C$7)*1)</f>
        <v/>
      </c>
      <c r="AF78" s="7">
        <f>IF($C78="","",AE78*AC78)</f>
        <v/>
      </c>
      <c r="AG78" s="7">
        <f>IF($C78="","",AC78-AF78)</f>
        <v/>
      </c>
      <c r="AH78" s="7">
        <f>IF($C78="","",AG78-R78)</f>
        <v/>
      </c>
      <c r="AI78">
        <f>IF($C78="","",IF(COUNTIF($C$2:$C78,$C78)=1,1,0))</f>
        <v/>
      </c>
      <c r="AJ78">
        <f>IF($AI78=1,SUMPRODUCT(--($AL$2:$AL$1501&lt;$AL78))+1,"")</f>
        <v/>
      </c>
      <c r="AK78">
        <f>IF($C78="","",IF(OR($AD78=TRUE(),$AD78="TRUE"),0,1))</f>
        <v/>
      </c>
      <c r="AL78">
        <f>IF($AI78=1,IFERROR(IF(VALUE($C78)&lt;100000000,VALUE($C78),1000000000),IFERROR(IF(VALUE(MID($C78,2,20))&lt;100000000,VALUE(MID($C78,2,20)),1000000000),1000000000))+ROW()/100000,"")</f>
        <v/>
      </c>
    </row>
    <row r="79">
      <c r="J79" s="7" t="n"/>
      <c r="K79" s="7" t="n"/>
      <c r="R79" s="7">
        <f>IF($C79="","",Q79*AC79/100)</f>
        <v/>
      </c>
      <c r="S79" s="11" t="n"/>
      <c r="U79" s="11" t="n"/>
      <c r="AA79" s="7" t="n"/>
      <c r="AC79" s="7" t="n"/>
      <c r="AE79">
        <f>IF($C79="","",IF($AK79=1,Settings!$C$6,Settings!$C$7)*1)</f>
        <v/>
      </c>
      <c r="AF79" s="7">
        <f>IF($C79="","",AE79*AC79)</f>
        <v/>
      </c>
      <c r="AG79" s="7">
        <f>IF($C79="","",AC79-AF79)</f>
        <v/>
      </c>
      <c r="AH79" s="7">
        <f>IF($C79="","",AG79-R79)</f>
        <v/>
      </c>
      <c r="AI79">
        <f>IF($C79="","",IF(COUNTIF($C$2:$C79,$C79)=1,1,0))</f>
        <v/>
      </c>
      <c r="AJ79">
        <f>IF($AI79=1,SUMPRODUCT(--($AL$2:$AL$1501&lt;$AL79))+1,"")</f>
        <v/>
      </c>
      <c r="AK79">
        <f>IF($C79="","",IF(OR($AD79=TRUE(),$AD79="TRUE"),0,1))</f>
        <v/>
      </c>
      <c r="AL79">
        <f>IF($AI79=1,IFERROR(IF(VALUE($C79)&lt;100000000,VALUE($C79),1000000000),IFERROR(IF(VALUE(MID($C79,2,20))&lt;100000000,VALUE(MID($C79,2,20)),1000000000),1000000000))+ROW()/100000,"")</f>
        <v/>
      </c>
    </row>
    <row r="80">
      <c r="J80" s="7" t="n"/>
      <c r="K80" s="7" t="n"/>
      <c r="R80" s="7">
        <f>IF($C80="","",Q80*AC80/100)</f>
        <v/>
      </c>
      <c r="S80" s="11" t="n"/>
      <c r="U80" s="11" t="n"/>
      <c r="AA80" s="7" t="n"/>
      <c r="AC80" s="7" t="n"/>
      <c r="AE80">
        <f>IF($C80="","",IF($AK80=1,Settings!$C$6,Settings!$C$7)*1)</f>
        <v/>
      </c>
      <c r="AF80" s="7">
        <f>IF($C80="","",AE80*AC80)</f>
        <v/>
      </c>
      <c r="AG80" s="7">
        <f>IF($C80="","",AC80-AF80)</f>
        <v/>
      </c>
      <c r="AH80" s="7">
        <f>IF($C80="","",AG80-R80)</f>
        <v/>
      </c>
      <c r="AI80">
        <f>IF($C80="","",IF(COUNTIF($C$2:$C80,$C80)=1,1,0))</f>
        <v/>
      </c>
      <c r="AJ80">
        <f>IF($AI80=1,SUMPRODUCT(--($AL$2:$AL$1501&lt;$AL80))+1,"")</f>
        <v/>
      </c>
      <c r="AK80">
        <f>IF($C80="","",IF(OR($AD80=TRUE(),$AD80="TRUE"),0,1))</f>
        <v/>
      </c>
      <c r="AL80">
        <f>IF($AI80=1,IFERROR(IF(VALUE($C80)&lt;100000000,VALUE($C80),1000000000),IFERROR(IF(VALUE(MID($C80,2,20))&lt;100000000,VALUE(MID($C80,2,20)),1000000000),1000000000))+ROW()/100000,"")</f>
        <v/>
      </c>
    </row>
    <row r="81">
      <c r="J81" s="7" t="n"/>
      <c r="K81" s="7" t="n"/>
      <c r="R81" s="7">
        <f>IF($C81="","",Q81*AC81/100)</f>
        <v/>
      </c>
      <c r="S81" s="11" t="n"/>
      <c r="U81" s="11" t="n"/>
      <c r="AA81" s="7" t="n"/>
      <c r="AC81" s="7" t="n"/>
      <c r="AE81">
        <f>IF($C81="","",IF($AK81=1,Settings!$C$6,Settings!$C$7)*1)</f>
        <v/>
      </c>
      <c r="AF81" s="7">
        <f>IF($C81="","",AE81*AC81)</f>
        <v/>
      </c>
      <c r="AG81" s="7">
        <f>IF($C81="","",AC81-AF81)</f>
        <v/>
      </c>
      <c r="AH81" s="7">
        <f>IF($C81="","",AG81-R81)</f>
        <v/>
      </c>
      <c r="AI81">
        <f>IF($C81="","",IF(COUNTIF($C$2:$C81,$C81)=1,1,0))</f>
        <v/>
      </c>
      <c r="AJ81">
        <f>IF($AI81=1,SUMPRODUCT(--($AL$2:$AL$1501&lt;$AL81))+1,"")</f>
        <v/>
      </c>
      <c r="AK81">
        <f>IF($C81="","",IF(OR($AD81=TRUE(),$AD81="TRUE"),0,1))</f>
        <v/>
      </c>
      <c r="AL81">
        <f>IF($AI81=1,IFERROR(IF(VALUE($C81)&lt;100000000,VALUE($C81),1000000000),IFERROR(IF(VALUE(MID($C81,2,20))&lt;100000000,VALUE(MID($C81,2,20)),1000000000),1000000000))+ROW()/100000,"")</f>
        <v/>
      </c>
    </row>
    <row r="82">
      <c r="J82" s="7" t="n"/>
      <c r="K82" s="7" t="n"/>
      <c r="R82" s="7">
        <f>IF($C82="","",Q82*AC82/100)</f>
        <v/>
      </c>
      <c r="S82" s="11" t="n"/>
      <c r="U82" s="11" t="n"/>
      <c r="AA82" s="7" t="n"/>
      <c r="AC82" s="7" t="n"/>
      <c r="AE82">
        <f>IF($C82="","",IF($AK82=1,Settings!$C$6,Settings!$C$7)*1)</f>
        <v/>
      </c>
      <c r="AF82" s="7">
        <f>IF($C82="","",AE82*AC82)</f>
        <v/>
      </c>
      <c r="AG82" s="7">
        <f>IF($C82="","",AC82-AF82)</f>
        <v/>
      </c>
      <c r="AH82" s="7">
        <f>IF($C82="","",AG82-R82)</f>
        <v/>
      </c>
      <c r="AI82">
        <f>IF($C82="","",IF(COUNTIF($C$2:$C82,$C82)=1,1,0))</f>
        <v/>
      </c>
      <c r="AJ82">
        <f>IF($AI82=1,SUMPRODUCT(--($AL$2:$AL$1501&lt;$AL82))+1,"")</f>
        <v/>
      </c>
      <c r="AK82">
        <f>IF($C82="","",IF(OR($AD82=TRUE(),$AD82="TRUE"),0,1))</f>
        <v/>
      </c>
      <c r="AL82">
        <f>IF($AI82=1,IFERROR(IF(VALUE($C82)&lt;100000000,VALUE($C82),1000000000),IFERROR(IF(VALUE(MID($C82,2,20))&lt;100000000,VALUE(MID($C82,2,20)),1000000000),1000000000))+ROW()/100000,"")</f>
        <v/>
      </c>
    </row>
    <row r="83">
      <c r="J83" s="7" t="n"/>
      <c r="K83" s="7" t="n"/>
      <c r="R83" s="7">
        <f>IF($C83="","",Q83*AC83/100)</f>
        <v/>
      </c>
      <c r="S83" s="11" t="n"/>
      <c r="U83" s="11" t="n"/>
      <c r="AA83" s="7" t="n"/>
      <c r="AC83" s="7" t="n"/>
      <c r="AE83">
        <f>IF($C83="","",IF($AK83=1,Settings!$C$6,Settings!$C$7)*1)</f>
        <v/>
      </c>
      <c r="AF83" s="7">
        <f>IF($C83="","",AE83*AC83)</f>
        <v/>
      </c>
      <c r="AG83" s="7">
        <f>IF($C83="","",AC83-AF83)</f>
        <v/>
      </c>
      <c r="AH83" s="7">
        <f>IF($C83="","",AG83-R83)</f>
        <v/>
      </c>
      <c r="AI83">
        <f>IF($C83="","",IF(COUNTIF($C$2:$C83,$C83)=1,1,0))</f>
        <v/>
      </c>
      <c r="AJ83">
        <f>IF($AI83=1,SUMPRODUCT(--($AL$2:$AL$1501&lt;$AL83))+1,"")</f>
        <v/>
      </c>
      <c r="AK83">
        <f>IF($C83="","",IF(OR($AD83=TRUE(),$AD83="TRUE"),0,1))</f>
        <v/>
      </c>
      <c r="AL83">
        <f>IF($AI83=1,IFERROR(IF(VALUE($C83)&lt;100000000,VALUE($C83),1000000000),IFERROR(IF(VALUE(MID($C83,2,20))&lt;100000000,VALUE(MID($C83,2,20)),1000000000),1000000000))+ROW()/100000,"")</f>
        <v/>
      </c>
    </row>
    <row r="84">
      <c r="J84" s="7" t="n"/>
      <c r="K84" s="7" t="n"/>
      <c r="R84" s="7">
        <f>IF($C84="","",Q84*AC84/100)</f>
        <v/>
      </c>
      <c r="S84" s="11" t="n"/>
      <c r="U84" s="11" t="n"/>
      <c r="AA84" s="7" t="n"/>
      <c r="AC84" s="7" t="n"/>
      <c r="AE84">
        <f>IF($C84="","",IF($AK84=1,Settings!$C$6,Settings!$C$7)*1)</f>
        <v/>
      </c>
      <c r="AF84" s="7">
        <f>IF($C84="","",AE84*AC84)</f>
        <v/>
      </c>
      <c r="AG84" s="7">
        <f>IF($C84="","",AC84-AF84)</f>
        <v/>
      </c>
      <c r="AH84" s="7">
        <f>IF($C84="","",AG84-R84)</f>
        <v/>
      </c>
      <c r="AI84">
        <f>IF($C84="","",IF(COUNTIF($C$2:$C84,$C84)=1,1,0))</f>
        <v/>
      </c>
      <c r="AJ84">
        <f>IF($AI84=1,SUMPRODUCT(--($AL$2:$AL$1501&lt;$AL84))+1,"")</f>
        <v/>
      </c>
      <c r="AK84">
        <f>IF($C84="","",IF(OR($AD84=TRUE(),$AD84="TRUE"),0,1))</f>
        <v/>
      </c>
      <c r="AL84">
        <f>IF($AI84=1,IFERROR(IF(VALUE($C84)&lt;100000000,VALUE($C84),1000000000),IFERROR(IF(VALUE(MID($C84,2,20))&lt;100000000,VALUE(MID($C84,2,20)),1000000000),1000000000))+ROW()/100000,"")</f>
        <v/>
      </c>
    </row>
    <row r="85">
      <c r="J85" s="7" t="n"/>
      <c r="K85" s="7" t="n"/>
      <c r="R85" s="7">
        <f>IF($C85="","",Q85*AC85/100)</f>
        <v/>
      </c>
      <c r="S85" s="11" t="n"/>
      <c r="U85" s="11" t="n"/>
      <c r="AA85" s="7" t="n"/>
      <c r="AC85" s="7" t="n"/>
      <c r="AE85">
        <f>IF($C85="","",IF($AK85=1,Settings!$C$6,Settings!$C$7)*1)</f>
        <v/>
      </c>
      <c r="AF85" s="7">
        <f>IF($C85="","",AE85*AC85)</f>
        <v/>
      </c>
      <c r="AG85" s="7">
        <f>IF($C85="","",AC85-AF85)</f>
        <v/>
      </c>
      <c r="AH85" s="7">
        <f>IF($C85="","",AG85-R85)</f>
        <v/>
      </c>
      <c r="AI85">
        <f>IF($C85="","",IF(COUNTIF($C$2:$C85,$C85)=1,1,0))</f>
        <v/>
      </c>
      <c r="AJ85">
        <f>IF($AI85=1,SUMPRODUCT(--($AL$2:$AL$1501&lt;$AL85))+1,"")</f>
        <v/>
      </c>
      <c r="AK85">
        <f>IF($C85="","",IF(OR($AD85=TRUE(),$AD85="TRUE"),0,1))</f>
        <v/>
      </c>
      <c r="AL85">
        <f>IF($AI85=1,IFERROR(IF(VALUE($C85)&lt;100000000,VALUE($C85),1000000000),IFERROR(IF(VALUE(MID($C85,2,20))&lt;100000000,VALUE(MID($C85,2,20)),1000000000),1000000000))+ROW()/100000,"")</f>
        <v/>
      </c>
    </row>
    <row r="86">
      <c r="J86" s="7" t="n"/>
      <c r="K86" s="7" t="n"/>
      <c r="R86" s="7">
        <f>IF($C86="","",Q86*AC86/100)</f>
        <v/>
      </c>
      <c r="S86" s="11" t="n"/>
      <c r="U86" s="11" t="n"/>
      <c r="AA86" s="7" t="n"/>
      <c r="AC86" s="7" t="n"/>
      <c r="AE86">
        <f>IF($C86="","",IF($AK86=1,Settings!$C$6,Settings!$C$7)*1)</f>
        <v/>
      </c>
      <c r="AF86" s="7">
        <f>IF($C86="","",AE86*AC86)</f>
        <v/>
      </c>
      <c r="AG86" s="7">
        <f>IF($C86="","",AC86-AF86)</f>
        <v/>
      </c>
      <c r="AH86" s="7">
        <f>IF($C86="","",AG86-R86)</f>
        <v/>
      </c>
      <c r="AI86">
        <f>IF($C86="","",IF(COUNTIF($C$2:$C86,$C86)=1,1,0))</f>
        <v/>
      </c>
      <c r="AJ86">
        <f>IF($AI86=1,SUMPRODUCT(--($AL$2:$AL$1501&lt;$AL86))+1,"")</f>
        <v/>
      </c>
      <c r="AK86">
        <f>IF($C86="","",IF(OR($AD86=TRUE(),$AD86="TRUE"),0,1))</f>
        <v/>
      </c>
      <c r="AL86">
        <f>IF($AI86=1,IFERROR(IF(VALUE($C86)&lt;100000000,VALUE($C86),1000000000),IFERROR(IF(VALUE(MID($C86,2,20))&lt;100000000,VALUE(MID($C86,2,20)),1000000000),1000000000))+ROW()/100000,"")</f>
        <v/>
      </c>
    </row>
    <row r="87">
      <c r="J87" s="7" t="n"/>
      <c r="K87" s="7" t="n"/>
      <c r="R87" s="7">
        <f>IF($C87="","",Q87*AC87/100)</f>
        <v/>
      </c>
      <c r="S87" s="11" t="n"/>
      <c r="U87" s="11" t="n"/>
      <c r="AA87" s="7" t="n"/>
      <c r="AC87" s="7" t="n"/>
      <c r="AE87">
        <f>IF($C87="","",IF($AK87=1,Settings!$C$6,Settings!$C$7)*1)</f>
        <v/>
      </c>
      <c r="AF87" s="7">
        <f>IF($C87="","",AE87*AC87)</f>
        <v/>
      </c>
      <c r="AG87" s="7">
        <f>IF($C87="","",AC87-AF87)</f>
        <v/>
      </c>
      <c r="AH87" s="7">
        <f>IF($C87="","",AG87-R87)</f>
        <v/>
      </c>
      <c r="AI87">
        <f>IF($C87="","",IF(COUNTIF($C$2:$C87,$C87)=1,1,0))</f>
        <v/>
      </c>
      <c r="AJ87">
        <f>IF($AI87=1,SUMPRODUCT(--($AL$2:$AL$1501&lt;$AL87))+1,"")</f>
        <v/>
      </c>
      <c r="AK87">
        <f>IF($C87="","",IF(OR($AD87=TRUE(),$AD87="TRUE"),0,1))</f>
        <v/>
      </c>
      <c r="AL87">
        <f>IF($AI87=1,IFERROR(IF(VALUE($C87)&lt;100000000,VALUE($C87),1000000000),IFERROR(IF(VALUE(MID($C87,2,20))&lt;100000000,VALUE(MID($C87,2,20)),1000000000),1000000000))+ROW()/100000,"")</f>
        <v/>
      </c>
    </row>
    <row r="88">
      <c r="J88" s="7" t="n"/>
      <c r="K88" s="7" t="n"/>
      <c r="R88" s="7">
        <f>IF($C88="","",Q88*AC88/100)</f>
        <v/>
      </c>
      <c r="S88" s="11" t="n"/>
      <c r="U88" s="11" t="n"/>
      <c r="AA88" s="7" t="n"/>
      <c r="AC88" s="7" t="n"/>
      <c r="AE88">
        <f>IF($C88="","",IF($AK88=1,Settings!$C$6,Settings!$C$7)*1)</f>
        <v/>
      </c>
      <c r="AF88" s="7">
        <f>IF($C88="","",AE88*AC88)</f>
        <v/>
      </c>
      <c r="AG88" s="7">
        <f>IF($C88="","",AC88-AF88)</f>
        <v/>
      </c>
      <c r="AH88" s="7">
        <f>IF($C88="","",AG88-R88)</f>
        <v/>
      </c>
      <c r="AI88">
        <f>IF($C88="","",IF(COUNTIF($C$2:$C88,$C88)=1,1,0))</f>
        <v/>
      </c>
      <c r="AJ88">
        <f>IF($AI88=1,SUMPRODUCT(--($AL$2:$AL$1501&lt;$AL88))+1,"")</f>
        <v/>
      </c>
      <c r="AK88">
        <f>IF($C88="","",IF(OR($AD88=TRUE(),$AD88="TRUE"),0,1))</f>
        <v/>
      </c>
      <c r="AL88">
        <f>IF($AI88=1,IFERROR(IF(VALUE($C88)&lt;100000000,VALUE($C88),1000000000),IFERROR(IF(VALUE(MID($C88,2,20))&lt;100000000,VALUE(MID($C88,2,20)),1000000000),1000000000))+ROW()/100000,"")</f>
        <v/>
      </c>
    </row>
    <row r="89">
      <c r="J89" s="7" t="n"/>
      <c r="K89" s="7" t="n"/>
      <c r="R89" s="7">
        <f>IF($C89="","",Q89*AC89/100)</f>
        <v/>
      </c>
      <c r="S89" s="11" t="n"/>
      <c r="U89" s="11" t="n"/>
      <c r="AA89" s="7" t="n"/>
      <c r="AC89" s="7" t="n"/>
      <c r="AE89">
        <f>IF($C89="","",IF($AK89=1,Settings!$C$6,Settings!$C$7)*1)</f>
        <v/>
      </c>
      <c r="AF89" s="7">
        <f>IF($C89="","",AE89*AC89)</f>
        <v/>
      </c>
      <c r="AG89" s="7">
        <f>IF($C89="","",AC89-AF89)</f>
        <v/>
      </c>
      <c r="AH89" s="7">
        <f>IF($C89="","",AG89-R89)</f>
        <v/>
      </c>
      <c r="AI89">
        <f>IF($C89="","",IF(COUNTIF($C$2:$C89,$C89)=1,1,0))</f>
        <v/>
      </c>
      <c r="AJ89">
        <f>IF($AI89=1,SUMPRODUCT(--($AL$2:$AL$1501&lt;$AL89))+1,"")</f>
        <v/>
      </c>
      <c r="AK89">
        <f>IF($C89="","",IF(OR($AD89=TRUE(),$AD89="TRUE"),0,1))</f>
        <v/>
      </c>
      <c r="AL89">
        <f>IF($AI89=1,IFERROR(IF(VALUE($C89)&lt;100000000,VALUE($C89),1000000000),IFERROR(IF(VALUE(MID($C89,2,20))&lt;100000000,VALUE(MID($C89,2,20)),1000000000),1000000000))+ROW()/100000,"")</f>
        <v/>
      </c>
    </row>
    <row r="90">
      <c r="J90" s="7" t="n"/>
      <c r="K90" s="7" t="n"/>
      <c r="R90" s="7">
        <f>IF($C90="","",Q90*AC90/100)</f>
        <v/>
      </c>
      <c r="S90" s="11" t="n"/>
      <c r="U90" s="11" t="n"/>
      <c r="AA90" s="7" t="n"/>
      <c r="AC90" s="7" t="n"/>
      <c r="AE90">
        <f>IF($C90="","",IF($AK90=1,Settings!$C$6,Settings!$C$7)*1)</f>
        <v/>
      </c>
      <c r="AF90" s="7">
        <f>IF($C90="","",AE90*AC90)</f>
        <v/>
      </c>
      <c r="AG90" s="7">
        <f>IF($C90="","",AC90-AF90)</f>
        <v/>
      </c>
      <c r="AH90" s="7">
        <f>IF($C90="","",AG90-R90)</f>
        <v/>
      </c>
      <c r="AI90">
        <f>IF($C90="","",IF(COUNTIF($C$2:$C90,$C90)=1,1,0))</f>
        <v/>
      </c>
      <c r="AJ90">
        <f>IF($AI90=1,SUMPRODUCT(--($AL$2:$AL$1501&lt;$AL90))+1,"")</f>
        <v/>
      </c>
      <c r="AK90">
        <f>IF($C90="","",IF(OR($AD90=TRUE(),$AD90="TRUE"),0,1))</f>
        <v/>
      </c>
      <c r="AL90">
        <f>IF($AI90=1,IFERROR(IF(VALUE($C90)&lt;100000000,VALUE($C90),1000000000),IFERROR(IF(VALUE(MID($C90,2,20))&lt;100000000,VALUE(MID($C90,2,20)),1000000000),1000000000))+ROW()/100000,"")</f>
        <v/>
      </c>
    </row>
    <row r="91">
      <c r="J91" s="7" t="n"/>
      <c r="K91" s="7" t="n"/>
      <c r="R91" s="7">
        <f>IF($C91="","",Q91*AC91/100)</f>
        <v/>
      </c>
      <c r="S91" s="11" t="n"/>
      <c r="U91" s="11" t="n"/>
      <c r="AA91" s="7" t="n"/>
      <c r="AC91" s="7" t="n"/>
      <c r="AE91">
        <f>IF($C91="","",IF($AK91=1,Settings!$C$6,Settings!$C$7)*1)</f>
        <v/>
      </c>
      <c r="AF91" s="7">
        <f>IF($C91="","",AE91*AC91)</f>
        <v/>
      </c>
      <c r="AG91" s="7">
        <f>IF($C91="","",AC91-AF91)</f>
        <v/>
      </c>
      <c r="AH91" s="7">
        <f>IF($C91="","",AG91-R91)</f>
        <v/>
      </c>
      <c r="AI91">
        <f>IF($C91="","",IF(COUNTIF($C$2:$C91,$C91)=1,1,0))</f>
        <v/>
      </c>
      <c r="AJ91">
        <f>IF($AI91=1,SUMPRODUCT(--($AL$2:$AL$1501&lt;$AL91))+1,"")</f>
        <v/>
      </c>
      <c r="AK91">
        <f>IF($C91="","",IF(OR($AD91=TRUE(),$AD91="TRUE"),0,1))</f>
        <v/>
      </c>
      <c r="AL91">
        <f>IF($AI91=1,IFERROR(IF(VALUE($C91)&lt;100000000,VALUE($C91),1000000000),IFERROR(IF(VALUE(MID($C91,2,20))&lt;100000000,VALUE(MID($C91,2,20)),1000000000),1000000000))+ROW()/100000,"")</f>
        <v/>
      </c>
    </row>
    <row r="92">
      <c r="J92" s="7" t="n"/>
      <c r="K92" s="7" t="n"/>
      <c r="R92" s="7">
        <f>IF($C92="","",Q92*AC92/100)</f>
        <v/>
      </c>
      <c r="S92" s="11" t="n"/>
      <c r="U92" s="11" t="n"/>
      <c r="AA92" s="7" t="n"/>
      <c r="AC92" s="7" t="n"/>
      <c r="AE92">
        <f>IF($C92="","",IF($AK92=1,Settings!$C$6,Settings!$C$7)*1)</f>
        <v/>
      </c>
      <c r="AF92" s="7">
        <f>IF($C92="","",AE92*AC92)</f>
        <v/>
      </c>
      <c r="AG92" s="7">
        <f>IF($C92="","",AC92-AF92)</f>
        <v/>
      </c>
      <c r="AH92" s="7">
        <f>IF($C92="","",AG92-R92)</f>
        <v/>
      </c>
      <c r="AI92">
        <f>IF($C92="","",IF(COUNTIF($C$2:$C92,$C92)=1,1,0))</f>
        <v/>
      </c>
      <c r="AJ92">
        <f>IF($AI92=1,SUMPRODUCT(--($AL$2:$AL$1501&lt;$AL92))+1,"")</f>
        <v/>
      </c>
      <c r="AK92">
        <f>IF($C92="","",IF(OR($AD92=TRUE(),$AD92="TRUE"),0,1))</f>
        <v/>
      </c>
      <c r="AL92">
        <f>IF($AI92=1,IFERROR(IF(VALUE($C92)&lt;100000000,VALUE($C92),1000000000),IFERROR(IF(VALUE(MID($C92,2,20))&lt;100000000,VALUE(MID($C92,2,20)),1000000000),1000000000))+ROW()/100000,"")</f>
        <v/>
      </c>
    </row>
    <row r="93">
      <c r="J93" s="7" t="n"/>
      <c r="K93" s="7" t="n"/>
      <c r="R93" s="7">
        <f>IF($C93="","",Q93*AC93/100)</f>
        <v/>
      </c>
      <c r="S93" s="11" t="n"/>
      <c r="U93" s="11" t="n"/>
      <c r="AA93" s="7" t="n"/>
      <c r="AC93" s="7" t="n"/>
      <c r="AE93">
        <f>IF($C93="","",IF($AK93=1,Settings!$C$6,Settings!$C$7)*1)</f>
        <v/>
      </c>
      <c r="AF93" s="7">
        <f>IF($C93="","",AE93*AC93)</f>
        <v/>
      </c>
      <c r="AG93" s="7">
        <f>IF($C93="","",AC93-AF93)</f>
        <v/>
      </c>
      <c r="AH93" s="7">
        <f>IF($C93="","",AG93-R93)</f>
        <v/>
      </c>
      <c r="AI93">
        <f>IF($C93="","",IF(COUNTIF($C$2:$C93,$C93)=1,1,0))</f>
        <v/>
      </c>
      <c r="AJ93">
        <f>IF($AI93=1,SUMPRODUCT(--($AL$2:$AL$1501&lt;$AL93))+1,"")</f>
        <v/>
      </c>
      <c r="AK93">
        <f>IF($C93="","",IF(OR($AD93=TRUE(),$AD93="TRUE"),0,1))</f>
        <v/>
      </c>
      <c r="AL93">
        <f>IF($AI93=1,IFERROR(IF(VALUE($C93)&lt;100000000,VALUE($C93),1000000000),IFERROR(IF(VALUE(MID($C93,2,20))&lt;100000000,VALUE(MID($C93,2,20)),1000000000),1000000000))+ROW()/100000,"")</f>
        <v/>
      </c>
    </row>
    <row r="94">
      <c r="J94" s="7" t="n"/>
      <c r="K94" s="7" t="n"/>
      <c r="R94" s="7">
        <f>IF($C94="","",Q94*AC94/100)</f>
        <v/>
      </c>
      <c r="S94" s="11" t="n"/>
      <c r="U94" s="11" t="n"/>
      <c r="AA94" s="7" t="n"/>
      <c r="AC94" s="7" t="n"/>
      <c r="AE94">
        <f>IF($C94="","",IF($AK94=1,Settings!$C$6,Settings!$C$7)*1)</f>
        <v/>
      </c>
      <c r="AF94" s="7">
        <f>IF($C94="","",AE94*AC94)</f>
        <v/>
      </c>
      <c r="AG94" s="7">
        <f>IF($C94="","",AC94-AF94)</f>
        <v/>
      </c>
      <c r="AH94" s="7">
        <f>IF($C94="","",AG94-R94)</f>
        <v/>
      </c>
      <c r="AI94">
        <f>IF($C94="","",IF(COUNTIF($C$2:$C94,$C94)=1,1,0))</f>
        <v/>
      </c>
      <c r="AJ94">
        <f>IF($AI94=1,SUMPRODUCT(--($AL$2:$AL$1501&lt;$AL94))+1,"")</f>
        <v/>
      </c>
      <c r="AK94">
        <f>IF($C94="","",IF(OR($AD94=TRUE(),$AD94="TRUE"),0,1))</f>
        <v/>
      </c>
      <c r="AL94">
        <f>IF($AI94=1,IFERROR(IF(VALUE($C94)&lt;100000000,VALUE($C94),1000000000),IFERROR(IF(VALUE(MID($C94,2,20))&lt;100000000,VALUE(MID($C94,2,20)),1000000000),1000000000))+ROW()/100000,"")</f>
        <v/>
      </c>
    </row>
    <row r="95">
      <c r="J95" s="7" t="n"/>
      <c r="K95" s="7" t="n"/>
      <c r="R95" s="7">
        <f>IF($C95="","",Q95*AC95/100)</f>
        <v/>
      </c>
      <c r="S95" s="11" t="n"/>
      <c r="U95" s="11" t="n"/>
      <c r="AA95" s="7" t="n"/>
      <c r="AC95" s="7" t="n"/>
      <c r="AE95">
        <f>IF($C95="","",IF($AK95=1,Settings!$C$6,Settings!$C$7)*1)</f>
        <v/>
      </c>
      <c r="AF95" s="7">
        <f>IF($C95="","",AE95*AC95)</f>
        <v/>
      </c>
      <c r="AG95" s="7">
        <f>IF($C95="","",AC95-AF95)</f>
        <v/>
      </c>
      <c r="AH95" s="7">
        <f>IF($C95="","",AG95-R95)</f>
        <v/>
      </c>
      <c r="AI95">
        <f>IF($C95="","",IF(COUNTIF($C$2:$C95,$C95)=1,1,0))</f>
        <v/>
      </c>
      <c r="AJ95">
        <f>IF($AI95=1,SUMPRODUCT(--($AL$2:$AL$1501&lt;$AL95))+1,"")</f>
        <v/>
      </c>
      <c r="AK95">
        <f>IF($C95="","",IF(OR($AD95=TRUE(),$AD95="TRUE"),0,1))</f>
        <v/>
      </c>
      <c r="AL95">
        <f>IF($AI95=1,IFERROR(IF(VALUE($C95)&lt;100000000,VALUE($C95),1000000000),IFERROR(IF(VALUE(MID($C95,2,20))&lt;100000000,VALUE(MID($C95,2,20)),1000000000),1000000000))+ROW()/100000,"")</f>
        <v/>
      </c>
    </row>
    <row r="96">
      <c r="J96" s="7" t="n"/>
      <c r="K96" s="7" t="n"/>
      <c r="R96" s="7">
        <f>IF($C96="","",Q96*AC96/100)</f>
        <v/>
      </c>
      <c r="S96" s="11" t="n"/>
      <c r="U96" s="11" t="n"/>
      <c r="AA96" s="7" t="n"/>
      <c r="AC96" s="7" t="n"/>
      <c r="AE96">
        <f>IF($C96="","",IF($AK96=1,Settings!$C$6,Settings!$C$7)*1)</f>
        <v/>
      </c>
      <c r="AF96" s="7">
        <f>IF($C96="","",AE96*AC96)</f>
        <v/>
      </c>
      <c r="AG96" s="7">
        <f>IF($C96="","",AC96-AF96)</f>
        <v/>
      </c>
      <c r="AH96" s="7">
        <f>IF($C96="","",AG96-R96)</f>
        <v/>
      </c>
      <c r="AI96">
        <f>IF($C96="","",IF(COUNTIF($C$2:$C96,$C96)=1,1,0))</f>
        <v/>
      </c>
      <c r="AJ96">
        <f>IF($AI96=1,SUMPRODUCT(--($AL$2:$AL$1501&lt;$AL96))+1,"")</f>
        <v/>
      </c>
      <c r="AK96">
        <f>IF($C96="","",IF(OR($AD96=TRUE(),$AD96="TRUE"),0,1))</f>
        <v/>
      </c>
      <c r="AL96">
        <f>IF($AI96=1,IFERROR(IF(VALUE($C96)&lt;100000000,VALUE($C96),1000000000),IFERROR(IF(VALUE(MID($C96,2,20))&lt;100000000,VALUE(MID($C96,2,20)),1000000000),1000000000))+ROW()/100000,"")</f>
        <v/>
      </c>
    </row>
    <row r="97">
      <c r="J97" s="7" t="n"/>
      <c r="K97" s="7" t="n"/>
      <c r="R97" s="7">
        <f>IF($C97="","",Q97*AC97/100)</f>
        <v/>
      </c>
      <c r="S97" s="11" t="n"/>
      <c r="U97" s="11" t="n"/>
      <c r="AA97" s="7" t="n"/>
      <c r="AC97" s="7" t="n"/>
      <c r="AE97">
        <f>IF($C97="","",IF($AK97=1,Settings!$C$6,Settings!$C$7)*1)</f>
        <v/>
      </c>
      <c r="AF97" s="7">
        <f>IF($C97="","",AE97*AC97)</f>
        <v/>
      </c>
      <c r="AG97" s="7">
        <f>IF($C97="","",AC97-AF97)</f>
        <v/>
      </c>
      <c r="AH97" s="7">
        <f>IF($C97="","",AG97-R97)</f>
        <v/>
      </c>
      <c r="AI97">
        <f>IF($C97="","",IF(COUNTIF($C$2:$C97,$C97)=1,1,0))</f>
        <v/>
      </c>
      <c r="AJ97">
        <f>IF($AI97=1,SUMPRODUCT(--($AL$2:$AL$1501&lt;$AL97))+1,"")</f>
        <v/>
      </c>
      <c r="AK97">
        <f>IF($C97="","",IF(OR($AD97=TRUE(),$AD97="TRUE"),0,1))</f>
        <v/>
      </c>
      <c r="AL97">
        <f>IF($AI97=1,IFERROR(IF(VALUE($C97)&lt;100000000,VALUE($C97),1000000000),IFERROR(IF(VALUE(MID($C97,2,20))&lt;100000000,VALUE(MID($C97,2,20)),1000000000),1000000000))+ROW()/100000,"")</f>
        <v/>
      </c>
    </row>
    <row r="98">
      <c r="J98" s="7" t="n"/>
      <c r="K98" s="7" t="n"/>
      <c r="R98" s="7">
        <f>IF($C98="","",Q98*AC98/100)</f>
        <v/>
      </c>
      <c r="S98" s="11" t="n"/>
      <c r="U98" s="11" t="n"/>
      <c r="AA98" s="7" t="n"/>
      <c r="AC98" s="7" t="n"/>
      <c r="AE98">
        <f>IF($C98="","",IF($AK98=1,Settings!$C$6,Settings!$C$7)*1)</f>
        <v/>
      </c>
      <c r="AF98" s="7">
        <f>IF($C98="","",AE98*AC98)</f>
        <v/>
      </c>
      <c r="AG98" s="7">
        <f>IF($C98="","",AC98-AF98)</f>
        <v/>
      </c>
      <c r="AH98" s="7">
        <f>IF($C98="","",AG98-R98)</f>
        <v/>
      </c>
      <c r="AI98">
        <f>IF($C98="","",IF(COUNTIF($C$2:$C98,$C98)=1,1,0))</f>
        <v/>
      </c>
      <c r="AJ98">
        <f>IF($AI98=1,SUMPRODUCT(--($AL$2:$AL$1501&lt;$AL98))+1,"")</f>
        <v/>
      </c>
      <c r="AK98">
        <f>IF($C98="","",IF(OR($AD98=TRUE(),$AD98="TRUE"),0,1))</f>
        <v/>
      </c>
      <c r="AL98">
        <f>IF($AI98=1,IFERROR(IF(VALUE($C98)&lt;100000000,VALUE($C98),1000000000),IFERROR(IF(VALUE(MID($C98,2,20))&lt;100000000,VALUE(MID($C98,2,20)),1000000000),1000000000))+ROW()/100000,"")</f>
        <v/>
      </c>
    </row>
    <row r="99">
      <c r="J99" s="7" t="n"/>
      <c r="K99" s="7" t="n"/>
      <c r="R99" s="7">
        <f>IF($C99="","",Q99*AC99/100)</f>
        <v/>
      </c>
      <c r="S99" s="11" t="n"/>
      <c r="U99" s="11" t="n"/>
      <c r="AA99" s="7" t="n"/>
      <c r="AC99" s="7" t="n"/>
      <c r="AE99">
        <f>IF($C99="","",IF($AK99=1,Settings!$C$6,Settings!$C$7)*1)</f>
        <v/>
      </c>
      <c r="AF99" s="7">
        <f>IF($C99="","",AE99*AC99)</f>
        <v/>
      </c>
      <c r="AG99" s="7">
        <f>IF($C99="","",AC99-AF99)</f>
        <v/>
      </c>
      <c r="AH99" s="7">
        <f>IF($C99="","",AG99-R99)</f>
        <v/>
      </c>
      <c r="AI99">
        <f>IF($C99="","",IF(COUNTIF($C$2:$C99,$C99)=1,1,0))</f>
        <v/>
      </c>
      <c r="AJ99">
        <f>IF($AI99=1,SUMPRODUCT(--($AL$2:$AL$1501&lt;$AL99))+1,"")</f>
        <v/>
      </c>
      <c r="AK99">
        <f>IF($C99="","",IF(OR($AD99=TRUE(),$AD99="TRUE"),0,1))</f>
        <v/>
      </c>
      <c r="AL99">
        <f>IF($AI99=1,IFERROR(IF(VALUE($C99)&lt;100000000,VALUE($C99),1000000000),IFERROR(IF(VALUE(MID($C99,2,20))&lt;100000000,VALUE(MID($C99,2,20)),1000000000),1000000000))+ROW()/100000,"")</f>
        <v/>
      </c>
    </row>
    <row r="100">
      <c r="J100" s="7" t="n"/>
      <c r="K100" s="7" t="n"/>
      <c r="R100" s="7">
        <f>IF($C100="","",Q100*AC100/100)</f>
        <v/>
      </c>
      <c r="S100" s="11" t="n"/>
      <c r="U100" s="11" t="n"/>
      <c r="AA100" s="7" t="n"/>
      <c r="AC100" s="7" t="n"/>
      <c r="AE100">
        <f>IF($C100="","",IF($AK100=1,Settings!$C$6,Settings!$C$7)*1)</f>
        <v/>
      </c>
      <c r="AF100" s="7">
        <f>IF($C100="","",AE100*AC100)</f>
        <v/>
      </c>
      <c r="AG100" s="7">
        <f>IF($C100="","",AC100-AF100)</f>
        <v/>
      </c>
      <c r="AH100" s="7">
        <f>IF($C100="","",AG100-R100)</f>
        <v/>
      </c>
      <c r="AI100">
        <f>IF($C100="","",IF(COUNTIF($C$2:$C100,$C100)=1,1,0))</f>
        <v/>
      </c>
      <c r="AJ100">
        <f>IF($AI100=1,SUMPRODUCT(--($AL$2:$AL$1501&lt;$AL100))+1,"")</f>
        <v/>
      </c>
      <c r="AK100">
        <f>IF($C100="","",IF(OR($AD100=TRUE(),$AD100="TRUE"),0,1))</f>
        <v/>
      </c>
      <c r="AL100">
        <f>IF($AI100=1,IFERROR(IF(VALUE($C100)&lt;100000000,VALUE($C100),1000000000),IFERROR(IF(VALUE(MID($C100,2,20))&lt;100000000,VALUE(MID($C100,2,20)),1000000000),1000000000))+ROW()/100000,"")</f>
        <v/>
      </c>
    </row>
    <row r="101">
      <c r="J101" s="7" t="n"/>
      <c r="K101" s="7" t="n"/>
      <c r="R101" s="7">
        <f>IF($C101="","",Q101*AC101/100)</f>
        <v/>
      </c>
      <c r="S101" s="11" t="n"/>
      <c r="U101" s="11" t="n"/>
      <c r="AA101" s="7" t="n"/>
      <c r="AC101" s="7" t="n"/>
      <c r="AE101">
        <f>IF($C101="","",IF($AK101=1,Settings!$C$6,Settings!$C$7)*1)</f>
        <v/>
      </c>
      <c r="AF101" s="7">
        <f>IF($C101="","",AE101*AC101)</f>
        <v/>
      </c>
      <c r="AG101" s="7">
        <f>IF($C101="","",AC101-AF101)</f>
        <v/>
      </c>
      <c r="AH101" s="7">
        <f>IF($C101="","",AG101-R101)</f>
        <v/>
      </c>
      <c r="AI101">
        <f>IF($C101="","",IF(COUNTIF($C$2:$C101,$C101)=1,1,0))</f>
        <v/>
      </c>
      <c r="AJ101">
        <f>IF($AI101=1,SUMPRODUCT(--($AL$2:$AL$1501&lt;$AL101))+1,"")</f>
        <v/>
      </c>
      <c r="AK101">
        <f>IF($C101="","",IF(OR($AD101=TRUE(),$AD101="TRUE"),0,1))</f>
        <v/>
      </c>
      <c r="AL101">
        <f>IF($AI101=1,IFERROR(IF(VALUE($C101)&lt;100000000,VALUE($C101),1000000000),IFERROR(IF(VALUE(MID($C101,2,20))&lt;100000000,VALUE(MID($C101,2,20)),1000000000),1000000000))+ROW()/100000,"")</f>
        <v/>
      </c>
    </row>
    <row r="102">
      <c r="J102" s="7" t="n"/>
      <c r="K102" s="7" t="n"/>
      <c r="R102" s="7">
        <f>IF($C102="","",Q102*AC102/100)</f>
        <v/>
      </c>
      <c r="S102" s="11" t="n"/>
      <c r="U102" s="11" t="n"/>
      <c r="AA102" s="7" t="n"/>
      <c r="AC102" s="7" t="n"/>
      <c r="AE102">
        <f>IF($C102="","",IF($AK102=1,Settings!$C$6,Settings!$C$7)*1)</f>
        <v/>
      </c>
      <c r="AF102" s="7">
        <f>IF($C102="","",AE102*AC102)</f>
        <v/>
      </c>
      <c r="AG102" s="7">
        <f>IF($C102="","",AC102-AF102)</f>
        <v/>
      </c>
      <c r="AH102" s="7">
        <f>IF($C102="","",AG102-R102)</f>
        <v/>
      </c>
      <c r="AI102">
        <f>IF($C102="","",IF(COUNTIF($C$2:$C102,$C102)=1,1,0))</f>
        <v/>
      </c>
      <c r="AJ102">
        <f>IF($AI102=1,SUMPRODUCT(--($AL$2:$AL$1501&lt;$AL102))+1,"")</f>
        <v/>
      </c>
      <c r="AK102">
        <f>IF($C102="","",IF(OR($AD102=TRUE(),$AD102="TRUE"),0,1))</f>
        <v/>
      </c>
      <c r="AL102">
        <f>IF($AI102=1,IFERROR(IF(VALUE($C102)&lt;100000000,VALUE($C102),1000000000),IFERROR(IF(VALUE(MID($C102,2,20))&lt;100000000,VALUE(MID($C102,2,20)),1000000000),1000000000))+ROW()/100000,"")</f>
        <v/>
      </c>
    </row>
    <row r="103">
      <c r="J103" s="7" t="n"/>
      <c r="K103" s="7" t="n"/>
      <c r="R103" s="7">
        <f>IF($C103="","",Q103*AC103/100)</f>
        <v/>
      </c>
      <c r="S103" s="11" t="n"/>
      <c r="U103" s="11" t="n"/>
      <c r="AA103" s="7" t="n"/>
      <c r="AC103" s="7" t="n"/>
      <c r="AE103">
        <f>IF($C103="","",IF($AK103=1,Settings!$C$6,Settings!$C$7)*1)</f>
        <v/>
      </c>
      <c r="AF103" s="7">
        <f>IF($C103="","",AE103*AC103)</f>
        <v/>
      </c>
      <c r="AG103" s="7">
        <f>IF($C103="","",AC103-AF103)</f>
        <v/>
      </c>
      <c r="AH103" s="7">
        <f>IF($C103="","",AG103-R103)</f>
        <v/>
      </c>
      <c r="AI103">
        <f>IF($C103="","",IF(COUNTIF($C$2:$C103,$C103)=1,1,0))</f>
        <v/>
      </c>
      <c r="AJ103">
        <f>IF($AI103=1,SUMPRODUCT(--($AL$2:$AL$1501&lt;$AL103))+1,"")</f>
        <v/>
      </c>
      <c r="AK103">
        <f>IF($C103="","",IF(OR($AD103=TRUE(),$AD103="TRUE"),0,1))</f>
        <v/>
      </c>
      <c r="AL103">
        <f>IF($AI103=1,IFERROR(IF(VALUE($C103)&lt;100000000,VALUE($C103),1000000000),IFERROR(IF(VALUE(MID($C103,2,20))&lt;100000000,VALUE(MID($C103,2,20)),1000000000),1000000000))+ROW()/100000,"")</f>
        <v/>
      </c>
    </row>
    <row r="104">
      <c r="J104" s="7" t="n"/>
      <c r="K104" s="7" t="n"/>
      <c r="R104" s="7">
        <f>IF($C104="","",Q104*AC104/100)</f>
        <v/>
      </c>
      <c r="S104" s="11" t="n"/>
      <c r="U104" s="11" t="n"/>
      <c r="AA104" s="7" t="n"/>
      <c r="AC104" s="7" t="n"/>
      <c r="AE104">
        <f>IF($C104="","",IF($AK104=1,Settings!$C$6,Settings!$C$7)*1)</f>
        <v/>
      </c>
      <c r="AF104" s="7">
        <f>IF($C104="","",AE104*AC104)</f>
        <v/>
      </c>
      <c r="AG104" s="7">
        <f>IF($C104="","",AC104-AF104)</f>
        <v/>
      </c>
      <c r="AH104" s="7">
        <f>IF($C104="","",AG104-R104)</f>
        <v/>
      </c>
      <c r="AI104">
        <f>IF($C104="","",IF(COUNTIF($C$2:$C104,$C104)=1,1,0))</f>
        <v/>
      </c>
      <c r="AJ104">
        <f>IF($AI104=1,SUMPRODUCT(--($AL$2:$AL$1501&lt;$AL104))+1,"")</f>
        <v/>
      </c>
      <c r="AK104">
        <f>IF($C104="","",IF(OR($AD104=TRUE(),$AD104="TRUE"),0,1))</f>
        <v/>
      </c>
      <c r="AL104">
        <f>IF($AI104=1,IFERROR(IF(VALUE($C104)&lt;100000000,VALUE($C104),1000000000),IFERROR(IF(VALUE(MID($C104,2,20))&lt;100000000,VALUE(MID($C104,2,20)),1000000000),1000000000))+ROW()/100000,"")</f>
        <v/>
      </c>
    </row>
    <row r="105">
      <c r="J105" s="7" t="n"/>
      <c r="K105" s="7" t="n"/>
      <c r="R105" s="7">
        <f>IF($C105="","",Q105*AC105/100)</f>
        <v/>
      </c>
      <c r="S105" s="11" t="n"/>
      <c r="U105" s="11" t="n"/>
      <c r="AA105" s="7" t="n"/>
      <c r="AC105" s="7" t="n"/>
      <c r="AE105">
        <f>IF($C105="","",IF($AK105=1,Settings!$C$6,Settings!$C$7)*1)</f>
        <v/>
      </c>
      <c r="AF105" s="7">
        <f>IF($C105="","",AE105*AC105)</f>
        <v/>
      </c>
      <c r="AG105" s="7">
        <f>IF($C105="","",AC105-AF105)</f>
        <v/>
      </c>
      <c r="AH105" s="7">
        <f>IF($C105="","",AG105-R105)</f>
        <v/>
      </c>
      <c r="AI105">
        <f>IF($C105="","",IF(COUNTIF($C$2:$C105,$C105)=1,1,0))</f>
        <v/>
      </c>
      <c r="AJ105">
        <f>IF($AI105=1,SUMPRODUCT(--($AL$2:$AL$1501&lt;$AL105))+1,"")</f>
        <v/>
      </c>
      <c r="AK105">
        <f>IF($C105="","",IF(OR($AD105=TRUE(),$AD105="TRUE"),0,1))</f>
        <v/>
      </c>
      <c r="AL105">
        <f>IF($AI105=1,IFERROR(IF(VALUE($C105)&lt;100000000,VALUE($C105),1000000000),IFERROR(IF(VALUE(MID($C105,2,20))&lt;100000000,VALUE(MID($C105,2,20)),1000000000),1000000000))+ROW()/100000,"")</f>
        <v/>
      </c>
    </row>
    <row r="106">
      <c r="J106" s="7" t="n"/>
      <c r="K106" s="7" t="n"/>
      <c r="R106" s="7">
        <f>IF($C106="","",Q106*AC106/100)</f>
        <v/>
      </c>
      <c r="S106" s="11" t="n"/>
      <c r="U106" s="11" t="n"/>
      <c r="AA106" s="7" t="n"/>
      <c r="AC106" s="7" t="n"/>
      <c r="AE106">
        <f>IF($C106="","",IF($AK106=1,Settings!$C$6,Settings!$C$7)*1)</f>
        <v/>
      </c>
      <c r="AF106" s="7">
        <f>IF($C106="","",AE106*AC106)</f>
        <v/>
      </c>
      <c r="AG106" s="7">
        <f>IF($C106="","",AC106-AF106)</f>
        <v/>
      </c>
      <c r="AH106" s="7">
        <f>IF($C106="","",AG106-R106)</f>
        <v/>
      </c>
      <c r="AI106">
        <f>IF($C106="","",IF(COUNTIF($C$2:$C106,$C106)=1,1,0))</f>
        <v/>
      </c>
      <c r="AJ106">
        <f>IF($AI106=1,SUMPRODUCT(--($AL$2:$AL$1501&lt;$AL106))+1,"")</f>
        <v/>
      </c>
      <c r="AK106">
        <f>IF($C106="","",IF(OR($AD106=TRUE(),$AD106="TRUE"),0,1))</f>
        <v/>
      </c>
      <c r="AL106">
        <f>IF($AI106=1,IFERROR(IF(VALUE($C106)&lt;100000000,VALUE($C106),1000000000),IFERROR(IF(VALUE(MID($C106,2,20))&lt;100000000,VALUE(MID($C106,2,20)),1000000000),1000000000))+ROW()/100000,"")</f>
        <v/>
      </c>
    </row>
    <row r="107">
      <c r="J107" s="7" t="n"/>
      <c r="K107" s="7" t="n"/>
      <c r="R107" s="7">
        <f>IF($C107="","",Q107*AC107/100)</f>
        <v/>
      </c>
      <c r="S107" s="11" t="n"/>
      <c r="U107" s="11" t="n"/>
      <c r="AA107" s="7" t="n"/>
      <c r="AC107" s="7" t="n"/>
      <c r="AE107">
        <f>IF($C107="","",IF($AK107=1,Settings!$C$6,Settings!$C$7)*1)</f>
        <v/>
      </c>
      <c r="AF107" s="7">
        <f>IF($C107="","",AE107*AC107)</f>
        <v/>
      </c>
      <c r="AG107" s="7">
        <f>IF($C107="","",AC107-AF107)</f>
        <v/>
      </c>
      <c r="AH107" s="7">
        <f>IF($C107="","",AG107-R107)</f>
        <v/>
      </c>
      <c r="AI107">
        <f>IF($C107="","",IF(COUNTIF($C$2:$C107,$C107)=1,1,0))</f>
        <v/>
      </c>
      <c r="AJ107">
        <f>IF($AI107=1,SUMPRODUCT(--($AL$2:$AL$1501&lt;$AL107))+1,"")</f>
        <v/>
      </c>
      <c r="AK107">
        <f>IF($C107="","",IF(OR($AD107=TRUE(),$AD107="TRUE"),0,1))</f>
        <v/>
      </c>
      <c r="AL107">
        <f>IF($AI107=1,IFERROR(IF(VALUE($C107)&lt;100000000,VALUE($C107),1000000000),IFERROR(IF(VALUE(MID($C107,2,20))&lt;100000000,VALUE(MID($C107,2,20)),1000000000),1000000000))+ROW()/100000,"")</f>
        <v/>
      </c>
    </row>
    <row r="108">
      <c r="J108" s="7" t="n"/>
      <c r="K108" s="7" t="n"/>
      <c r="R108" s="7">
        <f>IF($C108="","",Q108*AC108/100)</f>
        <v/>
      </c>
      <c r="S108" s="11" t="n"/>
      <c r="U108" s="11" t="n"/>
      <c r="AA108" s="7" t="n"/>
      <c r="AC108" s="7" t="n"/>
      <c r="AE108">
        <f>IF($C108="","",IF($AK108=1,Settings!$C$6,Settings!$C$7)*1)</f>
        <v/>
      </c>
      <c r="AF108" s="7">
        <f>IF($C108="","",AE108*AC108)</f>
        <v/>
      </c>
      <c r="AG108" s="7">
        <f>IF($C108="","",AC108-AF108)</f>
        <v/>
      </c>
      <c r="AH108" s="7">
        <f>IF($C108="","",AG108-R108)</f>
        <v/>
      </c>
      <c r="AI108">
        <f>IF($C108="","",IF(COUNTIF($C$2:$C108,$C108)=1,1,0))</f>
        <v/>
      </c>
      <c r="AJ108">
        <f>IF($AI108=1,SUMPRODUCT(--($AL$2:$AL$1501&lt;$AL108))+1,"")</f>
        <v/>
      </c>
      <c r="AK108">
        <f>IF($C108="","",IF(OR($AD108=TRUE(),$AD108="TRUE"),0,1))</f>
        <v/>
      </c>
      <c r="AL108">
        <f>IF($AI108=1,IFERROR(IF(VALUE($C108)&lt;100000000,VALUE($C108),1000000000),IFERROR(IF(VALUE(MID($C108,2,20))&lt;100000000,VALUE(MID($C108,2,20)),1000000000),1000000000))+ROW()/100000,"")</f>
        <v/>
      </c>
    </row>
    <row r="109">
      <c r="J109" s="7" t="n"/>
      <c r="K109" s="7" t="n"/>
      <c r="R109" s="7">
        <f>IF($C109="","",Q109*AC109/100)</f>
        <v/>
      </c>
      <c r="S109" s="11" t="n"/>
      <c r="U109" s="11" t="n"/>
      <c r="AA109" s="7" t="n"/>
      <c r="AC109" s="7" t="n"/>
      <c r="AE109">
        <f>IF($C109="","",IF($AK109=1,Settings!$C$6,Settings!$C$7)*1)</f>
        <v/>
      </c>
      <c r="AF109" s="7">
        <f>IF($C109="","",AE109*AC109)</f>
        <v/>
      </c>
      <c r="AG109" s="7">
        <f>IF($C109="","",AC109-AF109)</f>
        <v/>
      </c>
      <c r="AH109" s="7">
        <f>IF($C109="","",AG109-R109)</f>
        <v/>
      </c>
      <c r="AI109">
        <f>IF($C109="","",IF(COUNTIF($C$2:$C109,$C109)=1,1,0))</f>
        <v/>
      </c>
      <c r="AJ109">
        <f>IF($AI109=1,SUMPRODUCT(--($AL$2:$AL$1501&lt;$AL109))+1,"")</f>
        <v/>
      </c>
      <c r="AK109">
        <f>IF($C109="","",IF(OR($AD109=TRUE(),$AD109="TRUE"),0,1))</f>
        <v/>
      </c>
      <c r="AL109">
        <f>IF($AI109=1,IFERROR(IF(VALUE($C109)&lt;100000000,VALUE($C109),1000000000),IFERROR(IF(VALUE(MID($C109,2,20))&lt;100000000,VALUE(MID($C109,2,20)),1000000000),1000000000))+ROW()/100000,"")</f>
        <v/>
      </c>
    </row>
    <row r="110">
      <c r="J110" s="7" t="n"/>
      <c r="K110" s="7" t="n"/>
      <c r="R110" s="7">
        <f>IF($C110="","",Q110*AC110/100)</f>
        <v/>
      </c>
      <c r="S110" s="11" t="n"/>
      <c r="U110" s="11" t="n"/>
      <c r="AA110" s="7" t="n"/>
      <c r="AC110" s="7" t="n"/>
      <c r="AE110">
        <f>IF($C110="","",IF($AK110=1,Settings!$C$6,Settings!$C$7)*1)</f>
        <v/>
      </c>
      <c r="AF110" s="7">
        <f>IF($C110="","",AE110*AC110)</f>
        <v/>
      </c>
      <c r="AG110" s="7">
        <f>IF($C110="","",AC110-AF110)</f>
        <v/>
      </c>
      <c r="AH110" s="7">
        <f>IF($C110="","",AG110-R110)</f>
        <v/>
      </c>
      <c r="AI110">
        <f>IF($C110="","",IF(COUNTIF($C$2:$C110,$C110)=1,1,0))</f>
        <v/>
      </c>
      <c r="AJ110">
        <f>IF($AI110=1,SUMPRODUCT(--($AL$2:$AL$1501&lt;$AL110))+1,"")</f>
        <v/>
      </c>
      <c r="AK110">
        <f>IF($C110="","",IF(OR($AD110=TRUE(),$AD110="TRUE"),0,1))</f>
        <v/>
      </c>
      <c r="AL110">
        <f>IF($AI110=1,IFERROR(IF(VALUE($C110)&lt;100000000,VALUE($C110),1000000000),IFERROR(IF(VALUE(MID($C110,2,20))&lt;100000000,VALUE(MID($C110,2,20)),1000000000),1000000000))+ROW()/100000,"")</f>
        <v/>
      </c>
    </row>
    <row r="111">
      <c r="J111" s="7" t="n"/>
      <c r="K111" s="7" t="n"/>
      <c r="R111" s="7">
        <f>IF($C111="","",Q111*AC111/100)</f>
        <v/>
      </c>
      <c r="S111" s="11" t="n"/>
      <c r="U111" s="11" t="n"/>
      <c r="AA111" s="7" t="n"/>
      <c r="AC111" s="7" t="n"/>
      <c r="AE111">
        <f>IF($C111="","",IF($AK111=1,Settings!$C$6,Settings!$C$7)*1)</f>
        <v/>
      </c>
      <c r="AF111" s="7">
        <f>IF($C111="","",AE111*AC111)</f>
        <v/>
      </c>
      <c r="AG111" s="7">
        <f>IF($C111="","",AC111-AF111)</f>
        <v/>
      </c>
      <c r="AH111" s="7">
        <f>IF($C111="","",AG111-R111)</f>
        <v/>
      </c>
      <c r="AI111">
        <f>IF($C111="","",IF(COUNTIF($C$2:$C111,$C111)=1,1,0))</f>
        <v/>
      </c>
      <c r="AJ111">
        <f>IF($AI111=1,SUMPRODUCT(--($AL$2:$AL$1501&lt;$AL111))+1,"")</f>
        <v/>
      </c>
      <c r="AK111">
        <f>IF($C111="","",IF(OR($AD111=TRUE(),$AD111="TRUE"),0,1))</f>
        <v/>
      </c>
      <c r="AL111">
        <f>IF($AI111=1,IFERROR(IF(VALUE($C111)&lt;100000000,VALUE($C111),1000000000),IFERROR(IF(VALUE(MID($C111,2,20))&lt;100000000,VALUE(MID($C111,2,20)),1000000000),1000000000))+ROW()/100000,"")</f>
        <v/>
      </c>
    </row>
    <row r="112">
      <c r="J112" s="7" t="n"/>
      <c r="K112" s="7" t="n"/>
      <c r="R112" s="7">
        <f>IF($C112="","",Q112*AC112/100)</f>
        <v/>
      </c>
      <c r="S112" s="11" t="n"/>
      <c r="U112" s="11" t="n"/>
      <c r="AA112" s="7" t="n"/>
      <c r="AC112" s="7" t="n"/>
      <c r="AE112">
        <f>IF($C112="","",IF($AK112=1,Settings!$C$6,Settings!$C$7)*1)</f>
        <v/>
      </c>
      <c r="AF112" s="7">
        <f>IF($C112="","",AE112*AC112)</f>
        <v/>
      </c>
      <c r="AG112" s="7">
        <f>IF($C112="","",AC112-AF112)</f>
        <v/>
      </c>
      <c r="AH112" s="7">
        <f>IF($C112="","",AG112-R112)</f>
        <v/>
      </c>
      <c r="AI112">
        <f>IF($C112="","",IF(COUNTIF($C$2:$C112,$C112)=1,1,0))</f>
        <v/>
      </c>
      <c r="AJ112">
        <f>IF($AI112=1,SUMPRODUCT(--($AL$2:$AL$1501&lt;$AL112))+1,"")</f>
        <v/>
      </c>
      <c r="AK112">
        <f>IF($C112="","",IF(OR($AD112=TRUE(),$AD112="TRUE"),0,1))</f>
        <v/>
      </c>
      <c r="AL112">
        <f>IF($AI112=1,IFERROR(IF(VALUE($C112)&lt;100000000,VALUE($C112),1000000000),IFERROR(IF(VALUE(MID($C112,2,20))&lt;100000000,VALUE(MID($C112,2,20)),1000000000),1000000000))+ROW()/100000,"")</f>
        <v/>
      </c>
    </row>
    <row r="113">
      <c r="J113" s="7" t="n"/>
      <c r="K113" s="7" t="n"/>
      <c r="R113" s="7">
        <f>IF($C113="","",Q113*AC113/100)</f>
        <v/>
      </c>
      <c r="S113" s="11" t="n"/>
      <c r="U113" s="11" t="n"/>
      <c r="AA113" s="7" t="n"/>
      <c r="AC113" s="7" t="n"/>
      <c r="AE113">
        <f>IF($C113="","",IF($AK113=1,Settings!$C$6,Settings!$C$7)*1)</f>
        <v/>
      </c>
      <c r="AF113" s="7">
        <f>IF($C113="","",AE113*AC113)</f>
        <v/>
      </c>
      <c r="AG113" s="7">
        <f>IF($C113="","",AC113-AF113)</f>
        <v/>
      </c>
      <c r="AH113" s="7">
        <f>IF($C113="","",AG113-R113)</f>
        <v/>
      </c>
      <c r="AI113">
        <f>IF($C113="","",IF(COUNTIF($C$2:$C113,$C113)=1,1,0))</f>
        <v/>
      </c>
      <c r="AJ113">
        <f>IF($AI113=1,SUMPRODUCT(--($AL$2:$AL$1501&lt;$AL113))+1,"")</f>
        <v/>
      </c>
      <c r="AK113">
        <f>IF($C113="","",IF(OR($AD113=TRUE(),$AD113="TRUE"),0,1))</f>
        <v/>
      </c>
      <c r="AL113">
        <f>IF($AI113=1,IFERROR(IF(VALUE($C113)&lt;100000000,VALUE($C113),1000000000),IFERROR(IF(VALUE(MID($C113,2,20))&lt;100000000,VALUE(MID($C113,2,20)),1000000000),1000000000))+ROW()/100000,"")</f>
        <v/>
      </c>
    </row>
    <row r="114">
      <c r="J114" s="7" t="n"/>
      <c r="K114" s="7" t="n"/>
      <c r="R114" s="7">
        <f>IF($C114="","",Q114*AC114/100)</f>
        <v/>
      </c>
      <c r="S114" s="11" t="n"/>
      <c r="U114" s="11" t="n"/>
      <c r="AA114" s="7" t="n"/>
      <c r="AC114" s="7" t="n"/>
      <c r="AE114">
        <f>IF($C114="","",IF($AK114=1,Settings!$C$6,Settings!$C$7)*1)</f>
        <v/>
      </c>
      <c r="AF114" s="7">
        <f>IF($C114="","",AE114*AC114)</f>
        <v/>
      </c>
      <c r="AG114" s="7">
        <f>IF($C114="","",AC114-AF114)</f>
        <v/>
      </c>
      <c r="AH114" s="7">
        <f>IF($C114="","",AG114-R114)</f>
        <v/>
      </c>
      <c r="AI114">
        <f>IF($C114="","",IF(COUNTIF($C$2:$C114,$C114)=1,1,0))</f>
        <v/>
      </c>
      <c r="AJ114">
        <f>IF($AI114=1,SUMPRODUCT(--($AL$2:$AL$1501&lt;$AL114))+1,"")</f>
        <v/>
      </c>
      <c r="AK114">
        <f>IF($C114="","",IF(OR($AD114=TRUE(),$AD114="TRUE"),0,1))</f>
        <v/>
      </c>
      <c r="AL114">
        <f>IF($AI114=1,IFERROR(IF(VALUE($C114)&lt;100000000,VALUE($C114),1000000000),IFERROR(IF(VALUE(MID($C114,2,20))&lt;100000000,VALUE(MID($C114,2,20)),1000000000),1000000000))+ROW()/100000,"")</f>
        <v/>
      </c>
    </row>
    <row r="115">
      <c r="J115" s="7" t="n"/>
      <c r="K115" s="7" t="n"/>
      <c r="R115" s="7">
        <f>IF($C115="","",Q115*AC115/100)</f>
        <v/>
      </c>
      <c r="S115" s="11" t="n"/>
      <c r="U115" s="11" t="n"/>
      <c r="AA115" s="7" t="n"/>
      <c r="AC115" s="7" t="n"/>
      <c r="AE115">
        <f>IF($C115="","",IF($AK115=1,Settings!$C$6,Settings!$C$7)*1)</f>
        <v/>
      </c>
      <c r="AF115" s="7">
        <f>IF($C115="","",AE115*AC115)</f>
        <v/>
      </c>
      <c r="AG115" s="7">
        <f>IF($C115="","",AC115-AF115)</f>
        <v/>
      </c>
      <c r="AH115" s="7">
        <f>IF($C115="","",AG115-R115)</f>
        <v/>
      </c>
      <c r="AI115">
        <f>IF($C115="","",IF(COUNTIF($C$2:$C115,$C115)=1,1,0))</f>
        <v/>
      </c>
      <c r="AJ115">
        <f>IF($AI115=1,SUMPRODUCT(--($AL$2:$AL$1501&lt;$AL115))+1,"")</f>
        <v/>
      </c>
      <c r="AK115">
        <f>IF($C115="","",IF(OR($AD115=TRUE(),$AD115="TRUE"),0,1))</f>
        <v/>
      </c>
      <c r="AL115">
        <f>IF($AI115=1,IFERROR(IF(VALUE($C115)&lt;100000000,VALUE($C115),1000000000),IFERROR(IF(VALUE(MID($C115,2,20))&lt;100000000,VALUE(MID($C115,2,20)),1000000000),1000000000))+ROW()/100000,"")</f>
        <v/>
      </c>
    </row>
    <row r="116">
      <c r="J116" s="7" t="n"/>
      <c r="K116" s="7" t="n"/>
      <c r="R116" s="7">
        <f>IF($C116="","",Q116*AC116/100)</f>
        <v/>
      </c>
      <c r="S116" s="11" t="n"/>
      <c r="U116" s="11" t="n"/>
      <c r="AA116" s="7" t="n"/>
      <c r="AC116" s="7" t="n"/>
      <c r="AE116">
        <f>IF($C116="","",IF($AK116=1,Settings!$C$6,Settings!$C$7)*1)</f>
        <v/>
      </c>
      <c r="AF116" s="7">
        <f>IF($C116="","",AE116*AC116)</f>
        <v/>
      </c>
      <c r="AG116" s="7">
        <f>IF($C116="","",AC116-AF116)</f>
        <v/>
      </c>
      <c r="AH116" s="7">
        <f>IF($C116="","",AG116-R116)</f>
        <v/>
      </c>
      <c r="AI116">
        <f>IF($C116="","",IF(COUNTIF($C$2:$C116,$C116)=1,1,0))</f>
        <v/>
      </c>
      <c r="AJ116">
        <f>IF($AI116=1,SUMPRODUCT(--($AL$2:$AL$1501&lt;$AL116))+1,"")</f>
        <v/>
      </c>
      <c r="AK116">
        <f>IF($C116="","",IF(OR($AD116=TRUE(),$AD116="TRUE"),0,1))</f>
        <v/>
      </c>
      <c r="AL116">
        <f>IF($AI116=1,IFERROR(IF(VALUE($C116)&lt;100000000,VALUE($C116),1000000000),IFERROR(IF(VALUE(MID($C116,2,20))&lt;100000000,VALUE(MID($C116,2,20)),1000000000),1000000000))+ROW()/100000,"")</f>
        <v/>
      </c>
    </row>
    <row r="117">
      <c r="J117" s="7" t="n"/>
      <c r="K117" s="7" t="n"/>
      <c r="R117" s="7">
        <f>IF($C117="","",Q117*AC117/100)</f>
        <v/>
      </c>
      <c r="S117" s="11" t="n"/>
      <c r="U117" s="11" t="n"/>
      <c r="AA117" s="7" t="n"/>
      <c r="AC117" s="7" t="n"/>
      <c r="AE117">
        <f>IF($C117="","",IF($AK117=1,Settings!$C$6,Settings!$C$7)*1)</f>
        <v/>
      </c>
      <c r="AF117" s="7">
        <f>IF($C117="","",AE117*AC117)</f>
        <v/>
      </c>
      <c r="AG117" s="7">
        <f>IF($C117="","",AC117-AF117)</f>
        <v/>
      </c>
      <c r="AH117" s="7">
        <f>IF($C117="","",AG117-R117)</f>
        <v/>
      </c>
      <c r="AI117">
        <f>IF($C117="","",IF(COUNTIF($C$2:$C117,$C117)=1,1,0))</f>
        <v/>
      </c>
      <c r="AJ117">
        <f>IF($AI117=1,SUMPRODUCT(--($AL$2:$AL$1501&lt;$AL117))+1,"")</f>
        <v/>
      </c>
      <c r="AK117">
        <f>IF($C117="","",IF(OR($AD117=TRUE(),$AD117="TRUE"),0,1))</f>
        <v/>
      </c>
      <c r="AL117">
        <f>IF($AI117=1,IFERROR(IF(VALUE($C117)&lt;100000000,VALUE($C117),1000000000),IFERROR(IF(VALUE(MID($C117,2,20))&lt;100000000,VALUE(MID($C117,2,20)),1000000000),1000000000))+ROW()/100000,"")</f>
        <v/>
      </c>
    </row>
    <row r="118">
      <c r="J118" s="7" t="n"/>
      <c r="K118" s="7" t="n"/>
      <c r="R118" s="7">
        <f>IF($C118="","",Q118*AC118/100)</f>
        <v/>
      </c>
      <c r="S118" s="11" t="n"/>
      <c r="U118" s="11" t="n"/>
      <c r="AA118" s="7" t="n"/>
      <c r="AC118" s="7" t="n"/>
      <c r="AE118">
        <f>IF($C118="","",IF($AK118=1,Settings!$C$6,Settings!$C$7)*1)</f>
        <v/>
      </c>
      <c r="AF118" s="7">
        <f>IF($C118="","",AE118*AC118)</f>
        <v/>
      </c>
      <c r="AG118" s="7">
        <f>IF($C118="","",AC118-AF118)</f>
        <v/>
      </c>
      <c r="AH118" s="7">
        <f>IF($C118="","",AG118-R118)</f>
        <v/>
      </c>
      <c r="AI118">
        <f>IF($C118="","",IF(COUNTIF($C$2:$C118,$C118)=1,1,0))</f>
        <v/>
      </c>
      <c r="AJ118">
        <f>IF($AI118=1,SUMPRODUCT(--($AL$2:$AL$1501&lt;$AL118))+1,"")</f>
        <v/>
      </c>
      <c r="AK118">
        <f>IF($C118="","",IF(OR($AD118=TRUE(),$AD118="TRUE"),0,1))</f>
        <v/>
      </c>
      <c r="AL118">
        <f>IF($AI118=1,IFERROR(IF(VALUE($C118)&lt;100000000,VALUE($C118),1000000000),IFERROR(IF(VALUE(MID($C118,2,20))&lt;100000000,VALUE(MID($C118,2,20)),1000000000),1000000000))+ROW()/100000,"")</f>
        <v/>
      </c>
    </row>
    <row r="119">
      <c r="J119" s="7" t="n"/>
      <c r="K119" s="7" t="n"/>
      <c r="R119" s="7">
        <f>IF($C119="","",Q119*AC119/100)</f>
        <v/>
      </c>
      <c r="S119" s="11" t="n"/>
      <c r="U119" s="11" t="n"/>
      <c r="AA119" s="7" t="n"/>
      <c r="AC119" s="7" t="n"/>
      <c r="AE119">
        <f>IF($C119="","",IF($AK119=1,Settings!$C$6,Settings!$C$7)*1)</f>
        <v/>
      </c>
      <c r="AF119" s="7">
        <f>IF($C119="","",AE119*AC119)</f>
        <v/>
      </c>
      <c r="AG119" s="7">
        <f>IF($C119="","",AC119-AF119)</f>
        <v/>
      </c>
      <c r="AH119" s="7">
        <f>IF($C119="","",AG119-R119)</f>
        <v/>
      </c>
      <c r="AI119">
        <f>IF($C119="","",IF(COUNTIF($C$2:$C119,$C119)=1,1,0))</f>
        <v/>
      </c>
      <c r="AJ119">
        <f>IF($AI119=1,SUMPRODUCT(--($AL$2:$AL$1501&lt;$AL119))+1,"")</f>
        <v/>
      </c>
      <c r="AK119">
        <f>IF($C119="","",IF(OR($AD119=TRUE(),$AD119="TRUE"),0,1))</f>
        <v/>
      </c>
      <c r="AL119">
        <f>IF($AI119=1,IFERROR(IF(VALUE($C119)&lt;100000000,VALUE($C119),1000000000),IFERROR(IF(VALUE(MID($C119,2,20))&lt;100000000,VALUE(MID($C119,2,20)),1000000000),1000000000))+ROW()/100000,"")</f>
        <v/>
      </c>
    </row>
    <row r="120">
      <c r="J120" s="7" t="n"/>
      <c r="K120" s="7" t="n"/>
      <c r="R120" s="7">
        <f>IF($C120="","",Q120*AC120/100)</f>
        <v/>
      </c>
      <c r="S120" s="11" t="n"/>
      <c r="U120" s="11" t="n"/>
      <c r="AA120" s="7" t="n"/>
      <c r="AC120" s="7" t="n"/>
      <c r="AE120">
        <f>IF($C120="","",IF($AK120=1,Settings!$C$6,Settings!$C$7)*1)</f>
        <v/>
      </c>
      <c r="AF120" s="7">
        <f>IF($C120="","",AE120*AC120)</f>
        <v/>
      </c>
      <c r="AG120" s="7">
        <f>IF($C120="","",AC120-AF120)</f>
        <v/>
      </c>
      <c r="AH120" s="7">
        <f>IF($C120="","",AG120-R120)</f>
        <v/>
      </c>
      <c r="AI120">
        <f>IF($C120="","",IF(COUNTIF($C$2:$C120,$C120)=1,1,0))</f>
        <v/>
      </c>
      <c r="AJ120">
        <f>IF($AI120=1,SUMPRODUCT(--($AL$2:$AL$1501&lt;$AL120))+1,"")</f>
        <v/>
      </c>
      <c r="AK120">
        <f>IF($C120="","",IF(OR($AD120=TRUE(),$AD120="TRUE"),0,1))</f>
        <v/>
      </c>
      <c r="AL120">
        <f>IF($AI120=1,IFERROR(IF(VALUE($C120)&lt;100000000,VALUE($C120),1000000000),IFERROR(IF(VALUE(MID($C120,2,20))&lt;100000000,VALUE(MID($C120,2,20)),1000000000),1000000000))+ROW()/100000,"")</f>
        <v/>
      </c>
    </row>
    <row r="121">
      <c r="J121" s="7" t="n"/>
      <c r="K121" s="7" t="n"/>
      <c r="R121" s="7">
        <f>IF($C121="","",Q121*AC121/100)</f>
        <v/>
      </c>
      <c r="S121" s="11" t="n"/>
      <c r="U121" s="11" t="n"/>
      <c r="AA121" s="7" t="n"/>
      <c r="AC121" s="7" t="n"/>
      <c r="AE121">
        <f>IF($C121="","",IF($AK121=1,Settings!$C$6,Settings!$C$7)*1)</f>
        <v/>
      </c>
      <c r="AF121" s="7">
        <f>IF($C121="","",AE121*AC121)</f>
        <v/>
      </c>
      <c r="AG121" s="7">
        <f>IF($C121="","",AC121-AF121)</f>
        <v/>
      </c>
      <c r="AH121" s="7">
        <f>IF($C121="","",AG121-R121)</f>
        <v/>
      </c>
      <c r="AI121">
        <f>IF($C121="","",IF(COUNTIF($C$2:$C121,$C121)=1,1,0))</f>
        <v/>
      </c>
      <c r="AJ121">
        <f>IF($AI121=1,SUMPRODUCT(--($AL$2:$AL$1501&lt;$AL121))+1,"")</f>
        <v/>
      </c>
      <c r="AK121">
        <f>IF($C121="","",IF(OR($AD121=TRUE(),$AD121="TRUE"),0,1))</f>
        <v/>
      </c>
      <c r="AL121">
        <f>IF($AI121=1,IFERROR(IF(VALUE($C121)&lt;100000000,VALUE($C121),1000000000),IFERROR(IF(VALUE(MID($C121,2,20))&lt;100000000,VALUE(MID($C121,2,20)),1000000000),1000000000))+ROW()/100000,"")</f>
        <v/>
      </c>
    </row>
    <row r="122">
      <c r="J122" s="7" t="n"/>
      <c r="K122" s="7" t="n"/>
      <c r="R122" s="7">
        <f>IF($C122="","",Q122*AC122/100)</f>
        <v/>
      </c>
      <c r="S122" s="11" t="n"/>
      <c r="U122" s="11" t="n"/>
      <c r="AA122" s="7" t="n"/>
      <c r="AC122" s="7" t="n"/>
      <c r="AE122">
        <f>IF($C122="","",IF($AK122=1,Settings!$C$6,Settings!$C$7)*1)</f>
        <v/>
      </c>
      <c r="AF122" s="7">
        <f>IF($C122="","",AE122*AC122)</f>
        <v/>
      </c>
      <c r="AG122" s="7">
        <f>IF($C122="","",AC122-AF122)</f>
        <v/>
      </c>
      <c r="AH122" s="7">
        <f>IF($C122="","",AG122-R122)</f>
        <v/>
      </c>
      <c r="AI122">
        <f>IF($C122="","",IF(COUNTIF($C$2:$C122,$C122)=1,1,0))</f>
        <v/>
      </c>
      <c r="AJ122">
        <f>IF($AI122=1,SUMPRODUCT(--($AL$2:$AL$1501&lt;$AL122))+1,"")</f>
        <v/>
      </c>
      <c r="AK122">
        <f>IF($C122="","",IF(OR($AD122=TRUE(),$AD122="TRUE"),0,1))</f>
        <v/>
      </c>
      <c r="AL122">
        <f>IF($AI122=1,IFERROR(IF(VALUE($C122)&lt;100000000,VALUE($C122),1000000000),IFERROR(IF(VALUE(MID($C122,2,20))&lt;100000000,VALUE(MID($C122,2,20)),1000000000),1000000000))+ROW()/100000,"")</f>
        <v/>
      </c>
    </row>
    <row r="123">
      <c r="J123" s="7" t="n"/>
      <c r="K123" s="7" t="n"/>
      <c r="R123" s="7">
        <f>IF($C123="","",Q123*AC123/100)</f>
        <v/>
      </c>
      <c r="S123" s="11" t="n"/>
      <c r="U123" s="11" t="n"/>
      <c r="AA123" s="7" t="n"/>
      <c r="AC123" s="7" t="n"/>
      <c r="AE123">
        <f>IF($C123="","",IF($AK123=1,Settings!$C$6,Settings!$C$7)*1)</f>
        <v/>
      </c>
      <c r="AF123" s="7">
        <f>IF($C123="","",AE123*AC123)</f>
        <v/>
      </c>
      <c r="AG123" s="7">
        <f>IF($C123="","",AC123-AF123)</f>
        <v/>
      </c>
      <c r="AH123" s="7">
        <f>IF($C123="","",AG123-R123)</f>
        <v/>
      </c>
      <c r="AI123">
        <f>IF($C123="","",IF(COUNTIF($C$2:$C123,$C123)=1,1,0))</f>
        <v/>
      </c>
      <c r="AJ123">
        <f>IF($AI123=1,SUMPRODUCT(--($AL$2:$AL$1501&lt;$AL123))+1,"")</f>
        <v/>
      </c>
      <c r="AK123">
        <f>IF($C123="","",IF(OR($AD123=TRUE(),$AD123="TRUE"),0,1))</f>
        <v/>
      </c>
      <c r="AL123">
        <f>IF($AI123=1,IFERROR(IF(VALUE($C123)&lt;100000000,VALUE($C123),1000000000),IFERROR(IF(VALUE(MID($C123,2,20))&lt;100000000,VALUE(MID($C123,2,20)),1000000000),1000000000))+ROW()/100000,"")</f>
        <v/>
      </c>
    </row>
    <row r="124">
      <c r="J124" s="7" t="n"/>
      <c r="K124" s="7" t="n"/>
      <c r="R124" s="7">
        <f>IF($C124="","",Q124*AC124/100)</f>
        <v/>
      </c>
      <c r="S124" s="11" t="n"/>
      <c r="U124" s="11" t="n"/>
      <c r="AA124" s="7" t="n"/>
      <c r="AC124" s="7" t="n"/>
      <c r="AE124">
        <f>IF($C124="","",IF($AK124=1,Settings!$C$6,Settings!$C$7)*1)</f>
        <v/>
      </c>
      <c r="AF124" s="7">
        <f>IF($C124="","",AE124*AC124)</f>
        <v/>
      </c>
      <c r="AG124" s="7">
        <f>IF($C124="","",AC124-AF124)</f>
        <v/>
      </c>
      <c r="AH124" s="7">
        <f>IF($C124="","",AG124-R124)</f>
        <v/>
      </c>
      <c r="AI124">
        <f>IF($C124="","",IF(COUNTIF($C$2:$C124,$C124)=1,1,0))</f>
        <v/>
      </c>
      <c r="AJ124">
        <f>IF($AI124=1,SUMPRODUCT(--($AL$2:$AL$1501&lt;$AL124))+1,"")</f>
        <v/>
      </c>
      <c r="AK124">
        <f>IF($C124="","",IF(OR($AD124=TRUE(),$AD124="TRUE"),0,1))</f>
        <v/>
      </c>
      <c r="AL124">
        <f>IF($AI124=1,IFERROR(IF(VALUE($C124)&lt;100000000,VALUE($C124),1000000000),IFERROR(IF(VALUE(MID($C124,2,20))&lt;100000000,VALUE(MID($C124,2,20)),1000000000),1000000000))+ROW()/100000,"")</f>
        <v/>
      </c>
    </row>
    <row r="125">
      <c r="J125" s="7" t="n"/>
      <c r="K125" s="7" t="n"/>
      <c r="R125" s="7">
        <f>IF($C125="","",Q125*AC125/100)</f>
        <v/>
      </c>
      <c r="S125" s="11" t="n"/>
      <c r="U125" s="11" t="n"/>
      <c r="AA125" s="7" t="n"/>
      <c r="AC125" s="7" t="n"/>
      <c r="AE125">
        <f>IF($C125="","",IF($AK125=1,Settings!$C$6,Settings!$C$7)*1)</f>
        <v/>
      </c>
      <c r="AF125" s="7">
        <f>IF($C125="","",AE125*AC125)</f>
        <v/>
      </c>
      <c r="AG125" s="7">
        <f>IF($C125="","",AC125-AF125)</f>
        <v/>
      </c>
      <c r="AH125" s="7">
        <f>IF($C125="","",AG125-R125)</f>
        <v/>
      </c>
      <c r="AI125">
        <f>IF($C125="","",IF(COUNTIF($C$2:$C125,$C125)=1,1,0))</f>
        <v/>
      </c>
      <c r="AJ125">
        <f>IF($AI125=1,SUMPRODUCT(--($AL$2:$AL$1501&lt;$AL125))+1,"")</f>
        <v/>
      </c>
      <c r="AK125">
        <f>IF($C125="","",IF(OR($AD125=TRUE(),$AD125="TRUE"),0,1))</f>
        <v/>
      </c>
      <c r="AL125">
        <f>IF($AI125=1,IFERROR(IF(VALUE($C125)&lt;100000000,VALUE($C125),1000000000),IFERROR(IF(VALUE(MID($C125,2,20))&lt;100000000,VALUE(MID($C125,2,20)),1000000000),1000000000))+ROW()/100000,"")</f>
        <v/>
      </c>
    </row>
    <row r="126">
      <c r="J126" s="7" t="n"/>
      <c r="K126" s="7" t="n"/>
      <c r="R126" s="7">
        <f>IF($C126="","",Q126*AC126/100)</f>
        <v/>
      </c>
      <c r="S126" s="11" t="n"/>
      <c r="U126" s="11" t="n"/>
      <c r="AA126" s="7" t="n"/>
      <c r="AC126" s="7" t="n"/>
      <c r="AE126">
        <f>IF($C126="","",IF($AK126=1,Settings!$C$6,Settings!$C$7)*1)</f>
        <v/>
      </c>
      <c r="AF126" s="7">
        <f>IF($C126="","",AE126*AC126)</f>
        <v/>
      </c>
      <c r="AG126" s="7">
        <f>IF($C126="","",AC126-AF126)</f>
        <v/>
      </c>
      <c r="AH126" s="7">
        <f>IF($C126="","",AG126-R126)</f>
        <v/>
      </c>
      <c r="AI126">
        <f>IF($C126="","",IF(COUNTIF($C$2:$C126,$C126)=1,1,0))</f>
        <v/>
      </c>
      <c r="AJ126">
        <f>IF($AI126=1,SUMPRODUCT(--($AL$2:$AL$1501&lt;$AL126))+1,"")</f>
        <v/>
      </c>
      <c r="AK126">
        <f>IF($C126="","",IF(OR($AD126=TRUE(),$AD126="TRUE"),0,1))</f>
        <v/>
      </c>
      <c r="AL126">
        <f>IF($AI126=1,IFERROR(IF(VALUE($C126)&lt;100000000,VALUE($C126),1000000000),IFERROR(IF(VALUE(MID($C126,2,20))&lt;100000000,VALUE(MID($C126,2,20)),1000000000),1000000000))+ROW()/100000,"")</f>
        <v/>
      </c>
    </row>
    <row r="127">
      <c r="J127" s="7" t="n"/>
      <c r="K127" s="7" t="n"/>
      <c r="R127" s="7">
        <f>IF($C127="","",Q127*AC127/100)</f>
        <v/>
      </c>
      <c r="S127" s="11" t="n"/>
      <c r="U127" s="11" t="n"/>
      <c r="AA127" s="7" t="n"/>
      <c r="AC127" s="7" t="n"/>
      <c r="AE127">
        <f>IF($C127="","",IF($AK127=1,Settings!$C$6,Settings!$C$7)*1)</f>
        <v/>
      </c>
      <c r="AF127" s="7">
        <f>IF($C127="","",AE127*AC127)</f>
        <v/>
      </c>
      <c r="AG127" s="7">
        <f>IF($C127="","",AC127-AF127)</f>
        <v/>
      </c>
      <c r="AH127" s="7">
        <f>IF($C127="","",AG127-R127)</f>
        <v/>
      </c>
      <c r="AI127">
        <f>IF($C127="","",IF(COUNTIF($C$2:$C127,$C127)=1,1,0))</f>
        <v/>
      </c>
      <c r="AJ127">
        <f>IF($AI127=1,SUMPRODUCT(--($AL$2:$AL$1501&lt;$AL127))+1,"")</f>
        <v/>
      </c>
      <c r="AK127">
        <f>IF($C127="","",IF(OR($AD127=TRUE(),$AD127="TRUE"),0,1))</f>
        <v/>
      </c>
      <c r="AL127">
        <f>IF($AI127=1,IFERROR(IF(VALUE($C127)&lt;100000000,VALUE($C127),1000000000),IFERROR(IF(VALUE(MID($C127,2,20))&lt;100000000,VALUE(MID($C127,2,20)),1000000000),1000000000))+ROW()/100000,"")</f>
        <v/>
      </c>
    </row>
    <row r="128">
      <c r="J128" s="7" t="n"/>
      <c r="K128" s="7" t="n"/>
      <c r="R128" s="7">
        <f>IF($C128="","",Q128*AC128/100)</f>
        <v/>
      </c>
      <c r="S128" s="11" t="n"/>
      <c r="U128" s="11" t="n"/>
      <c r="AA128" s="7" t="n"/>
      <c r="AC128" s="7" t="n"/>
      <c r="AE128">
        <f>IF($C128="","",IF($AK128=1,Settings!$C$6,Settings!$C$7)*1)</f>
        <v/>
      </c>
      <c r="AF128" s="7">
        <f>IF($C128="","",AE128*AC128)</f>
        <v/>
      </c>
      <c r="AG128" s="7">
        <f>IF($C128="","",AC128-AF128)</f>
        <v/>
      </c>
      <c r="AH128" s="7">
        <f>IF($C128="","",AG128-R128)</f>
        <v/>
      </c>
      <c r="AI128">
        <f>IF($C128="","",IF(COUNTIF($C$2:$C128,$C128)=1,1,0))</f>
        <v/>
      </c>
      <c r="AJ128">
        <f>IF($AI128=1,SUMPRODUCT(--($AL$2:$AL$1501&lt;$AL128))+1,"")</f>
        <v/>
      </c>
      <c r="AK128">
        <f>IF($C128="","",IF(OR($AD128=TRUE(),$AD128="TRUE"),0,1))</f>
        <v/>
      </c>
      <c r="AL128">
        <f>IF($AI128=1,IFERROR(IF(VALUE($C128)&lt;100000000,VALUE($C128),1000000000),IFERROR(IF(VALUE(MID($C128,2,20))&lt;100000000,VALUE(MID($C128,2,20)),1000000000),1000000000))+ROW()/100000,"")</f>
        <v/>
      </c>
    </row>
    <row r="129">
      <c r="J129" s="7" t="n"/>
      <c r="K129" s="7" t="n"/>
      <c r="R129" s="7">
        <f>IF($C129="","",Q129*AC129/100)</f>
        <v/>
      </c>
      <c r="S129" s="11" t="n"/>
      <c r="U129" s="11" t="n"/>
      <c r="AA129" s="7" t="n"/>
      <c r="AC129" s="7" t="n"/>
      <c r="AE129">
        <f>IF($C129="","",IF($AK129=1,Settings!$C$6,Settings!$C$7)*1)</f>
        <v/>
      </c>
      <c r="AF129" s="7">
        <f>IF($C129="","",AE129*AC129)</f>
        <v/>
      </c>
      <c r="AG129" s="7">
        <f>IF($C129="","",AC129-AF129)</f>
        <v/>
      </c>
      <c r="AH129" s="7">
        <f>IF($C129="","",AG129-R129)</f>
        <v/>
      </c>
      <c r="AI129">
        <f>IF($C129="","",IF(COUNTIF($C$2:$C129,$C129)=1,1,0))</f>
        <v/>
      </c>
      <c r="AJ129">
        <f>IF($AI129=1,SUMPRODUCT(--($AL$2:$AL$1501&lt;$AL129))+1,"")</f>
        <v/>
      </c>
      <c r="AK129">
        <f>IF($C129="","",IF(OR($AD129=TRUE(),$AD129="TRUE"),0,1))</f>
        <v/>
      </c>
      <c r="AL129">
        <f>IF($AI129=1,IFERROR(IF(VALUE($C129)&lt;100000000,VALUE($C129),1000000000),IFERROR(IF(VALUE(MID($C129,2,20))&lt;100000000,VALUE(MID($C129,2,20)),1000000000),1000000000))+ROW()/100000,"")</f>
        <v/>
      </c>
    </row>
    <row r="130">
      <c r="J130" s="7" t="n"/>
      <c r="K130" s="7" t="n"/>
      <c r="R130" s="7">
        <f>IF($C130="","",Q130*AC130/100)</f>
        <v/>
      </c>
      <c r="S130" s="11" t="n"/>
      <c r="U130" s="11" t="n"/>
      <c r="AA130" s="7" t="n"/>
      <c r="AC130" s="7" t="n"/>
      <c r="AE130">
        <f>IF($C130="","",IF($AK130=1,Settings!$C$6,Settings!$C$7)*1)</f>
        <v/>
      </c>
      <c r="AF130" s="7">
        <f>IF($C130="","",AE130*AC130)</f>
        <v/>
      </c>
      <c r="AG130" s="7">
        <f>IF($C130="","",AC130-AF130)</f>
        <v/>
      </c>
      <c r="AH130" s="7">
        <f>IF($C130="","",AG130-R130)</f>
        <v/>
      </c>
      <c r="AI130">
        <f>IF($C130="","",IF(COUNTIF($C$2:$C130,$C130)=1,1,0))</f>
        <v/>
      </c>
      <c r="AJ130">
        <f>IF($AI130=1,SUMPRODUCT(--($AL$2:$AL$1501&lt;$AL130))+1,"")</f>
        <v/>
      </c>
      <c r="AK130">
        <f>IF($C130="","",IF(OR($AD130=TRUE(),$AD130="TRUE"),0,1))</f>
        <v/>
      </c>
      <c r="AL130">
        <f>IF($AI130=1,IFERROR(IF(VALUE($C130)&lt;100000000,VALUE($C130),1000000000),IFERROR(IF(VALUE(MID($C130,2,20))&lt;100000000,VALUE(MID($C130,2,20)),1000000000),1000000000))+ROW()/100000,"")</f>
        <v/>
      </c>
    </row>
    <row r="131">
      <c r="J131" s="7" t="n"/>
      <c r="K131" s="7" t="n"/>
      <c r="R131" s="7">
        <f>IF($C131="","",Q131*AC131/100)</f>
        <v/>
      </c>
      <c r="S131" s="11" t="n"/>
      <c r="U131" s="11" t="n"/>
      <c r="AA131" s="7" t="n"/>
      <c r="AC131" s="7" t="n"/>
      <c r="AE131">
        <f>IF($C131="","",IF($AK131=1,Settings!$C$6,Settings!$C$7)*1)</f>
        <v/>
      </c>
      <c r="AF131" s="7">
        <f>IF($C131="","",AE131*AC131)</f>
        <v/>
      </c>
      <c r="AG131" s="7">
        <f>IF($C131="","",AC131-AF131)</f>
        <v/>
      </c>
      <c r="AH131" s="7">
        <f>IF($C131="","",AG131-R131)</f>
        <v/>
      </c>
      <c r="AI131">
        <f>IF($C131="","",IF(COUNTIF($C$2:$C131,$C131)=1,1,0))</f>
        <v/>
      </c>
      <c r="AJ131">
        <f>IF($AI131=1,SUMPRODUCT(--($AL$2:$AL$1501&lt;$AL131))+1,"")</f>
        <v/>
      </c>
      <c r="AK131">
        <f>IF($C131="","",IF(OR($AD131=TRUE(),$AD131="TRUE"),0,1))</f>
        <v/>
      </c>
      <c r="AL131">
        <f>IF($AI131=1,IFERROR(IF(VALUE($C131)&lt;100000000,VALUE($C131),1000000000),IFERROR(IF(VALUE(MID($C131,2,20))&lt;100000000,VALUE(MID($C131,2,20)),1000000000),1000000000))+ROW()/100000,"")</f>
        <v/>
      </c>
    </row>
    <row r="132">
      <c r="J132" s="7" t="n"/>
      <c r="K132" s="7" t="n"/>
      <c r="R132" s="7">
        <f>IF($C132="","",Q132*AC132/100)</f>
        <v/>
      </c>
      <c r="S132" s="11" t="n"/>
      <c r="U132" s="11" t="n"/>
      <c r="AA132" s="7" t="n"/>
      <c r="AC132" s="7" t="n"/>
      <c r="AE132">
        <f>IF($C132="","",IF($AK132=1,Settings!$C$6,Settings!$C$7)*1)</f>
        <v/>
      </c>
      <c r="AF132" s="7">
        <f>IF($C132="","",AE132*AC132)</f>
        <v/>
      </c>
      <c r="AG132" s="7">
        <f>IF($C132="","",AC132-AF132)</f>
        <v/>
      </c>
      <c r="AH132" s="7">
        <f>IF($C132="","",AG132-R132)</f>
        <v/>
      </c>
      <c r="AI132">
        <f>IF($C132="","",IF(COUNTIF($C$2:$C132,$C132)=1,1,0))</f>
        <v/>
      </c>
      <c r="AJ132">
        <f>IF($AI132=1,SUMPRODUCT(--($AL$2:$AL$1501&lt;$AL132))+1,"")</f>
        <v/>
      </c>
      <c r="AK132">
        <f>IF($C132="","",IF(OR($AD132=TRUE(),$AD132="TRUE"),0,1))</f>
        <v/>
      </c>
      <c r="AL132">
        <f>IF($AI132=1,IFERROR(IF(VALUE($C132)&lt;100000000,VALUE($C132),1000000000),IFERROR(IF(VALUE(MID($C132,2,20))&lt;100000000,VALUE(MID($C132,2,20)),1000000000),1000000000))+ROW()/100000,"")</f>
        <v/>
      </c>
    </row>
    <row r="133">
      <c r="J133" s="7" t="n"/>
      <c r="K133" s="7" t="n"/>
      <c r="R133" s="7">
        <f>IF($C133="","",Q133*AC133/100)</f>
        <v/>
      </c>
      <c r="S133" s="11" t="n"/>
      <c r="U133" s="11" t="n"/>
      <c r="AA133" s="7" t="n"/>
      <c r="AC133" s="7" t="n"/>
      <c r="AE133">
        <f>IF($C133="","",IF($AK133=1,Settings!$C$6,Settings!$C$7)*1)</f>
        <v/>
      </c>
      <c r="AF133" s="7">
        <f>IF($C133="","",AE133*AC133)</f>
        <v/>
      </c>
      <c r="AG133" s="7">
        <f>IF($C133="","",AC133-AF133)</f>
        <v/>
      </c>
      <c r="AH133" s="7">
        <f>IF($C133="","",AG133-R133)</f>
        <v/>
      </c>
      <c r="AI133">
        <f>IF($C133="","",IF(COUNTIF($C$2:$C133,$C133)=1,1,0))</f>
        <v/>
      </c>
      <c r="AJ133">
        <f>IF($AI133=1,SUMPRODUCT(--($AL$2:$AL$1501&lt;$AL133))+1,"")</f>
        <v/>
      </c>
      <c r="AK133">
        <f>IF($C133="","",IF(OR($AD133=TRUE(),$AD133="TRUE"),0,1))</f>
        <v/>
      </c>
      <c r="AL133">
        <f>IF($AI133=1,IFERROR(IF(VALUE($C133)&lt;100000000,VALUE($C133),1000000000),IFERROR(IF(VALUE(MID($C133,2,20))&lt;100000000,VALUE(MID($C133,2,20)),1000000000),1000000000))+ROW()/100000,"")</f>
        <v/>
      </c>
    </row>
    <row r="134">
      <c r="J134" s="7" t="n"/>
      <c r="K134" s="7" t="n"/>
      <c r="R134" s="7">
        <f>IF($C134="","",Q134*AC134/100)</f>
        <v/>
      </c>
      <c r="S134" s="11" t="n"/>
      <c r="U134" s="11" t="n"/>
      <c r="AA134" s="7" t="n"/>
      <c r="AC134" s="7" t="n"/>
      <c r="AE134">
        <f>IF($C134="","",IF($AK134=1,Settings!$C$6,Settings!$C$7)*1)</f>
        <v/>
      </c>
      <c r="AF134" s="7">
        <f>IF($C134="","",AE134*AC134)</f>
        <v/>
      </c>
      <c r="AG134" s="7">
        <f>IF($C134="","",AC134-AF134)</f>
        <v/>
      </c>
      <c r="AH134" s="7">
        <f>IF($C134="","",AG134-R134)</f>
        <v/>
      </c>
      <c r="AI134">
        <f>IF($C134="","",IF(COUNTIF($C$2:$C134,$C134)=1,1,0))</f>
        <v/>
      </c>
      <c r="AJ134">
        <f>IF($AI134=1,SUMPRODUCT(--($AL$2:$AL$1501&lt;$AL134))+1,"")</f>
        <v/>
      </c>
      <c r="AK134">
        <f>IF($C134="","",IF(OR($AD134=TRUE(),$AD134="TRUE"),0,1))</f>
        <v/>
      </c>
      <c r="AL134">
        <f>IF($AI134=1,IFERROR(IF(VALUE($C134)&lt;100000000,VALUE($C134),1000000000),IFERROR(IF(VALUE(MID($C134,2,20))&lt;100000000,VALUE(MID($C134,2,20)),1000000000),1000000000))+ROW()/100000,"")</f>
        <v/>
      </c>
    </row>
    <row r="135">
      <c r="J135" s="7" t="n"/>
      <c r="K135" s="7" t="n"/>
      <c r="R135" s="7">
        <f>IF($C135="","",Q135*AC135/100)</f>
        <v/>
      </c>
      <c r="S135" s="11" t="n"/>
      <c r="U135" s="11" t="n"/>
      <c r="AA135" s="7" t="n"/>
      <c r="AC135" s="7" t="n"/>
      <c r="AE135">
        <f>IF($C135="","",IF($AK135=1,Settings!$C$6,Settings!$C$7)*1)</f>
        <v/>
      </c>
      <c r="AF135" s="7">
        <f>IF($C135="","",AE135*AC135)</f>
        <v/>
      </c>
      <c r="AG135" s="7">
        <f>IF($C135="","",AC135-AF135)</f>
        <v/>
      </c>
      <c r="AH135" s="7">
        <f>IF($C135="","",AG135-R135)</f>
        <v/>
      </c>
      <c r="AI135">
        <f>IF($C135="","",IF(COUNTIF($C$2:$C135,$C135)=1,1,0))</f>
        <v/>
      </c>
      <c r="AJ135">
        <f>IF($AI135=1,SUMPRODUCT(--($AL$2:$AL$1501&lt;$AL135))+1,"")</f>
        <v/>
      </c>
      <c r="AK135">
        <f>IF($C135="","",IF(OR($AD135=TRUE(),$AD135="TRUE"),0,1))</f>
        <v/>
      </c>
      <c r="AL135">
        <f>IF($AI135=1,IFERROR(IF(VALUE($C135)&lt;100000000,VALUE($C135),1000000000),IFERROR(IF(VALUE(MID($C135,2,20))&lt;100000000,VALUE(MID($C135,2,20)),1000000000),1000000000))+ROW()/100000,"")</f>
        <v/>
      </c>
    </row>
    <row r="136">
      <c r="J136" s="7" t="n"/>
      <c r="K136" s="7" t="n"/>
      <c r="R136" s="7">
        <f>IF($C136="","",Q136*AC136/100)</f>
        <v/>
      </c>
      <c r="S136" s="11" t="n"/>
      <c r="U136" s="11" t="n"/>
      <c r="AA136" s="7" t="n"/>
      <c r="AC136" s="7" t="n"/>
      <c r="AE136">
        <f>IF($C136="","",IF($AK136=1,Settings!$C$6,Settings!$C$7)*1)</f>
        <v/>
      </c>
      <c r="AF136" s="7">
        <f>IF($C136="","",AE136*AC136)</f>
        <v/>
      </c>
      <c r="AG136" s="7">
        <f>IF($C136="","",AC136-AF136)</f>
        <v/>
      </c>
      <c r="AH136" s="7">
        <f>IF($C136="","",AG136-R136)</f>
        <v/>
      </c>
      <c r="AI136">
        <f>IF($C136="","",IF(COUNTIF($C$2:$C136,$C136)=1,1,0))</f>
        <v/>
      </c>
      <c r="AJ136">
        <f>IF($AI136=1,SUMPRODUCT(--($AL$2:$AL$1501&lt;$AL136))+1,"")</f>
        <v/>
      </c>
      <c r="AK136">
        <f>IF($C136="","",IF(OR($AD136=TRUE(),$AD136="TRUE"),0,1))</f>
        <v/>
      </c>
      <c r="AL136">
        <f>IF($AI136=1,IFERROR(IF(VALUE($C136)&lt;100000000,VALUE($C136),1000000000),IFERROR(IF(VALUE(MID($C136,2,20))&lt;100000000,VALUE(MID($C136,2,20)),1000000000),1000000000))+ROW()/100000,"")</f>
        <v/>
      </c>
    </row>
    <row r="137">
      <c r="J137" s="7" t="n"/>
      <c r="K137" s="7" t="n"/>
      <c r="R137" s="7">
        <f>IF($C137="","",Q137*AC137/100)</f>
        <v/>
      </c>
      <c r="S137" s="11" t="n"/>
      <c r="U137" s="11" t="n"/>
      <c r="AA137" s="7" t="n"/>
      <c r="AC137" s="7" t="n"/>
      <c r="AE137">
        <f>IF($C137="","",IF($AK137=1,Settings!$C$6,Settings!$C$7)*1)</f>
        <v/>
      </c>
      <c r="AF137" s="7">
        <f>IF($C137="","",AE137*AC137)</f>
        <v/>
      </c>
      <c r="AG137" s="7">
        <f>IF($C137="","",AC137-AF137)</f>
        <v/>
      </c>
      <c r="AH137" s="7">
        <f>IF($C137="","",AG137-R137)</f>
        <v/>
      </c>
      <c r="AI137">
        <f>IF($C137="","",IF(COUNTIF($C$2:$C137,$C137)=1,1,0))</f>
        <v/>
      </c>
      <c r="AJ137">
        <f>IF($AI137=1,SUMPRODUCT(--($AL$2:$AL$1501&lt;$AL137))+1,"")</f>
        <v/>
      </c>
      <c r="AK137">
        <f>IF($C137="","",IF(OR($AD137=TRUE(),$AD137="TRUE"),0,1))</f>
        <v/>
      </c>
      <c r="AL137">
        <f>IF($AI137=1,IFERROR(IF(VALUE($C137)&lt;100000000,VALUE($C137),1000000000),IFERROR(IF(VALUE(MID($C137,2,20))&lt;100000000,VALUE(MID($C137,2,20)),1000000000),1000000000))+ROW()/100000,"")</f>
        <v/>
      </c>
    </row>
    <row r="138">
      <c r="J138" s="7" t="n"/>
      <c r="K138" s="7" t="n"/>
      <c r="R138" s="7">
        <f>IF($C138="","",Q138*AC138/100)</f>
        <v/>
      </c>
      <c r="S138" s="11" t="n"/>
      <c r="U138" s="11" t="n"/>
      <c r="AA138" s="7" t="n"/>
      <c r="AC138" s="7" t="n"/>
      <c r="AE138">
        <f>IF($C138="","",IF($AK138=1,Settings!$C$6,Settings!$C$7)*1)</f>
        <v/>
      </c>
      <c r="AF138" s="7">
        <f>IF($C138="","",AE138*AC138)</f>
        <v/>
      </c>
      <c r="AG138" s="7">
        <f>IF($C138="","",AC138-AF138)</f>
        <v/>
      </c>
      <c r="AH138" s="7">
        <f>IF($C138="","",AG138-R138)</f>
        <v/>
      </c>
      <c r="AI138">
        <f>IF($C138="","",IF(COUNTIF($C$2:$C138,$C138)=1,1,0))</f>
        <v/>
      </c>
      <c r="AJ138">
        <f>IF($AI138=1,SUMPRODUCT(--($AL$2:$AL$1501&lt;$AL138))+1,"")</f>
        <v/>
      </c>
      <c r="AK138">
        <f>IF($C138="","",IF(OR($AD138=TRUE(),$AD138="TRUE"),0,1))</f>
        <v/>
      </c>
      <c r="AL138">
        <f>IF($AI138=1,IFERROR(IF(VALUE($C138)&lt;100000000,VALUE($C138),1000000000),IFERROR(IF(VALUE(MID($C138,2,20))&lt;100000000,VALUE(MID($C138,2,20)),1000000000),1000000000))+ROW()/100000,"")</f>
        <v/>
      </c>
    </row>
    <row r="139">
      <c r="J139" s="7" t="n"/>
      <c r="K139" s="7" t="n"/>
      <c r="R139" s="7">
        <f>IF($C139="","",Q139*AC139/100)</f>
        <v/>
      </c>
      <c r="S139" s="11" t="n"/>
      <c r="U139" s="11" t="n"/>
      <c r="AA139" s="7" t="n"/>
      <c r="AC139" s="7" t="n"/>
      <c r="AE139">
        <f>IF($C139="","",IF($AK139=1,Settings!$C$6,Settings!$C$7)*1)</f>
        <v/>
      </c>
      <c r="AF139" s="7">
        <f>IF($C139="","",AE139*AC139)</f>
        <v/>
      </c>
      <c r="AG139" s="7">
        <f>IF($C139="","",AC139-AF139)</f>
        <v/>
      </c>
      <c r="AH139" s="7">
        <f>IF($C139="","",AG139-R139)</f>
        <v/>
      </c>
      <c r="AI139">
        <f>IF($C139="","",IF(COUNTIF($C$2:$C139,$C139)=1,1,0))</f>
        <v/>
      </c>
      <c r="AJ139">
        <f>IF($AI139=1,SUMPRODUCT(--($AL$2:$AL$1501&lt;$AL139))+1,"")</f>
        <v/>
      </c>
      <c r="AK139">
        <f>IF($C139="","",IF(OR($AD139=TRUE(),$AD139="TRUE"),0,1))</f>
        <v/>
      </c>
      <c r="AL139">
        <f>IF($AI139=1,IFERROR(IF(VALUE($C139)&lt;100000000,VALUE($C139),1000000000),IFERROR(IF(VALUE(MID($C139,2,20))&lt;100000000,VALUE(MID($C139,2,20)),1000000000),1000000000))+ROW()/100000,"")</f>
        <v/>
      </c>
    </row>
    <row r="140">
      <c r="J140" s="7" t="n"/>
      <c r="K140" s="7" t="n"/>
      <c r="R140" s="7">
        <f>IF($C140="","",Q140*AC140/100)</f>
        <v/>
      </c>
      <c r="S140" s="11" t="n"/>
      <c r="U140" s="11" t="n"/>
      <c r="AA140" s="7" t="n"/>
      <c r="AC140" s="7" t="n"/>
      <c r="AE140">
        <f>IF($C140="","",IF($AK140=1,Settings!$C$6,Settings!$C$7)*1)</f>
        <v/>
      </c>
      <c r="AF140" s="7">
        <f>IF($C140="","",AE140*AC140)</f>
        <v/>
      </c>
      <c r="AG140" s="7">
        <f>IF($C140="","",AC140-AF140)</f>
        <v/>
      </c>
      <c r="AH140" s="7">
        <f>IF($C140="","",AG140-R140)</f>
        <v/>
      </c>
      <c r="AI140">
        <f>IF($C140="","",IF(COUNTIF($C$2:$C140,$C140)=1,1,0))</f>
        <v/>
      </c>
      <c r="AJ140">
        <f>IF($AI140=1,SUMPRODUCT(--($AL$2:$AL$1501&lt;$AL140))+1,"")</f>
        <v/>
      </c>
      <c r="AK140">
        <f>IF($C140="","",IF(OR($AD140=TRUE(),$AD140="TRUE"),0,1))</f>
        <v/>
      </c>
      <c r="AL140">
        <f>IF($AI140=1,IFERROR(IF(VALUE($C140)&lt;100000000,VALUE($C140),1000000000),IFERROR(IF(VALUE(MID($C140,2,20))&lt;100000000,VALUE(MID($C140,2,20)),1000000000),1000000000))+ROW()/100000,"")</f>
        <v/>
      </c>
    </row>
    <row r="141">
      <c r="J141" s="7" t="n"/>
      <c r="K141" s="7" t="n"/>
      <c r="R141" s="7">
        <f>IF($C141="","",Q141*AC141/100)</f>
        <v/>
      </c>
      <c r="S141" s="11" t="n"/>
      <c r="U141" s="11" t="n"/>
      <c r="AA141" s="7" t="n"/>
      <c r="AC141" s="7" t="n"/>
      <c r="AE141">
        <f>IF($C141="","",IF($AK141=1,Settings!$C$6,Settings!$C$7)*1)</f>
        <v/>
      </c>
      <c r="AF141" s="7">
        <f>IF($C141="","",AE141*AC141)</f>
        <v/>
      </c>
      <c r="AG141" s="7">
        <f>IF($C141="","",AC141-AF141)</f>
        <v/>
      </c>
      <c r="AH141" s="7">
        <f>IF($C141="","",AG141-R141)</f>
        <v/>
      </c>
      <c r="AI141">
        <f>IF($C141="","",IF(COUNTIF($C$2:$C141,$C141)=1,1,0))</f>
        <v/>
      </c>
      <c r="AJ141">
        <f>IF($AI141=1,SUMPRODUCT(--($AL$2:$AL$1501&lt;$AL141))+1,"")</f>
        <v/>
      </c>
      <c r="AK141">
        <f>IF($C141="","",IF(OR($AD141=TRUE(),$AD141="TRUE"),0,1))</f>
        <v/>
      </c>
      <c r="AL141">
        <f>IF($AI141=1,IFERROR(IF(VALUE($C141)&lt;100000000,VALUE($C141),1000000000),IFERROR(IF(VALUE(MID($C141,2,20))&lt;100000000,VALUE(MID($C141,2,20)),1000000000),1000000000))+ROW()/100000,"")</f>
        <v/>
      </c>
    </row>
    <row r="142">
      <c r="J142" s="7" t="n"/>
      <c r="K142" s="7" t="n"/>
      <c r="R142" s="7">
        <f>IF($C142="","",Q142*AC142/100)</f>
        <v/>
      </c>
      <c r="S142" s="11" t="n"/>
      <c r="U142" s="11" t="n"/>
      <c r="AA142" s="7" t="n"/>
      <c r="AC142" s="7" t="n"/>
      <c r="AE142">
        <f>IF($C142="","",IF($AK142=1,Settings!$C$6,Settings!$C$7)*1)</f>
        <v/>
      </c>
      <c r="AF142" s="7">
        <f>IF($C142="","",AE142*AC142)</f>
        <v/>
      </c>
      <c r="AG142" s="7">
        <f>IF($C142="","",AC142-AF142)</f>
        <v/>
      </c>
      <c r="AH142" s="7">
        <f>IF($C142="","",AG142-R142)</f>
        <v/>
      </c>
      <c r="AI142">
        <f>IF($C142="","",IF(COUNTIF($C$2:$C142,$C142)=1,1,0))</f>
        <v/>
      </c>
      <c r="AJ142">
        <f>IF($AI142=1,SUMPRODUCT(--($AL$2:$AL$1501&lt;$AL142))+1,"")</f>
        <v/>
      </c>
      <c r="AK142">
        <f>IF($C142="","",IF(OR($AD142=TRUE(),$AD142="TRUE"),0,1))</f>
        <v/>
      </c>
      <c r="AL142">
        <f>IF($AI142=1,IFERROR(IF(VALUE($C142)&lt;100000000,VALUE($C142),1000000000),IFERROR(IF(VALUE(MID($C142,2,20))&lt;100000000,VALUE(MID($C142,2,20)),1000000000),1000000000))+ROW()/100000,"")</f>
        <v/>
      </c>
    </row>
    <row r="143">
      <c r="J143" s="7" t="n"/>
      <c r="K143" s="7" t="n"/>
      <c r="R143" s="7">
        <f>IF($C143="","",Q143*AC143/100)</f>
        <v/>
      </c>
      <c r="S143" s="11" t="n"/>
      <c r="U143" s="11" t="n"/>
      <c r="AA143" s="7" t="n"/>
      <c r="AC143" s="7" t="n"/>
      <c r="AE143">
        <f>IF($C143="","",IF($AK143=1,Settings!$C$6,Settings!$C$7)*1)</f>
        <v/>
      </c>
      <c r="AF143" s="7">
        <f>IF($C143="","",AE143*AC143)</f>
        <v/>
      </c>
      <c r="AG143" s="7">
        <f>IF($C143="","",AC143-AF143)</f>
        <v/>
      </c>
      <c r="AH143" s="7">
        <f>IF($C143="","",AG143-R143)</f>
        <v/>
      </c>
      <c r="AI143">
        <f>IF($C143="","",IF(COUNTIF($C$2:$C143,$C143)=1,1,0))</f>
        <v/>
      </c>
      <c r="AJ143">
        <f>IF($AI143=1,SUMPRODUCT(--($AL$2:$AL$1501&lt;$AL143))+1,"")</f>
        <v/>
      </c>
      <c r="AK143">
        <f>IF($C143="","",IF(OR($AD143=TRUE(),$AD143="TRUE"),0,1))</f>
        <v/>
      </c>
      <c r="AL143">
        <f>IF($AI143=1,IFERROR(IF(VALUE($C143)&lt;100000000,VALUE($C143),1000000000),IFERROR(IF(VALUE(MID($C143,2,20))&lt;100000000,VALUE(MID($C143,2,20)),1000000000),1000000000))+ROW()/100000,"")</f>
        <v/>
      </c>
    </row>
    <row r="144">
      <c r="J144" s="7" t="n"/>
      <c r="K144" s="7" t="n"/>
      <c r="R144" s="7">
        <f>IF($C144="","",Q144*AC144/100)</f>
        <v/>
      </c>
      <c r="S144" s="11" t="n"/>
      <c r="U144" s="11" t="n"/>
      <c r="AA144" s="7" t="n"/>
      <c r="AC144" s="7" t="n"/>
      <c r="AE144">
        <f>IF($C144="","",IF($AK144=1,Settings!$C$6,Settings!$C$7)*1)</f>
        <v/>
      </c>
      <c r="AF144" s="7">
        <f>IF($C144="","",AE144*AC144)</f>
        <v/>
      </c>
      <c r="AG144" s="7">
        <f>IF($C144="","",AC144-AF144)</f>
        <v/>
      </c>
      <c r="AH144" s="7">
        <f>IF($C144="","",AG144-R144)</f>
        <v/>
      </c>
      <c r="AI144">
        <f>IF($C144="","",IF(COUNTIF($C$2:$C144,$C144)=1,1,0))</f>
        <v/>
      </c>
      <c r="AJ144">
        <f>IF($AI144=1,SUMPRODUCT(--($AL$2:$AL$1501&lt;$AL144))+1,"")</f>
        <v/>
      </c>
      <c r="AK144">
        <f>IF($C144="","",IF(OR($AD144=TRUE(),$AD144="TRUE"),0,1))</f>
        <v/>
      </c>
      <c r="AL144">
        <f>IF($AI144=1,IFERROR(IF(VALUE($C144)&lt;100000000,VALUE($C144),1000000000),IFERROR(IF(VALUE(MID($C144,2,20))&lt;100000000,VALUE(MID($C144,2,20)),1000000000),1000000000))+ROW()/100000,"")</f>
        <v/>
      </c>
    </row>
    <row r="145">
      <c r="J145" s="7" t="n"/>
      <c r="K145" s="7" t="n"/>
      <c r="R145" s="7">
        <f>IF($C145="","",Q145*AC145/100)</f>
        <v/>
      </c>
      <c r="S145" s="11" t="n"/>
      <c r="U145" s="11" t="n"/>
      <c r="AA145" s="7" t="n"/>
      <c r="AC145" s="7" t="n"/>
      <c r="AE145">
        <f>IF($C145="","",IF($AK145=1,Settings!$C$6,Settings!$C$7)*1)</f>
        <v/>
      </c>
      <c r="AF145" s="7">
        <f>IF($C145="","",AE145*AC145)</f>
        <v/>
      </c>
      <c r="AG145" s="7">
        <f>IF($C145="","",AC145-AF145)</f>
        <v/>
      </c>
      <c r="AH145" s="7">
        <f>IF($C145="","",AG145-R145)</f>
        <v/>
      </c>
      <c r="AI145">
        <f>IF($C145="","",IF(COUNTIF($C$2:$C145,$C145)=1,1,0))</f>
        <v/>
      </c>
      <c r="AJ145">
        <f>IF($AI145=1,SUMPRODUCT(--($AL$2:$AL$1501&lt;$AL145))+1,"")</f>
        <v/>
      </c>
      <c r="AK145">
        <f>IF($C145="","",IF(OR($AD145=TRUE(),$AD145="TRUE"),0,1))</f>
        <v/>
      </c>
      <c r="AL145">
        <f>IF($AI145=1,IFERROR(IF(VALUE($C145)&lt;100000000,VALUE($C145),1000000000),IFERROR(IF(VALUE(MID($C145,2,20))&lt;100000000,VALUE(MID($C145,2,20)),1000000000),1000000000))+ROW()/100000,"")</f>
        <v/>
      </c>
    </row>
    <row r="146">
      <c r="J146" s="7" t="n"/>
      <c r="K146" s="7" t="n"/>
      <c r="R146" s="7">
        <f>IF($C146="","",Q146*AC146/100)</f>
        <v/>
      </c>
      <c r="S146" s="11" t="n"/>
      <c r="U146" s="11" t="n"/>
      <c r="AA146" s="7" t="n"/>
      <c r="AC146" s="7" t="n"/>
      <c r="AE146">
        <f>IF($C146="","",IF($AK146=1,Settings!$C$6,Settings!$C$7)*1)</f>
        <v/>
      </c>
      <c r="AF146" s="7">
        <f>IF($C146="","",AE146*AC146)</f>
        <v/>
      </c>
      <c r="AG146" s="7">
        <f>IF($C146="","",AC146-AF146)</f>
        <v/>
      </c>
      <c r="AH146" s="7">
        <f>IF($C146="","",AG146-R146)</f>
        <v/>
      </c>
      <c r="AI146">
        <f>IF($C146="","",IF(COUNTIF($C$2:$C146,$C146)=1,1,0))</f>
        <v/>
      </c>
      <c r="AJ146">
        <f>IF($AI146=1,SUMPRODUCT(--($AL$2:$AL$1501&lt;$AL146))+1,"")</f>
        <v/>
      </c>
      <c r="AK146">
        <f>IF($C146="","",IF(OR($AD146=TRUE(),$AD146="TRUE"),0,1))</f>
        <v/>
      </c>
      <c r="AL146">
        <f>IF($AI146=1,IFERROR(IF(VALUE($C146)&lt;100000000,VALUE($C146),1000000000),IFERROR(IF(VALUE(MID($C146,2,20))&lt;100000000,VALUE(MID($C146,2,20)),1000000000),1000000000))+ROW()/100000,"")</f>
        <v/>
      </c>
    </row>
    <row r="147">
      <c r="J147" s="7" t="n"/>
      <c r="K147" s="7" t="n"/>
      <c r="R147" s="7">
        <f>IF($C147="","",Q147*AC147/100)</f>
        <v/>
      </c>
      <c r="S147" s="11" t="n"/>
      <c r="U147" s="11" t="n"/>
      <c r="AA147" s="7" t="n"/>
      <c r="AC147" s="7" t="n"/>
      <c r="AE147">
        <f>IF($C147="","",IF($AK147=1,Settings!$C$6,Settings!$C$7)*1)</f>
        <v/>
      </c>
      <c r="AF147" s="7">
        <f>IF($C147="","",AE147*AC147)</f>
        <v/>
      </c>
      <c r="AG147" s="7">
        <f>IF($C147="","",AC147-AF147)</f>
        <v/>
      </c>
      <c r="AH147" s="7">
        <f>IF($C147="","",AG147-R147)</f>
        <v/>
      </c>
      <c r="AI147">
        <f>IF($C147="","",IF(COUNTIF($C$2:$C147,$C147)=1,1,0))</f>
        <v/>
      </c>
      <c r="AJ147">
        <f>IF($AI147=1,SUMPRODUCT(--($AL$2:$AL$1501&lt;$AL147))+1,"")</f>
        <v/>
      </c>
      <c r="AK147">
        <f>IF($C147="","",IF(OR($AD147=TRUE(),$AD147="TRUE"),0,1))</f>
        <v/>
      </c>
      <c r="AL147">
        <f>IF($AI147=1,IFERROR(IF(VALUE($C147)&lt;100000000,VALUE($C147),1000000000),IFERROR(IF(VALUE(MID($C147,2,20))&lt;100000000,VALUE(MID($C147,2,20)),1000000000),1000000000))+ROW()/100000,"")</f>
        <v/>
      </c>
    </row>
    <row r="148">
      <c r="J148" s="7" t="n"/>
      <c r="K148" s="7" t="n"/>
      <c r="R148" s="7">
        <f>IF($C148="","",Q148*AC148/100)</f>
        <v/>
      </c>
      <c r="S148" s="11" t="n"/>
      <c r="U148" s="11" t="n"/>
      <c r="AA148" s="7" t="n"/>
      <c r="AC148" s="7" t="n"/>
      <c r="AE148">
        <f>IF($C148="","",IF($AK148=1,Settings!$C$6,Settings!$C$7)*1)</f>
        <v/>
      </c>
      <c r="AF148" s="7">
        <f>IF($C148="","",AE148*AC148)</f>
        <v/>
      </c>
      <c r="AG148" s="7">
        <f>IF($C148="","",AC148-AF148)</f>
        <v/>
      </c>
      <c r="AH148" s="7">
        <f>IF($C148="","",AG148-R148)</f>
        <v/>
      </c>
      <c r="AI148">
        <f>IF($C148="","",IF(COUNTIF($C$2:$C148,$C148)=1,1,0))</f>
        <v/>
      </c>
      <c r="AJ148">
        <f>IF($AI148=1,SUMPRODUCT(--($AL$2:$AL$1501&lt;$AL148))+1,"")</f>
        <v/>
      </c>
      <c r="AK148">
        <f>IF($C148="","",IF(OR($AD148=TRUE(),$AD148="TRUE"),0,1))</f>
        <v/>
      </c>
      <c r="AL148">
        <f>IF($AI148=1,IFERROR(IF(VALUE($C148)&lt;100000000,VALUE($C148),1000000000),IFERROR(IF(VALUE(MID($C148,2,20))&lt;100000000,VALUE(MID($C148,2,20)),1000000000),1000000000))+ROW()/100000,"")</f>
        <v/>
      </c>
    </row>
    <row r="149">
      <c r="J149" s="7" t="n"/>
      <c r="K149" s="7" t="n"/>
      <c r="R149" s="7">
        <f>IF($C149="","",Q149*AC149/100)</f>
        <v/>
      </c>
      <c r="S149" s="11" t="n"/>
      <c r="U149" s="11" t="n"/>
      <c r="AA149" s="7" t="n"/>
      <c r="AC149" s="7" t="n"/>
      <c r="AE149">
        <f>IF($C149="","",IF($AK149=1,Settings!$C$6,Settings!$C$7)*1)</f>
        <v/>
      </c>
      <c r="AF149" s="7">
        <f>IF($C149="","",AE149*AC149)</f>
        <v/>
      </c>
      <c r="AG149" s="7">
        <f>IF($C149="","",AC149-AF149)</f>
        <v/>
      </c>
      <c r="AH149" s="7">
        <f>IF($C149="","",AG149-R149)</f>
        <v/>
      </c>
      <c r="AI149">
        <f>IF($C149="","",IF(COUNTIF($C$2:$C149,$C149)=1,1,0))</f>
        <v/>
      </c>
      <c r="AJ149">
        <f>IF($AI149=1,SUMPRODUCT(--($AL$2:$AL$1501&lt;$AL149))+1,"")</f>
        <v/>
      </c>
      <c r="AK149">
        <f>IF($C149="","",IF(OR($AD149=TRUE(),$AD149="TRUE"),0,1))</f>
        <v/>
      </c>
      <c r="AL149">
        <f>IF($AI149=1,IFERROR(IF(VALUE($C149)&lt;100000000,VALUE($C149),1000000000),IFERROR(IF(VALUE(MID($C149,2,20))&lt;100000000,VALUE(MID($C149,2,20)),1000000000),1000000000))+ROW()/100000,"")</f>
        <v/>
      </c>
    </row>
    <row r="150">
      <c r="J150" s="7" t="n"/>
      <c r="K150" s="7" t="n"/>
      <c r="R150" s="7">
        <f>IF($C150="","",Q150*AC150/100)</f>
        <v/>
      </c>
      <c r="S150" s="11" t="n"/>
      <c r="U150" s="11" t="n"/>
      <c r="AA150" s="7" t="n"/>
      <c r="AC150" s="7" t="n"/>
      <c r="AE150">
        <f>IF($C150="","",IF($AK150=1,Settings!$C$6,Settings!$C$7)*1)</f>
        <v/>
      </c>
      <c r="AF150" s="7">
        <f>IF($C150="","",AE150*AC150)</f>
        <v/>
      </c>
      <c r="AG150" s="7">
        <f>IF($C150="","",AC150-AF150)</f>
        <v/>
      </c>
      <c r="AH150" s="7">
        <f>IF($C150="","",AG150-R150)</f>
        <v/>
      </c>
      <c r="AI150">
        <f>IF($C150="","",IF(COUNTIF($C$2:$C150,$C150)=1,1,0))</f>
        <v/>
      </c>
      <c r="AJ150">
        <f>IF($AI150=1,SUMPRODUCT(--($AL$2:$AL$1501&lt;$AL150))+1,"")</f>
        <v/>
      </c>
      <c r="AK150">
        <f>IF($C150="","",IF(OR($AD150=TRUE(),$AD150="TRUE"),0,1))</f>
        <v/>
      </c>
      <c r="AL150">
        <f>IF($AI150=1,IFERROR(IF(VALUE($C150)&lt;100000000,VALUE($C150),1000000000),IFERROR(IF(VALUE(MID($C150,2,20))&lt;100000000,VALUE(MID($C150,2,20)),1000000000),1000000000))+ROW()/100000,"")</f>
        <v/>
      </c>
    </row>
    <row r="151">
      <c r="J151" s="7" t="n"/>
      <c r="K151" s="7" t="n"/>
      <c r="R151" s="7">
        <f>IF($C151="","",Q151*AC151/100)</f>
        <v/>
      </c>
      <c r="S151" s="11" t="n"/>
      <c r="U151" s="11" t="n"/>
      <c r="AA151" s="7" t="n"/>
      <c r="AC151" s="7" t="n"/>
      <c r="AE151">
        <f>IF($C151="","",IF($AK151=1,Settings!$C$6,Settings!$C$7)*1)</f>
        <v/>
      </c>
      <c r="AF151" s="7">
        <f>IF($C151="","",AE151*AC151)</f>
        <v/>
      </c>
      <c r="AG151" s="7">
        <f>IF($C151="","",AC151-AF151)</f>
        <v/>
      </c>
      <c r="AH151" s="7">
        <f>IF($C151="","",AG151-R151)</f>
        <v/>
      </c>
      <c r="AI151">
        <f>IF($C151="","",IF(COUNTIF($C$2:$C151,$C151)=1,1,0))</f>
        <v/>
      </c>
      <c r="AJ151">
        <f>IF($AI151=1,SUMPRODUCT(--($AL$2:$AL$1501&lt;$AL151))+1,"")</f>
        <v/>
      </c>
      <c r="AK151">
        <f>IF($C151="","",IF(OR($AD151=TRUE(),$AD151="TRUE"),0,1))</f>
        <v/>
      </c>
      <c r="AL151">
        <f>IF($AI151=1,IFERROR(IF(VALUE($C151)&lt;100000000,VALUE($C151),1000000000),IFERROR(IF(VALUE(MID($C151,2,20))&lt;100000000,VALUE(MID($C151,2,20)),1000000000),1000000000))+ROW()/100000,"")</f>
        <v/>
      </c>
    </row>
    <row r="152">
      <c r="J152" s="7" t="n"/>
      <c r="K152" s="7" t="n"/>
      <c r="R152" s="7">
        <f>IF($C152="","",Q152*AC152/100)</f>
        <v/>
      </c>
      <c r="S152" s="11" t="n"/>
      <c r="U152" s="11" t="n"/>
      <c r="AA152" s="7" t="n"/>
      <c r="AC152" s="7" t="n"/>
      <c r="AE152">
        <f>IF($C152="","",IF($AK152=1,Settings!$C$6,Settings!$C$7)*1)</f>
        <v/>
      </c>
      <c r="AF152" s="7">
        <f>IF($C152="","",AE152*AC152)</f>
        <v/>
      </c>
      <c r="AG152" s="7">
        <f>IF($C152="","",AC152-AF152)</f>
        <v/>
      </c>
      <c r="AH152" s="7">
        <f>IF($C152="","",AG152-R152)</f>
        <v/>
      </c>
      <c r="AI152">
        <f>IF($C152="","",IF(COUNTIF($C$2:$C152,$C152)=1,1,0))</f>
        <v/>
      </c>
      <c r="AJ152">
        <f>IF($AI152=1,SUMPRODUCT(--($AL$2:$AL$1501&lt;$AL152))+1,"")</f>
        <v/>
      </c>
      <c r="AK152">
        <f>IF($C152="","",IF(OR($AD152=TRUE(),$AD152="TRUE"),0,1))</f>
        <v/>
      </c>
      <c r="AL152">
        <f>IF($AI152=1,IFERROR(IF(VALUE($C152)&lt;100000000,VALUE($C152),1000000000),IFERROR(IF(VALUE(MID($C152,2,20))&lt;100000000,VALUE(MID($C152,2,20)),1000000000),1000000000))+ROW()/100000,"")</f>
        <v/>
      </c>
    </row>
    <row r="153">
      <c r="J153" s="7" t="n"/>
      <c r="K153" s="7" t="n"/>
      <c r="R153" s="7">
        <f>IF($C153="","",Q153*AC153/100)</f>
        <v/>
      </c>
      <c r="S153" s="11" t="n"/>
      <c r="U153" s="11" t="n"/>
      <c r="AA153" s="7" t="n"/>
      <c r="AC153" s="7" t="n"/>
      <c r="AE153">
        <f>IF($C153="","",IF($AK153=1,Settings!$C$6,Settings!$C$7)*1)</f>
        <v/>
      </c>
      <c r="AF153" s="7">
        <f>IF($C153="","",AE153*AC153)</f>
        <v/>
      </c>
      <c r="AG153" s="7">
        <f>IF($C153="","",AC153-AF153)</f>
        <v/>
      </c>
      <c r="AH153" s="7">
        <f>IF($C153="","",AG153-R153)</f>
        <v/>
      </c>
      <c r="AI153">
        <f>IF($C153="","",IF(COUNTIF($C$2:$C153,$C153)=1,1,0))</f>
        <v/>
      </c>
      <c r="AJ153">
        <f>IF($AI153=1,SUMPRODUCT(--($AL$2:$AL$1501&lt;$AL153))+1,"")</f>
        <v/>
      </c>
      <c r="AK153">
        <f>IF($C153="","",IF(OR($AD153=TRUE(),$AD153="TRUE"),0,1))</f>
        <v/>
      </c>
      <c r="AL153">
        <f>IF($AI153=1,IFERROR(IF(VALUE($C153)&lt;100000000,VALUE($C153),1000000000),IFERROR(IF(VALUE(MID($C153,2,20))&lt;100000000,VALUE(MID($C153,2,20)),1000000000),1000000000))+ROW()/100000,"")</f>
        <v/>
      </c>
    </row>
    <row r="154">
      <c r="J154" s="7" t="n"/>
      <c r="K154" s="7" t="n"/>
      <c r="R154" s="7">
        <f>IF($C154="","",Q154*AC154/100)</f>
        <v/>
      </c>
      <c r="S154" s="11" t="n"/>
      <c r="U154" s="11" t="n"/>
      <c r="AA154" s="7" t="n"/>
      <c r="AC154" s="7" t="n"/>
      <c r="AE154">
        <f>IF($C154="","",IF($AK154=1,Settings!$C$6,Settings!$C$7)*1)</f>
        <v/>
      </c>
      <c r="AF154" s="7">
        <f>IF($C154="","",AE154*AC154)</f>
        <v/>
      </c>
      <c r="AG154" s="7">
        <f>IF($C154="","",AC154-AF154)</f>
        <v/>
      </c>
      <c r="AH154" s="7">
        <f>IF($C154="","",AG154-R154)</f>
        <v/>
      </c>
      <c r="AI154">
        <f>IF($C154="","",IF(COUNTIF($C$2:$C154,$C154)=1,1,0))</f>
        <v/>
      </c>
      <c r="AJ154">
        <f>IF($AI154=1,SUMPRODUCT(--($AL$2:$AL$1501&lt;$AL154))+1,"")</f>
        <v/>
      </c>
      <c r="AK154">
        <f>IF($C154="","",IF(OR($AD154=TRUE(),$AD154="TRUE"),0,1))</f>
        <v/>
      </c>
      <c r="AL154">
        <f>IF($AI154=1,IFERROR(IF(VALUE($C154)&lt;100000000,VALUE($C154),1000000000),IFERROR(IF(VALUE(MID($C154,2,20))&lt;100000000,VALUE(MID($C154,2,20)),1000000000),1000000000))+ROW()/100000,"")</f>
        <v/>
      </c>
    </row>
    <row r="155">
      <c r="J155" s="7" t="n"/>
      <c r="K155" s="7" t="n"/>
      <c r="R155" s="7">
        <f>IF($C155="","",Q155*AC155/100)</f>
        <v/>
      </c>
      <c r="S155" s="11" t="n"/>
      <c r="U155" s="11" t="n"/>
      <c r="AA155" s="7" t="n"/>
      <c r="AC155" s="7" t="n"/>
      <c r="AE155">
        <f>IF($C155="","",IF($AK155=1,Settings!$C$6,Settings!$C$7)*1)</f>
        <v/>
      </c>
      <c r="AF155" s="7">
        <f>IF($C155="","",AE155*AC155)</f>
        <v/>
      </c>
      <c r="AG155" s="7">
        <f>IF($C155="","",AC155-AF155)</f>
        <v/>
      </c>
      <c r="AH155" s="7">
        <f>IF($C155="","",AG155-R155)</f>
        <v/>
      </c>
      <c r="AI155">
        <f>IF($C155="","",IF(COUNTIF($C$2:$C155,$C155)=1,1,0))</f>
        <v/>
      </c>
      <c r="AJ155">
        <f>IF($AI155=1,SUMPRODUCT(--($AL$2:$AL$1501&lt;$AL155))+1,"")</f>
        <v/>
      </c>
      <c r="AK155">
        <f>IF($C155="","",IF(OR($AD155=TRUE(),$AD155="TRUE"),0,1))</f>
        <v/>
      </c>
      <c r="AL155">
        <f>IF($AI155=1,IFERROR(IF(VALUE($C155)&lt;100000000,VALUE($C155),1000000000),IFERROR(IF(VALUE(MID($C155,2,20))&lt;100000000,VALUE(MID($C155,2,20)),1000000000),1000000000))+ROW()/100000,"")</f>
        <v/>
      </c>
    </row>
    <row r="156">
      <c r="J156" s="7" t="n"/>
      <c r="K156" s="7" t="n"/>
      <c r="R156" s="7">
        <f>IF($C156="","",Q156*AC156/100)</f>
        <v/>
      </c>
      <c r="S156" s="11" t="n"/>
      <c r="U156" s="11" t="n"/>
      <c r="AA156" s="7" t="n"/>
      <c r="AC156" s="7" t="n"/>
      <c r="AE156">
        <f>IF($C156="","",IF($AK156=1,Settings!$C$6,Settings!$C$7)*1)</f>
        <v/>
      </c>
      <c r="AF156" s="7">
        <f>IF($C156="","",AE156*AC156)</f>
        <v/>
      </c>
      <c r="AG156" s="7">
        <f>IF($C156="","",AC156-AF156)</f>
        <v/>
      </c>
      <c r="AH156" s="7">
        <f>IF($C156="","",AG156-R156)</f>
        <v/>
      </c>
      <c r="AI156">
        <f>IF($C156="","",IF(COUNTIF($C$2:$C156,$C156)=1,1,0))</f>
        <v/>
      </c>
      <c r="AJ156">
        <f>IF($AI156=1,SUMPRODUCT(--($AL$2:$AL$1501&lt;$AL156))+1,"")</f>
        <v/>
      </c>
      <c r="AK156">
        <f>IF($C156="","",IF(OR($AD156=TRUE(),$AD156="TRUE"),0,1))</f>
        <v/>
      </c>
      <c r="AL156">
        <f>IF($AI156=1,IFERROR(IF(VALUE($C156)&lt;100000000,VALUE($C156),1000000000),IFERROR(IF(VALUE(MID($C156,2,20))&lt;100000000,VALUE(MID($C156,2,20)),1000000000),1000000000))+ROW()/100000,"")</f>
        <v/>
      </c>
    </row>
    <row r="157">
      <c r="J157" s="7" t="n"/>
      <c r="K157" s="7" t="n"/>
      <c r="R157" s="7">
        <f>IF($C157="","",Q157*AC157/100)</f>
        <v/>
      </c>
      <c r="S157" s="11" t="n"/>
      <c r="U157" s="11" t="n"/>
      <c r="AA157" s="7" t="n"/>
      <c r="AC157" s="7" t="n"/>
      <c r="AE157">
        <f>IF($C157="","",IF($AK157=1,Settings!$C$6,Settings!$C$7)*1)</f>
        <v/>
      </c>
      <c r="AF157" s="7">
        <f>IF($C157="","",AE157*AC157)</f>
        <v/>
      </c>
      <c r="AG157" s="7">
        <f>IF($C157="","",AC157-AF157)</f>
        <v/>
      </c>
      <c r="AH157" s="7">
        <f>IF($C157="","",AG157-R157)</f>
        <v/>
      </c>
      <c r="AI157">
        <f>IF($C157="","",IF(COUNTIF($C$2:$C157,$C157)=1,1,0))</f>
        <v/>
      </c>
      <c r="AJ157">
        <f>IF($AI157=1,SUMPRODUCT(--($AL$2:$AL$1501&lt;$AL157))+1,"")</f>
        <v/>
      </c>
      <c r="AK157">
        <f>IF($C157="","",IF(OR($AD157=TRUE(),$AD157="TRUE"),0,1))</f>
        <v/>
      </c>
      <c r="AL157">
        <f>IF($AI157=1,IFERROR(IF(VALUE($C157)&lt;100000000,VALUE($C157),1000000000),IFERROR(IF(VALUE(MID($C157,2,20))&lt;100000000,VALUE(MID($C157,2,20)),1000000000),1000000000))+ROW()/100000,"")</f>
        <v/>
      </c>
    </row>
    <row r="158">
      <c r="J158" s="7" t="n"/>
      <c r="K158" s="7" t="n"/>
      <c r="R158" s="7">
        <f>IF($C158="","",Q158*AC158/100)</f>
        <v/>
      </c>
      <c r="S158" s="11" t="n"/>
      <c r="U158" s="11" t="n"/>
      <c r="AA158" s="7" t="n"/>
      <c r="AC158" s="7" t="n"/>
      <c r="AE158">
        <f>IF($C158="","",IF($AK158=1,Settings!$C$6,Settings!$C$7)*1)</f>
        <v/>
      </c>
      <c r="AF158" s="7">
        <f>IF($C158="","",AE158*AC158)</f>
        <v/>
      </c>
      <c r="AG158" s="7">
        <f>IF($C158="","",AC158-AF158)</f>
        <v/>
      </c>
      <c r="AH158" s="7">
        <f>IF($C158="","",AG158-R158)</f>
        <v/>
      </c>
      <c r="AI158">
        <f>IF($C158="","",IF(COUNTIF($C$2:$C158,$C158)=1,1,0))</f>
        <v/>
      </c>
      <c r="AJ158">
        <f>IF($AI158=1,SUMPRODUCT(--($AL$2:$AL$1501&lt;$AL158))+1,"")</f>
        <v/>
      </c>
      <c r="AK158">
        <f>IF($C158="","",IF(OR($AD158=TRUE(),$AD158="TRUE"),0,1))</f>
        <v/>
      </c>
      <c r="AL158">
        <f>IF($AI158=1,IFERROR(IF(VALUE($C158)&lt;100000000,VALUE($C158),1000000000),IFERROR(IF(VALUE(MID($C158,2,20))&lt;100000000,VALUE(MID($C158,2,20)),1000000000),1000000000))+ROW()/100000,"")</f>
        <v/>
      </c>
    </row>
    <row r="159">
      <c r="J159" s="7" t="n"/>
      <c r="K159" s="7" t="n"/>
      <c r="R159" s="7">
        <f>IF($C159="","",Q159*AC159/100)</f>
        <v/>
      </c>
      <c r="S159" s="11" t="n"/>
      <c r="U159" s="11" t="n"/>
      <c r="AA159" s="7" t="n"/>
      <c r="AC159" s="7" t="n"/>
      <c r="AE159">
        <f>IF($C159="","",IF($AK159=1,Settings!$C$6,Settings!$C$7)*1)</f>
        <v/>
      </c>
      <c r="AF159" s="7">
        <f>IF($C159="","",AE159*AC159)</f>
        <v/>
      </c>
      <c r="AG159" s="7">
        <f>IF($C159="","",AC159-AF159)</f>
        <v/>
      </c>
      <c r="AH159" s="7">
        <f>IF($C159="","",AG159-R159)</f>
        <v/>
      </c>
      <c r="AI159">
        <f>IF($C159="","",IF(COUNTIF($C$2:$C159,$C159)=1,1,0))</f>
        <v/>
      </c>
      <c r="AJ159">
        <f>IF($AI159=1,SUMPRODUCT(--($AL$2:$AL$1501&lt;$AL159))+1,"")</f>
        <v/>
      </c>
      <c r="AK159">
        <f>IF($C159="","",IF(OR($AD159=TRUE(),$AD159="TRUE"),0,1))</f>
        <v/>
      </c>
      <c r="AL159">
        <f>IF($AI159=1,IFERROR(IF(VALUE($C159)&lt;100000000,VALUE($C159),1000000000),IFERROR(IF(VALUE(MID($C159,2,20))&lt;100000000,VALUE(MID($C159,2,20)),1000000000),1000000000))+ROW()/100000,"")</f>
        <v/>
      </c>
    </row>
    <row r="160">
      <c r="J160" s="7" t="n"/>
      <c r="K160" s="7" t="n"/>
      <c r="R160" s="7">
        <f>IF($C160="","",Q160*AC160/100)</f>
        <v/>
      </c>
      <c r="S160" s="11" t="n"/>
      <c r="U160" s="11" t="n"/>
      <c r="AA160" s="7" t="n"/>
      <c r="AC160" s="7" t="n"/>
      <c r="AE160">
        <f>IF($C160="","",IF($AK160=1,Settings!$C$6,Settings!$C$7)*1)</f>
        <v/>
      </c>
      <c r="AF160" s="7">
        <f>IF($C160="","",AE160*AC160)</f>
        <v/>
      </c>
      <c r="AG160" s="7">
        <f>IF($C160="","",AC160-AF160)</f>
        <v/>
      </c>
      <c r="AH160" s="7">
        <f>IF($C160="","",AG160-R160)</f>
        <v/>
      </c>
      <c r="AI160">
        <f>IF($C160="","",IF(COUNTIF($C$2:$C160,$C160)=1,1,0))</f>
        <v/>
      </c>
      <c r="AJ160">
        <f>IF($AI160=1,SUMPRODUCT(--($AL$2:$AL$1501&lt;$AL160))+1,"")</f>
        <v/>
      </c>
      <c r="AK160">
        <f>IF($C160="","",IF(OR($AD160=TRUE(),$AD160="TRUE"),0,1))</f>
        <v/>
      </c>
      <c r="AL160">
        <f>IF($AI160=1,IFERROR(IF(VALUE($C160)&lt;100000000,VALUE($C160),1000000000),IFERROR(IF(VALUE(MID($C160,2,20))&lt;100000000,VALUE(MID($C160,2,20)),1000000000),1000000000))+ROW()/100000,"")</f>
        <v/>
      </c>
    </row>
    <row r="161">
      <c r="J161" s="7" t="n"/>
      <c r="K161" s="7" t="n"/>
      <c r="R161" s="7">
        <f>IF($C161="","",Q161*AC161/100)</f>
        <v/>
      </c>
      <c r="S161" s="11" t="n"/>
      <c r="U161" s="11" t="n"/>
      <c r="AA161" s="7" t="n"/>
      <c r="AC161" s="7" t="n"/>
      <c r="AE161">
        <f>IF($C161="","",IF($AK161=1,Settings!$C$6,Settings!$C$7)*1)</f>
        <v/>
      </c>
      <c r="AF161" s="7">
        <f>IF($C161="","",AE161*AC161)</f>
        <v/>
      </c>
      <c r="AG161" s="7">
        <f>IF($C161="","",AC161-AF161)</f>
        <v/>
      </c>
      <c r="AH161" s="7">
        <f>IF($C161="","",AG161-R161)</f>
        <v/>
      </c>
      <c r="AI161">
        <f>IF($C161="","",IF(COUNTIF($C$2:$C161,$C161)=1,1,0))</f>
        <v/>
      </c>
      <c r="AJ161">
        <f>IF($AI161=1,SUMPRODUCT(--($AL$2:$AL$1501&lt;$AL161))+1,"")</f>
        <v/>
      </c>
      <c r="AK161">
        <f>IF($C161="","",IF(OR($AD161=TRUE(),$AD161="TRUE"),0,1))</f>
        <v/>
      </c>
      <c r="AL161">
        <f>IF($AI161=1,IFERROR(IF(VALUE($C161)&lt;100000000,VALUE($C161),1000000000),IFERROR(IF(VALUE(MID($C161,2,20))&lt;100000000,VALUE(MID($C161,2,20)),1000000000),1000000000))+ROW()/100000,"")</f>
        <v/>
      </c>
    </row>
    <row r="162">
      <c r="J162" s="7" t="n"/>
      <c r="K162" s="7" t="n"/>
      <c r="R162" s="7">
        <f>IF($C162="","",Q162*AC162/100)</f>
        <v/>
      </c>
      <c r="S162" s="11" t="n"/>
      <c r="U162" s="11" t="n"/>
      <c r="AA162" s="7" t="n"/>
      <c r="AC162" s="7" t="n"/>
      <c r="AE162">
        <f>IF($C162="","",IF($AK162=1,Settings!$C$6,Settings!$C$7)*1)</f>
        <v/>
      </c>
      <c r="AF162" s="7">
        <f>IF($C162="","",AE162*AC162)</f>
        <v/>
      </c>
      <c r="AG162" s="7">
        <f>IF($C162="","",AC162-AF162)</f>
        <v/>
      </c>
      <c r="AH162" s="7">
        <f>IF($C162="","",AG162-R162)</f>
        <v/>
      </c>
      <c r="AI162">
        <f>IF($C162="","",IF(COUNTIF($C$2:$C162,$C162)=1,1,0))</f>
        <v/>
      </c>
      <c r="AJ162">
        <f>IF($AI162=1,SUMPRODUCT(--($AL$2:$AL$1501&lt;$AL162))+1,"")</f>
        <v/>
      </c>
      <c r="AK162">
        <f>IF($C162="","",IF(OR($AD162=TRUE(),$AD162="TRUE"),0,1))</f>
        <v/>
      </c>
      <c r="AL162">
        <f>IF($AI162=1,IFERROR(IF(VALUE($C162)&lt;100000000,VALUE($C162),1000000000),IFERROR(IF(VALUE(MID($C162,2,20))&lt;100000000,VALUE(MID($C162,2,20)),1000000000),1000000000))+ROW()/100000,"")</f>
        <v/>
      </c>
    </row>
    <row r="163">
      <c r="J163" s="7" t="n"/>
      <c r="K163" s="7" t="n"/>
      <c r="R163" s="7">
        <f>IF($C163="","",Q163*AC163/100)</f>
        <v/>
      </c>
      <c r="S163" s="11" t="n"/>
      <c r="U163" s="11" t="n"/>
      <c r="AA163" s="7" t="n"/>
      <c r="AC163" s="7" t="n"/>
      <c r="AE163">
        <f>IF($C163="","",IF($AK163=1,Settings!$C$6,Settings!$C$7)*1)</f>
        <v/>
      </c>
      <c r="AF163" s="7">
        <f>IF($C163="","",AE163*AC163)</f>
        <v/>
      </c>
      <c r="AG163" s="7">
        <f>IF($C163="","",AC163-AF163)</f>
        <v/>
      </c>
      <c r="AH163" s="7">
        <f>IF($C163="","",AG163-R163)</f>
        <v/>
      </c>
      <c r="AI163">
        <f>IF($C163="","",IF(COUNTIF($C$2:$C163,$C163)=1,1,0))</f>
        <v/>
      </c>
      <c r="AJ163">
        <f>IF($AI163=1,SUMPRODUCT(--($AL$2:$AL$1501&lt;$AL163))+1,"")</f>
        <v/>
      </c>
      <c r="AK163">
        <f>IF($C163="","",IF(OR($AD163=TRUE(),$AD163="TRUE"),0,1))</f>
        <v/>
      </c>
      <c r="AL163">
        <f>IF($AI163=1,IFERROR(IF(VALUE($C163)&lt;100000000,VALUE($C163),1000000000),IFERROR(IF(VALUE(MID($C163,2,20))&lt;100000000,VALUE(MID($C163,2,20)),1000000000),1000000000))+ROW()/100000,"")</f>
        <v/>
      </c>
    </row>
    <row r="164">
      <c r="J164" s="7" t="n"/>
      <c r="K164" s="7" t="n"/>
      <c r="R164" s="7">
        <f>IF($C164="","",Q164*AC164/100)</f>
        <v/>
      </c>
      <c r="S164" s="11" t="n"/>
      <c r="U164" s="11" t="n"/>
      <c r="AA164" s="7" t="n"/>
      <c r="AC164" s="7" t="n"/>
      <c r="AE164">
        <f>IF($C164="","",IF($AK164=1,Settings!$C$6,Settings!$C$7)*1)</f>
        <v/>
      </c>
      <c r="AF164" s="7">
        <f>IF($C164="","",AE164*AC164)</f>
        <v/>
      </c>
      <c r="AG164" s="7">
        <f>IF($C164="","",AC164-AF164)</f>
        <v/>
      </c>
      <c r="AH164" s="7">
        <f>IF($C164="","",AG164-R164)</f>
        <v/>
      </c>
      <c r="AI164">
        <f>IF($C164="","",IF(COUNTIF($C$2:$C164,$C164)=1,1,0))</f>
        <v/>
      </c>
      <c r="AJ164">
        <f>IF($AI164=1,SUMPRODUCT(--($AL$2:$AL$1501&lt;$AL164))+1,"")</f>
        <v/>
      </c>
      <c r="AK164">
        <f>IF($C164="","",IF(OR($AD164=TRUE(),$AD164="TRUE"),0,1))</f>
        <v/>
      </c>
      <c r="AL164">
        <f>IF($AI164=1,IFERROR(IF(VALUE($C164)&lt;100000000,VALUE($C164),1000000000),IFERROR(IF(VALUE(MID($C164,2,20))&lt;100000000,VALUE(MID($C164,2,20)),1000000000),1000000000))+ROW()/100000,"")</f>
        <v/>
      </c>
    </row>
    <row r="165">
      <c r="J165" s="7" t="n"/>
      <c r="K165" s="7" t="n"/>
      <c r="R165" s="7">
        <f>IF($C165="","",Q165*AC165/100)</f>
        <v/>
      </c>
      <c r="S165" s="11" t="n"/>
      <c r="U165" s="11" t="n"/>
      <c r="AA165" s="7" t="n"/>
      <c r="AC165" s="7" t="n"/>
      <c r="AE165">
        <f>IF($C165="","",IF($AK165=1,Settings!$C$6,Settings!$C$7)*1)</f>
        <v/>
      </c>
      <c r="AF165" s="7">
        <f>IF($C165="","",AE165*AC165)</f>
        <v/>
      </c>
      <c r="AG165" s="7">
        <f>IF($C165="","",AC165-AF165)</f>
        <v/>
      </c>
      <c r="AH165" s="7">
        <f>IF($C165="","",AG165-R165)</f>
        <v/>
      </c>
      <c r="AI165">
        <f>IF($C165="","",IF(COUNTIF($C$2:$C165,$C165)=1,1,0))</f>
        <v/>
      </c>
      <c r="AJ165">
        <f>IF($AI165=1,SUMPRODUCT(--($AL$2:$AL$1501&lt;$AL165))+1,"")</f>
        <v/>
      </c>
      <c r="AK165">
        <f>IF($C165="","",IF(OR($AD165=TRUE(),$AD165="TRUE"),0,1))</f>
        <v/>
      </c>
      <c r="AL165">
        <f>IF($AI165=1,IFERROR(IF(VALUE($C165)&lt;100000000,VALUE($C165),1000000000),IFERROR(IF(VALUE(MID($C165,2,20))&lt;100000000,VALUE(MID($C165,2,20)),1000000000),1000000000))+ROW()/100000,"")</f>
        <v/>
      </c>
    </row>
    <row r="166">
      <c r="J166" s="7" t="n"/>
      <c r="K166" s="7" t="n"/>
      <c r="R166" s="7">
        <f>IF($C166="","",Q166*AC166/100)</f>
        <v/>
      </c>
      <c r="S166" s="11" t="n"/>
      <c r="U166" s="11" t="n"/>
      <c r="AA166" s="7" t="n"/>
      <c r="AC166" s="7" t="n"/>
      <c r="AE166">
        <f>IF($C166="","",IF($AK166=1,Settings!$C$6,Settings!$C$7)*1)</f>
        <v/>
      </c>
      <c r="AF166" s="7">
        <f>IF($C166="","",AE166*AC166)</f>
        <v/>
      </c>
      <c r="AG166" s="7">
        <f>IF($C166="","",AC166-AF166)</f>
        <v/>
      </c>
      <c r="AH166" s="7">
        <f>IF($C166="","",AG166-R166)</f>
        <v/>
      </c>
      <c r="AI166">
        <f>IF($C166="","",IF(COUNTIF($C$2:$C166,$C166)=1,1,0))</f>
        <v/>
      </c>
      <c r="AJ166">
        <f>IF($AI166=1,SUMPRODUCT(--($AL$2:$AL$1501&lt;$AL166))+1,"")</f>
        <v/>
      </c>
      <c r="AK166">
        <f>IF($C166="","",IF(OR($AD166=TRUE(),$AD166="TRUE"),0,1))</f>
        <v/>
      </c>
      <c r="AL166">
        <f>IF($AI166=1,IFERROR(IF(VALUE($C166)&lt;100000000,VALUE($C166),1000000000),IFERROR(IF(VALUE(MID($C166,2,20))&lt;100000000,VALUE(MID($C166,2,20)),1000000000),1000000000))+ROW()/100000,"")</f>
        <v/>
      </c>
    </row>
    <row r="167">
      <c r="J167" s="7" t="n"/>
      <c r="K167" s="7" t="n"/>
      <c r="R167" s="7">
        <f>IF($C167="","",Q167*AC167/100)</f>
        <v/>
      </c>
      <c r="S167" s="11" t="n"/>
      <c r="U167" s="11" t="n"/>
      <c r="AA167" s="7" t="n"/>
      <c r="AC167" s="7" t="n"/>
      <c r="AE167">
        <f>IF($C167="","",IF($AK167=1,Settings!$C$6,Settings!$C$7)*1)</f>
        <v/>
      </c>
      <c r="AF167" s="7">
        <f>IF($C167="","",AE167*AC167)</f>
        <v/>
      </c>
      <c r="AG167" s="7">
        <f>IF($C167="","",AC167-AF167)</f>
        <v/>
      </c>
      <c r="AH167" s="7">
        <f>IF($C167="","",AG167-R167)</f>
        <v/>
      </c>
      <c r="AI167">
        <f>IF($C167="","",IF(COUNTIF($C$2:$C167,$C167)=1,1,0))</f>
        <v/>
      </c>
      <c r="AJ167">
        <f>IF($AI167=1,SUMPRODUCT(--($AL$2:$AL$1501&lt;$AL167))+1,"")</f>
        <v/>
      </c>
      <c r="AK167">
        <f>IF($C167="","",IF(OR($AD167=TRUE(),$AD167="TRUE"),0,1))</f>
        <v/>
      </c>
      <c r="AL167">
        <f>IF($AI167=1,IFERROR(IF(VALUE($C167)&lt;100000000,VALUE($C167),1000000000),IFERROR(IF(VALUE(MID($C167,2,20))&lt;100000000,VALUE(MID($C167,2,20)),1000000000),1000000000))+ROW()/100000,"")</f>
        <v/>
      </c>
    </row>
    <row r="168">
      <c r="J168" s="7" t="n"/>
      <c r="K168" s="7" t="n"/>
      <c r="R168" s="7">
        <f>IF($C168="","",Q168*AC168/100)</f>
        <v/>
      </c>
      <c r="S168" s="11" t="n"/>
      <c r="U168" s="11" t="n"/>
      <c r="AA168" s="7" t="n"/>
      <c r="AC168" s="7" t="n"/>
      <c r="AE168">
        <f>IF($C168="","",IF($AK168=1,Settings!$C$6,Settings!$C$7)*1)</f>
        <v/>
      </c>
      <c r="AF168" s="7">
        <f>IF($C168="","",AE168*AC168)</f>
        <v/>
      </c>
      <c r="AG168" s="7">
        <f>IF($C168="","",AC168-AF168)</f>
        <v/>
      </c>
      <c r="AH168" s="7">
        <f>IF($C168="","",AG168-R168)</f>
        <v/>
      </c>
      <c r="AI168">
        <f>IF($C168="","",IF(COUNTIF($C$2:$C168,$C168)=1,1,0))</f>
        <v/>
      </c>
      <c r="AJ168">
        <f>IF($AI168=1,SUMPRODUCT(--($AL$2:$AL$1501&lt;$AL168))+1,"")</f>
        <v/>
      </c>
      <c r="AK168">
        <f>IF($C168="","",IF(OR($AD168=TRUE(),$AD168="TRUE"),0,1))</f>
        <v/>
      </c>
      <c r="AL168">
        <f>IF($AI168=1,IFERROR(IF(VALUE($C168)&lt;100000000,VALUE($C168),1000000000),IFERROR(IF(VALUE(MID($C168,2,20))&lt;100000000,VALUE(MID($C168,2,20)),1000000000),1000000000))+ROW()/100000,"")</f>
        <v/>
      </c>
    </row>
    <row r="169">
      <c r="J169" s="7" t="n"/>
      <c r="K169" s="7" t="n"/>
      <c r="R169" s="7">
        <f>IF($C169="","",Q169*AC169/100)</f>
        <v/>
      </c>
      <c r="S169" s="11" t="n"/>
      <c r="U169" s="11" t="n"/>
      <c r="AA169" s="7" t="n"/>
      <c r="AC169" s="7" t="n"/>
      <c r="AE169">
        <f>IF($C169="","",IF($AK169=1,Settings!$C$6,Settings!$C$7)*1)</f>
        <v/>
      </c>
      <c r="AF169" s="7">
        <f>IF($C169="","",AE169*AC169)</f>
        <v/>
      </c>
      <c r="AG169" s="7">
        <f>IF($C169="","",AC169-AF169)</f>
        <v/>
      </c>
      <c r="AH169" s="7">
        <f>IF($C169="","",AG169-R169)</f>
        <v/>
      </c>
      <c r="AI169">
        <f>IF($C169="","",IF(COUNTIF($C$2:$C169,$C169)=1,1,0))</f>
        <v/>
      </c>
      <c r="AJ169">
        <f>IF($AI169=1,SUMPRODUCT(--($AL$2:$AL$1501&lt;$AL169))+1,"")</f>
        <v/>
      </c>
      <c r="AK169">
        <f>IF($C169="","",IF(OR($AD169=TRUE(),$AD169="TRUE"),0,1))</f>
        <v/>
      </c>
      <c r="AL169">
        <f>IF($AI169=1,IFERROR(IF(VALUE($C169)&lt;100000000,VALUE($C169),1000000000),IFERROR(IF(VALUE(MID($C169,2,20))&lt;100000000,VALUE(MID($C169,2,20)),1000000000),1000000000))+ROW()/100000,"")</f>
        <v/>
      </c>
    </row>
    <row r="170">
      <c r="J170" s="7" t="n"/>
      <c r="K170" s="7" t="n"/>
      <c r="R170" s="7">
        <f>IF($C170="","",Q170*AC170/100)</f>
        <v/>
      </c>
      <c r="S170" s="11" t="n"/>
      <c r="U170" s="11" t="n"/>
      <c r="AA170" s="7" t="n"/>
      <c r="AC170" s="7" t="n"/>
      <c r="AE170">
        <f>IF($C170="","",IF($AK170=1,Settings!$C$6,Settings!$C$7)*1)</f>
        <v/>
      </c>
      <c r="AF170" s="7">
        <f>IF($C170="","",AE170*AC170)</f>
        <v/>
      </c>
      <c r="AG170" s="7">
        <f>IF($C170="","",AC170-AF170)</f>
        <v/>
      </c>
      <c r="AH170" s="7">
        <f>IF($C170="","",AG170-R170)</f>
        <v/>
      </c>
      <c r="AI170">
        <f>IF($C170="","",IF(COUNTIF($C$2:$C170,$C170)=1,1,0))</f>
        <v/>
      </c>
      <c r="AJ170">
        <f>IF($AI170=1,SUMPRODUCT(--($AL$2:$AL$1501&lt;$AL170))+1,"")</f>
        <v/>
      </c>
      <c r="AK170">
        <f>IF($C170="","",IF(OR($AD170=TRUE(),$AD170="TRUE"),0,1))</f>
        <v/>
      </c>
      <c r="AL170">
        <f>IF($AI170=1,IFERROR(IF(VALUE($C170)&lt;100000000,VALUE($C170),1000000000),IFERROR(IF(VALUE(MID($C170,2,20))&lt;100000000,VALUE(MID($C170,2,20)),1000000000),1000000000))+ROW()/100000,"")</f>
        <v/>
      </c>
    </row>
    <row r="171">
      <c r="J171" s="7" t="n"/>
      <c r="K171" s="7" t="n"/>
      <c r="R171" s="7">
        <f>IF($C171="","",Q171*AC171/100)</f>
        <v/>
      </c>
      <c r="S171" s="11" t="n"/>
      <c r="U171" s="11" t="n"/>
      <c r="AA171" s="7" t="n"/>
      <c r="AC171" s="7" t="n"/>
      <c r="AE171">
        <f>IF($C171="","",IF($AK171=1,Settings!$C$6,Settings!$C$7)*1)</f>
        <v/>
      </c>
      <c r="AF171" s="7">
        <f>IF($C171="","",AE171*AC171)</f>
        <v/>
      </c>
      <c r="AG171" s="7">
        <f>IF($C171="","",AC171-AF171)</f>
        <v/>
      </c>
      <c r="AH171" s="7">
        <f>IF($C171="","",AG171-R171)</f>
        <v/>
      </c>
      <c r="AI171">
        <f>IF($C171="","",IF(COUNTIF($C$2:$C171,$C171)=1,1,0))</f>
        <v/>
      </c>
      <c r="AJ171">
        <f>IF($AI171=1,SUMPRODUCT(--($AL$2:$AL$1501&lt;$AL171))+1,"")</f>
        <v/>
      </c>
      <c r="AK171">
        <f>IF($C171="","",IF(OR($AD171=TRUE(),$AD171="TRUE"),0,1))</f>
        <v/>
      </c>
      <c r="AL171">
        <f>IF($AI171=1,IFERROR(IF(VALUE($C171)&lt;100000000,VALUE($C171),1000000000),IFERROR(IF(VALUE(MID($C171,2,20))&lt;100000000,VALUE(MID($C171,2,20)),1000000000),1000000000))+ROW()/100000,"")</f>
        <v/>
      </c>
    </row>
    <row r="172">
      <c r="J172" s="7" t="n"/>
      <c r="K172" s="7" t="n"/>
      <c r="R172" s="7">
        <f>IF($C172="","",Q172*AC172/100)</f>
        <v/>
      </c>
      <c r="S172" s="11" t="n"/>
      <c r="U172" s="11" t="n"/>
      <c r="AA172" s="7" t="n"/>
      <c r="AC172" s="7" t="n"/>
      <c r="AE172">
        <f>IF($C172="","",IF($AK172=1,Settings!$C$6,Settings!$C$7)*1)</f>
        <v/>
      </c>
      <c r="AF172" s="7">
        <f>IF($C172="","",AE172*AC172)</f>
        <v/>
      </c>
      <c r="AG172" s="7">
        <f>IF($C172="","",AC172-AF172)</f>
        <v/>
      </c>
      <c r="AH172" s="7">
        <f>IF($C172="","",AG172-R172)</f>
        <v/>
      </c>
      <c r="AI172">
        <f>IF($C172="","",IF(COUNTIF($C$2:$C172,$C172)=1,1,0))</f>
        <v/>
      </c>
      <c r="AJ172">
        <f>IF($AI172=1,SUMPRODUCT(--($AL$2:$AL$1501&lt;$AL172))+1,"")</f>
        <v/>
      </c>
      <c r="AK172">
        <f>IF($C172="","",IF(OR($AD172=TRUE(),$AD172="TRUE"),0,1))</f>
        <v/>
      </c>
      <c r="AL172">
        <f>IF($AI172=1,IFERROR(IF(VALUE($C172)&lt;100000000,VALUE($C172),1000000000),IFERROR(IF(VALUE(MID($C172,2,20))&lt;100000000,VALUE(MID($C172,2,20)),1000000000),1000000000))+ROW()/100000,"")</f>
        <v/>
      </c>
    </row>
    <row r="173">
      <c r="J173" s="7" t="n"/>
      <c r="K173" s="7" t="n"/>
      <c r="R173" s="7">
        <f>IF($C173="","",Q173*AC173/100)</f>
        <v/>
      </c>
      <c r="S173" s="11" t="n"/>
      <c r="U173" s="11" t="n"/>
      <c r="AA173" s="7" t="n"/>
      <c r="AC173" s="7" t="n"/>
      <c r="AE173">
        <f>IF($C173="","",IF($AK173=1,Settings!$C$6,Settings!$C$7)*1)</f>
        <v/>
      </c>
      <c r="AF173" s="7">
        <f>IF($C173="","",AE173*AC173)</f>
        <v/>
      </c>
      <c r="AG173" s="7">
        <f>IF($C173="","",AC173-AF173)</f>
        <v/>
      </c>
      <c r="AH173" s="7">
        <f>IF($C173="","",AG173-R173)</f>
        <v/>
      </c>
      <c r="AI173">
        <f>IF($C173="","",IF(COUNTIF($C$2:$C173,$C173)=1,1,0))</f>
        <v/>
      </c>
      <c r="AJ173">
        <f>IF($AI173=1,SUMPRODUCT(--($AL$2:$AL$1501&lt;$AL173))+1,"")</f>
        <v/>
      </c>
      <c r="AK173">
        <f>IF($C173="","",IF(OR($AD173=TRUE(),$AD173="TRUE"),0,1))</f>
        <v/>
      </c>
      <c r="AL173">
        <f>IF($AI173=1,IFERROR(IF(VALUE($C173)&lt;100000000,VALUE($C173),1000000000),IFERROR(IF(VALUE(MID($C173,2,20))&lt;100000000,VALUE(MID($C173,2,20)),1000000000),1000000000))+ROW()/100000,"")</f>
        <v/>
      </c>
    </row>
    <row r="174">
      <c r="J174" s="7" t="n"/>
      <c r="K174" s="7" t="n"/>
      <c r="R174" s="7">
        <f>IF($C174="","",Q174*AC174/100)</f>
        <v/>
      </c>
      <c r="S174" s="11" t="n"/>
      <c r="U174" s="11" t="n"/>
      <c r="AA174" s="7" t="n"/>
      <c r="AC174" s="7" t="n"/>
      <c r="AE174">
        <f>IF($C174="","",IF($AK174=1,Settings!$C$6,Settings!$C$7)*1)</f>
        <v/>
      </c>
      <c r="AF174" s="7">
        <f>IF($C174="","",AE174*AC174)</f>
        <v/>
      </c>
      <c r="AG174" s="7">
        <f>IF($C174="","",AC174-AF174)</f>
        <v/>
      </c>
      <c r="AH174" s="7">
        <f>IF($C174="","",AG174-R174)</f>
        <v/>
      </c>
      <c r="AI174">
        <f>IF($C174="","",IF(COUNTIF($C$2:$C174,$C174)=1,1,0))</f>
        <v/>
      </c>
      <c r="AJ174">
        <f>IF($AI174=1,SUMPRODUCT(--($AL$2:$AL$1501&lt;$AL174))+1,"")</f>
        <v/>
      </c>
      <c r="AK174">
        <f>IF($C174="","",IF(OR($AD174=TRUE(),$AD174="TRUE"),0,1))</f>
        <v/>
      </c>
      <c r="AL174">
        <f>IF($AI174=1,IFERROR(IF(VALUE($C174)&lt;100000000,VALUE($C174),1000000000),IFERROR(IF(VALUE(MID($C174,2,20))&lt;100000000,VALUE(MID($C174,2,20)),1000000000),1000000000))+ROW()/100000,"")</f>
        <v/>
      </c>
    </row>
    <row r="175">
      <c r="J175" s="7" t="n"/>
      <c r="K175" s="7" t="n"/>
      <c r="R175" s="7">
        <f>IF($C175="","",Q175*AC175/100)</f>
        <v/>
      </c>
      <c r="S175" s="11" t="n"/>
      <c r="U175" s="11" t="n"/>
      <c r="AA175" s="7" t="n"/>
      <c r="AC175" s="7" t="n"/>
      <c r="AE175">
        <f>IF($C175="","",IF($AK175=1,Settings!$C$6,Settings!$C$7)*1)</f>
        <v/>
      </c>
      <c r="AF175" s="7">
        <f>IF($C175="","",AE175*AC175)</f>
        <v/>
      </c>
      <c r="AG175" s="7">
        <f>IF($C175="","",AC175-AF175)</f>
        <v/>
      </c>
      <c r="AH175" s="7">
        <f>IF($C175="","",AG175-R175)</f>
        <v/>
      </c>
      <c r="AI175">
        <f>IF($C175="","",IF(COUNTIF($C$2:$C175,$C175)=1,1,0))</f>
        <v/>
      </c>
      <c r="AJ175">
        <f>IF($AI175=1,SUMPRODUCT(--($AL$2:$AL$1501&lt;$AL175))+1,"")</f>
        <v/>
      </c>
      <c r="AK175">
        <f>IF($C175="","",IF(OR($AD175=TRUE(),$AD175="TRUE"),0,1))</f>
        <v/>
      </c>
      <c r="AL175">
        <f>IF($AI175=1,IFERROR(IF(VALUE($C175)&lt;100000000,VALUE($C175),1000000000),IFERROR(IF(VALUE(MID($C175,2,20))&lt;100000000,VALUE(MID($C175,2,20)),1000000000),1000000000))+ROW()/100000,"")</f>
        <v/>
      </c>
    </row>
    <row r="176">
      <c r="J176" s="7" t="n"/>
      <c r="K176" s="7" t="n"/>
      <c r="R176" s="7">
        <f>IF($C176="","",Q176*AC176/100)</f>
        <v/>
      </c>
      <c r="S176" s="11" t="n"/>
      <c r="U176" s="11" t="n"/>
      <c r="AA176" s="7" t="n"/>
      <c r="AC176" s="7" t="n"/>
      <c r="AE176">
        <f>IF($C176="","",IF($AK176=1,Settings!$C$6,Settings!$C$7)*1)</f>
        <v/>
      </c>
      <c r="AF176" s="7">
        <f>IF($C176="","",AE176*AC176)</f>
        <v/>
      </c>
      <c r="AG176" s="7">
        <f>IF($C176="","",AC176-AF176)</f>
        <v/>
      </c>
      <c r="AH176" s="7">
        <f>IF($C176="","",AG176-R176)</f>
        <v/>
      </c>
      <c r="AI176">
        <f>IF($C176="","",IF(COUNTIF($C$2:$C176,$C176)=1,1,0))</f>
        <v/>
      </c>
      <c r="AJ176">
        <f>IF($AI176=1,SUMPRODUCT(--($AL$2:$AL$1501&lt;$AL176))+1,"")</f>
        <v/>
      </c>
      <c r="AK176">
        <f>IF($C176="","",IF(OR($AD176=TRUE(),$AD176="TRUE"),0,1))</f>
        <v/>
      </c>
      <c r="AL176">
        <f>IF($AI176=1,IFERROR(IF(VALUE($C176)&lt;100000000,VALUE($C176),1000000000),IFERROR(IF(VALUE(MID($C176,2,20))&lt;100000000,VALUE(MID($C176,2,20)),1000000000),1000000000))+ROW()/100000,"")</f>
        <v/>
      </c>
    </row>
    <row r="177">
      <c r="J177" s="7" t="n"/>
      <c r="K177" s="7" t="n"/>
      <c r="R177" s="7">
        <f>IF($C177="","",Q177*AC177/100)</f>
        <v/>
      </c>
      <c r="S177" s="11" t="n"/>
      <c r="U177" s="11" t="n"/>
      <c r="AA177" s="7" t="n"/>
      <c r="AC177" s="7" t="n"/>
      <c r="AE177">
        <f>IF($C177="","",IF($AK177=1,Settings!$C$6,Settings!$C$7)*1)</f>
        <v/>
      </c>
      <c r="AF177" s="7">
        <f>IF($C177="","",AE177*AC177)</f>
        <v/>
      </c>
      <c r="AG177" s="7">
        <f>IF($C177="","",AC177-AF177)</f>
        <v/>
      </c>
      <c r="AH177" s="7">
        <f>IF($C177="","",AG177-R177)</f>
        <v/>
      </c>
      <c r="AI177">
        <f>IF($C177="","",IF(COUNTIF($C$2:$C177,$C177)=1,1,0))</f>
        <v/>
      </c>
      <c r="AJ177">
        <f>IF($AI177=1,SUMPRODUCT(--($AL$2:$AL$1501&lt;$AL177))+1,"")</f>
        <v/>
      </c>
      <c r="AK177">
        <f>IF($C177="","",IF(OR($AD177=TRUE(),$AD177="TRUE"),0,1))</f>
        <v/>
      </c>
      <c r="AL177">
        <f>IF($AI177=1,IFERROR(IF(VALUE($C177)&lt;100000000,VALUE($C177),1000000000),IFERROR(IF(VALUE(MID($C177,2,20))&lt;100000000,VALUE(MID($C177,2,20)),1000000000),1000000000))+ROW()/100000,"")</f>
        <v/>
      </c>
    </row>
    <row r="178">
      <c r="J178" s="7" t="n"/>
      <c r="K178" s="7" t="n"/>
      <c r="R178" s="7">
        <f>IF($C178="","",Q178*AC178/100)</f>
        <v/>
      </c>
      <c r="S178" s="11" t="n"/>
      <c r="U178" s="11" t="n"/>
      <c r="AA178" s="7" t="n"/>
      <c r="AC178" s="7" t="n"/>
      <c r="AE178">
        <f>IF($C178="","",IF($AK178=1,Settings!$C$6,Settings!$C$7)*1)</f>
        <v/>
      </c>
      <c r="AF178" s="7">
        <f>IF($C178="","",AE178*AC178)</f>
        <v/>
      </c>
      <c r="AG178" s="7">
        <f>IF($C178="","",AC178-AF178)</f>
        <v/>
      </c>
      <c r="AH178" s="7">
        <f>IF($C178="","",AG178-R178)</f>
        <v/>
      </c>
      <c r="AI178">
        <f>IF($C178="","",IF(COUNTIF($C$2:$C178,$C178)=1,1,0))</f>
        <v/>
      </c>
      <c r="AJ178">
        <f>IF($AI178=1,SUMPRODUCT(--($AL$2:$AL$1501&lt;$AL178))+1,"")</f>
        <v/>
      </c>
      <c r="AK178">
        <f>IF($C178="","",IF(OR($AD178=TRUE(),$AD178="TRUE"),0,1))</f>
        <v/>
      </c>
      <c r="AL178">
        <f>IF($AI178=1,IFERROR(IF(VALUE($C178)&lt;100000000,VALUE($C178),1000000000),IFERROR(IF(VALUE(MID($C178,2,20))&lt;100000000,VALUE(MID($C178,2,20)),1000000000),1000000000))+ROW()/100000,"")</f>
        <v/>
      </c>
    </row>
    <row r="179">
      <c r="J179" s="7" t="n"/>
      <c r="K179" s="7" t="n"/>
      <c r="R179" s="7">
        <f>IF($C179="","",Q179*AC179/100)</f>
        <v/>
      </c>
      <c r="S179" s="11" t="n"/>
      <c r="U179" s="11" t="n"/>
      <c r="AA179" s="7" t="n"/>
      <c r="AC179" s="7" t="n"/>
      <c r="AE179">
        <f>IF($C179="","",IF($AK179=1,Settings!$C$6,Settings!$C$7)*1)</f>
        <v/>
      </c>
      <c r="AF179" s="7">
        <f>IF($C179="","",AE179*AC179)</f>
        <v/>
      </c>
      <c r="AG179" s="7">
        <f>IF($C179="","",AC179-AF179)</f>
        <v/>
      </c>
      <c r="AH179" s="7">
        <f>IF($C179="","",AG179-R179)</f>
        <v/>
      </c>
      <c r="AI179">
        <f>IF($C179="","",IF(COUNTIF($C$2:$C179,$C179)=1,1,0))</f>
        <v/>
      </c>
      <c r="AJ179">
        <f>IF($AI179=1,SUMPRODUCT(--($AL$2:$AL$1501&lt;$AL179))+1,"")</f>
        <v/>
      </c>
      <c r="AK179">
        <f>IF($C179="","",IF(OR($AD179=TRUE(),$AD179="TRUE"),0,1))</f>
        <v/>
      </c>
      <c r="AL179">
        <f>IF($AI179=1,IFERROR(IF(VALUE($C179)&lt;100000000,VALUE($C179),1000000000),IFERROR(IF(VALUE(MID($C179,2,20))&lt;100000000,VALUE(MID($C179,2,20)),1000000000),1000000000))+ROW()/100000,"")</f>
        <v/>
      </c>
    </row>
    <row r="180">
      <c r="J180" s="7" t="n"/>
      <c r="K180" s="7" t="n"/>
      <c r="R180" s="7">
        <f>IF($C180="","",Q180*AC180/100)</f>
        <v/>
      </c>
      <c r="S180" s="11" t="n"/>
      <c r="U180" s="11" t="n"/>
      <c r="AA180" s="7" t="n"/>
      <c r="AC180" s="7" t="n"/>
      <c r="AE180">
        <f>IF($C180="","",IF($AK180=1,Settings!$C$6,Settings!$C$7)*1)</f>
        <v/>
      </c>
      <c r="AF180" s="7">
        <f>IF($C180="","",AE180*AC180)</f>
        <v/>
      </c>
      <c r="AG180" s="7">
        <f>IF($C180="","",AC180-AF180)</f>
        <v/>
      </c>
      <c r="AH180" s="7">
        <f>IF($C180="","",AG180-R180)</f>
        <v/>
      </c>
      <c r="AI180">
        <f>IF($C180="","",IF(COUNTIF($C$2:$C180,$C180)=1,1,0))</f>
        <v/>
      </c>
      <c r="AJ180">
        <f>IF($AI180=1,SUMPRODUCT(--($AL$2:$AL$1501&lt;$AL180))+1,"")</f>
        <v/>
      </c>
      <c r="AK180">
        <f>IF($C180="","",IF(OR($AD180=TRUE(),$AD180="TRUE"),0,1))</f>
        <v/>
      </c>
      <c r="AL180">
        <f>IF($AI180=1,IFERROR(IF(VALUE($C180)&lt;100000000,VALUE($C180),1000000000),IFERROR(IF(VALUE(MID($C180,2,20))&lt;100000000,VALUE(MID($C180,2,20)),1000000000),1000000000))+ROW()/100000,"")</f>
        <v/>
      </c>
    </row>
    <row r="181">
      <c r="J181" s="7" t="n"/>
      <c r="K181" s="7" t="n"/>
      <c r="R181" s="7">
        <f>IF($C181="","",Q181*AC181/100)</f>
        <v/>
      </c>
      <c r="S181" s="11" t="n"/>
      <c r="U181" s="11" t="n"/>
      <c r="AA181" s="7" t="n"/>
      <c r="AC181" s="7" t="n"/>
      <c r="AE181">
        <f>IF($C181="","",IF($AK181=1,Settings!$C$6,Settings!$C$7)*1)</f>
        <v/>
      </c>
      <c r="AF181" s="7">
        <f>IF($C181="","",AE181*AC181)</f>
        <v/>
      </c>
      <c r="AG181" s="7">
        <f>IF($C181="","",AC181-AF181)</f>
        <v/>
      </c>
      <c r="AH181" s="7">
        <f>IF($C181="","",AG181-R181)</f>
        <v/>
      </c>
      <c r="AI181">
        <f>IF($C181="","",IF(COUNTIF($C$2:$C181,$C181)=1,1,0))</f>
        <v/>
      </c>
      <c r="AJ181">
        <f>IF($AI181=1,SUMPRODUCT(--($AL$2:$AL$1501&lt;$AL181))+1,"")</f>
        <v/>
      </c>
      <c r="AK181">
        <f>IF($C181="","",IF(OR($AD181=TRUE(),$AD181="TRUE"),0,1))</f>
        <v/>
      </c>
      <c r="AL181">
        <f>IF($AI181=1,IFERROR(IF(VALUE($C181)&lt;100000000,VALUE($C181),1000000000),IFERROR(IF(VALUE(MID($C181,2,20))&lt;100000000,VALUE(MID($C181,2,20)),1000000000),1000000000))+ROW()/100000,"")</f>
        <v/>
      </c>
    </row>
    <row r="182">
      <c r="J182" s="7" t="n"/>
      <c r="K182" s="7" t="n"/>
      <c r="R182" s="7">
        <f>IF($C182="","",Q182*AC182/100)</f>
        <v/>
      </c>
      <c r="S182" s="11" t="n"/>
      <c r="U182" s="11" t="n"/>
      <c r="AA182" s="7" t="n"/>
      <c r="AC182" s="7" t="n"/>
      <c r="AE182">
        <f>IF($C182="","",IF($AK182=1,Settings!$C$6,Settings!$C$7)*1)</f>
        <v/>
      </c>
      <c r="AF182" s="7">
        <f>IF($C182="","",AE182*AC182)</f>
        <v/>
      </c>
      <c r="AG182" s="7">
        <f>IF($C182="","",AC182-AF182)</f>
        <v/>
      </c>
      <c r="AH182" s="7">
        <f>IF($C182="","",AG182-R182)</f>
        <v/>
      </c>
      <c r="AI182">
        <f>IF($C182="","",IF(COUNTIF($C$2:$C182,$C182)=1,1,0))</f>
        <v/>
      </c>
      <c r="AJ182">
        <f>IF($AI182=1,SUMPRODUCT(--($AL$2:$AL$1501&lt;$AL182))+1,"")</f>
        <v/>
      </c>
      <c r="AK182">
        <f>IF($C182="","",IF(OR($AD182=TRUE(),$AD182="TRUE"),0,1))</f>
        <v/>
      </c>
      <c r="AL182">
        <f>IF($AI182=1,IFERROR(IF(VALUE($C182)&lt;100000000,VALUE($C182),1000000000),IFERROR(IF(VALUE(MID($C182,2,20))&lt;100000000,VALUE(MID($C182,2,20)),1000000000),1000000000))+ROW()/100000,"")</f>
        <v/>
      </c>
    </row>
    <row r="183">
      <c r="J183" s="7" t="n"/>
      <c r="K183" s="7" t="n"/>
      <c r="R183" s="7">
        <f>IF($C183="","",Q183*AC183/100)</f>
        <v/>
      </c>
      <c r="S183" s="11" t="n"/>
      <c r="U183" s="11" t="n"/>
      <c r="AA183" s="7" t="n"/>
      <c r="AC183" s="7" t="n"/>
      <c r="AE183">
        <f>IF($C183="","",IF($AK183=1,Settings!$C$6,Settings!$C$7)*1)</f>
        <v/>
      </c>
      <c r="AF183" s="7">
        <f>IF($C183="","",AE183*AC183)</f>
        <v/>
      </c>
      <c r="AG183" s="7">
        <f>IF($C183="","",AC183-AF183)</f>
        <v/>
      </c>
      <c r="AH183" s="7">
        <f>IF($C183="","",AG183-R183)</f>
        <v/>
      </c>
      <c r="AI183">
        <f>IF($C183="","",IF(COUNTIF($C$2:$C183,$C183)=1,1,0))</f>
        <v/>
      </c>
      <c r="AJ183">
        <f>IF($AI183=1,SUMPRODUCT(--($AL$2:$AL$1501&lt;$AL183))+1,"")</f>
        <v/>
      </c>
      <c r="AK183">
        <f>IF($C183="","",IF(OR($AD183=TRUE(),$AD183="TRUE"),0,1))</f>
        <v/>
      </c>
      <c r="AL183">
        <f>IF($AI183=1,IFERROR(IF(VALUE($C183)&lt;100000000,VALUE($C183),1000000000),IFERROR(IF(VALUE(MID($C183,2,20))&lt;100000000,VALUE(MID($C183,2,20)),1000000000),1000000000))+ROW()/100000,"")</f>
        <v/>
      </c>
    </row>
    <row r="184">
      <c r="J184" s="7" t="n"/>
      <c r="K184" s="7" t="n"/>
      <c r="R184" s="7">
        <f>IF($C184="","",Q184*AC184/100)</f>
        <v/>
      </c>
      <c r="S184" s="11" t="n"/>
      <c r="U184" s="11" t="n"/>
      <c r="AA184" s="7" t="n"/>
      <c r="AC184" s="7" t="n"/>
      <c r="AE184">
        <f>IF($C184="","",IF($AK184=1,Settings!$C$6,Settings!$C$7)*1)</f>
        <v/>
      </c>
      <c r="AF184" s="7">
        <f>IF($C184="","",AE184*AC184)</f>
        <v/>
      </c>
      <c r="AG184" s="7">
        <f>IF($C184="","",AC184-AF184)</f>
        <v/>
      </c>
      <c r="AH184" s="7">
        <f>IF($C184="","",AG184-R184)</f>
        <v/>
      </c>
      <c r="AI184">
        <f>IF($C184="","",IF(COUNTIF($C$2:$C184,$C184)=1,1,0))</f>
        <v/>
      </c>
      <c r="AJ184">
        <f>IF($AI184=1,SUMPRODUCT(--($AL$2:$AL$1501&lt;$AL184))+1,"")</f>
        <v/>
      </c>
      <c r="AK184">
        <f>IF($C184="","",IF(OR($AD184=TRUE(),$AD184="TRUE"),0,1))</f>
        <v/>
      </c>
      <c r="AL184">
        <f>IF($AI184=1,IFERROR(IF(VALUE($C184)&lt;100000000,VALUE($C184),1000000000),IFERROR(IF(VALUE(MID($C184,2,20))&lt;100000000,VALUE(MID($C184,2,20)),1000000000),1000000000))+ROW()/100000,"")</f>
        <v/>
      </c>
    </row>
    <row r="185">
      <c r="J185" s="7" t="n"/>
      <c r="K185" s="7" t="n"/>
      <c r="R185" s="7">
        <f>IF($C185="","",Q185*AC185/100)</f>
        <v/>
      </c>
      <c r="S185" s="11" t="n"/>
      <c r="U185" s="11" t="n"/>
      <c r="AA185" s="7" t="n"/>
      <c r="AC185" s="7" t="n"/>
      <c r="AE185">
        <f>IF($C185="","",IF($AK185=1,Settings!$C$6,Settings!$C$7)*1)</f>
        <v/>
      </c>
      <c r="AF185" s="7">
        <f>IF($C185="","",AE185*AC185)</f>
        <v/>
      </c>
      <c r="AG185" s="7">
        <f>IF($C185="","",AC185-AF185)</f>
        <v/>
      </c>
      <c r="AH185" s="7">
        <f>IF($C185="","",AG185-R185)</f>
        <v/>
      </c>
      <c r="AI185">
        <f>IF($C185="","",IF(COUNTIF($C$2:$C185,$C185)=1,1,0))</f>
        <v/>
      </c>
      <c r="AJ185">
        <f>IF($AI185=1,SUMPRODUCT(--($AL$2:$AL$1501&lt;$AL185))+1,"")</f>
        <v/>
      </c>
      <c r="AK185">
        <f>IF($C185="","",IF(OR($AD185=TRUE(),$AD185="TRUE"),0,1))</f>
        <v/>
      </c>
      <c r="AL185">
        <f>IF($AI185=1,IFERROR(IF(VALUE($C185)&lt;100000000,VALUE($C185),1000000000),IFERROR(IF(VALUE(MID($C185,2,20))&lt;100000000,VALUE(MID($C185,2,20)),1000000000),1000000000))+ROW()/100000,"")</f>
        <v/>
      </c>
    </row>
    <row r="186">
      <c r="J186" s="7" t="n"/>
      <c r="K186" s="7" t="n"/>
      <c r="R186" s="7">
        <f>IF($C186="","",Q186*AC186/100)</f>
        <v/>
      </c>
      <c r="S186" s="11" t="n"/>
      <c r="U186" s="11" t="n"/>
      <c r="AA186" s="7" t="n"/>
      <c r="AC186" s="7" t="n"/>
      <c r="AE186">
        <f>IF($C186="","",IF($AK186=1,Settings!$C$6,Settings!$C$7)*1)</f>
        <v/>
      </c>
      <c r="AF186" s="7">
        <f>IF($C186="","",AE186*AC186)</f>
        <v/>
      </c>
      <c r="AG186" s="7">
        <f>IF($C186="","",AC186-AF186)</f>
        <v/>
      </c>
      <c r="AH186" s="7">
        <f>IF($C186="","",AG186-R186)</f>
        <v/>
      </c>
      <c r="AI186">
        <f>IF($C186="","",IF(COUNTIF($C$2:$C186,$C186)=1,1,0))</f>
        <v/>
      </c>
      <c r="AJ186">
        <f>IF($AI186=1,SUMPRODUCT(--($AL$2:$AL$1501&lt;$AL186))+1,"")</f>
        <v/>
      </c>
      <c r="AK186">
        <f>IF($C186="","",IF(OR($AD186=TRUE(),$AD186="TRUE"),0,1))</f>
        <v/>
      </c>
      <c r="AL186">
        <f>IF($AI186=1,IFERROR(IF(VALUE($C186)&lt;100000000,VALUE($C186),1000000000),IFERROR(IF(VALUE(MID($C186,2,20))&lt;100000000,VALUE(MID($C186,2,20)),1000000000),1000000000))+ROW()/100000,"")</f>
        <v/>
      </c>
    </row>
    <row r="187">
      <c r="J187" s="7" t="n"/>
      <c r="K187" s="7" t="n"/>
      <c r="R187" s="7">
        <f>IF($C187="","",Q187*AC187/100)</f>
        <v/>
      </c>
      <c r="S187" s="11" t="n"/>
      <c r="U187" s="11" t="n"/>
      <c r="AA187" s="7" t="n"/>
      <c r="AC187" s="7" t="n"/>
      <c r="AE187">
        <f>IF($C187="","",IF($AK187=1,Settings!$C$6,Settings!$C$7)*1)</f>
        <v/>
      </c>
      <c r="AF187" s="7">
        <f>IF($C187="","",AE187*AC187)</f>
        <v/>
      </c>
      <c r="AG187" s="7">
        <f>IF($C187="","",AC187-AF187)</f>
        <v/>
      </c>
      <c r="AH187" s="7">
        <f>IF($C187="","",AG187-R187)</f>
        <v/>
      </c>
      <c r="AI187">
        <f>IF($C187="","",IF(COUNTIF($C$2:$C187,$C187)=1,1,0))</f>
        <v/>
      </c>
      <c r="AJ187">
        <f>IF($AI187=1,SUMPRODUCT(--($AL$2:$AL$1501&lt;$AL187))+1,"")</f>
        <v/>
      </c>
      <c r="AK187">
        <f>IF($C187="","",IF(OR($AD187=TRUE(),$AD187="TRUE"),0,1))</f>
        <v/>
      </c>
      <c r="AL187">
        <f>IF($AI187=1,IFERROR(IF(VALUE($C187)&lt;100000000,VALUE($C187),1000000000),IFERROR(IF(VALUE(MID($C187,2,20))&lt;100000000,VALUE(MID($C187,2,20)),1000000000),1000000000))+ROW()/100000,"")</f>
        <v/>
      </c>
    </row>
    <row r="188">
      <c r="J188" s="7" t="n"/>
      <c r="K188" s="7" t="n"/>
      <c r="R188" s="7">
        <f>IF($C188="","",Q188*AC188/100)</f>
        <v/>
      </c>
      <c r="S188" s="11" t="n"/>
      <c r="U188" s="11" t="n"/>
      <c r="AA188" s="7" t="n"/>
      <c r="AC188" s="7" t="n"/>
      <c r="AE188">
        <f>IF($C188="","",IF($AK188=1,Settings!$C$6,Settings!$C$7)*1)</f>
        <v/>
      </c>
      <c r="AF188" s="7">
        <f>IF($C188="","",AE188*AC188)</f>
        <v/>
      </c>
      <c r="AG188" s="7">
        <f>IF($C188="","",AC188-AF188)</f>
        <v/>
      </c>
      <c r="AH188" s="7">
        <f>IF($C188="","",AG188-R188)</f>
        <v/>
      </c>
      <c r="AI188">
        <f>IF($C188="","",IF(COUNTIF($C$2:$C188,$C188)=1,1,0))</f>
        <v/>
      </c>
      <c r="AJ188">
        <f>IF($AI188=1,SUMPRODUCT(--($AL$2:$AL$1501&lt;$AL188))+1,"")</f>
        <v/>
      </c>
      <c r="AK188">
        <f>IF($C188="","",IF(OR($AD188=TRUE(),$AD188="TRUE"),0,1))</f>
        <v/>
      </c>
      <c r="AL188">
        <f>IF($AI188=1,IFERROR(IF(VALUE($C188)&lt;100000000,VALUE($C188),1000000000),IFERROR(IF(VALUE(MID($C188,2,20))&lt;100000000,VALUE(MID($C188,2,20)),1000000000),1000000000))+ROW()/100000,"")</f>
        <v/>
      </c>
    </row>
    <row r="189">
      <c r="J189" s="7" t="n"/>
      <c r="K189" s="7" t="n"/>
      <c r="R189" s="7">
        <f>IF($C189="","",Q189*AC189/100)</f>
        <v/>
      </c>
      <c r="S189" s="11" t="n"/>
      <c r="U189" s="11" t="n"/>
      <c r="AA189" s="7" t="n"/>
      <c r="AC189" s="7" t="n"/>
      <c r="AE189">
        <f>IF($C189="","",IF($AK189=1,Settings!$C$6,Settings!$C$7)*1)</f>
        <v/>
      </c>
      <c r="AF189" s="7">
        <f>IF($C189="","",AE189*AC189)</f>
        <v/>
      </c>
      <c r="AG189" s="7">
        <f>IF($C189="","",AC189-AF189)</f>
        <v/>
      </c>
      <c r="AH189" s="7">
        <f>IF($C189="","",AG189-R189)</f>
        <v/>
      </c>
      <c r="AI189">
        <f>IF($C189="","",IF(COUNTIF($C$2:$C189,$C189)=1,1,0))</f>
        <v/>
      </c>
      <c r="AJ189">
        <f>IF($AI189=1,SUMPRODUCT(--($AL$2:$AL$1501&lt;$AL189))+1,"")</f>
        <v/>
      </c>
      <c r="AK189">
        <f>IF($C189="","",IF(OR($AD189=TRUE(),$AD189="TRUE"),0,1))</f>
        <v/>
      </c>
      <c r="AL189">
        <f>IF($AI189=1,IFERROR(IF(VALUE($C189)&lt;100000000,VALUE($C189),1000000000),IFERROR(IF(VALUE(MID($C189,2,20))&lt;100000000,VALUE(MID($C189,2,20)),1000000000),1000000000))+ROW()/100000,"")</f>
        <v/>
      </c>
    </row>
    <row r="190">
      <c r="J190" s="7" t="n"/>
      <c r="K190" s="7" t="n"/>
      <c r="R190" s="7">
        <f>IF($C190="","",Q190*AC190/100)</f>
        <v/>
      </c>
      <c r="S190" s="11" t="n"/>
      <c r="U190" s="11" t="n"/>
      <c r="AA190" s="7" t="n"/>
      <c r="AC190" s="7" t="n"/>
      <c r="AE190">
        <f>IF($C190="","",IF($AK190=1,Settings!$C$6,Settings!$C$7)*1)</f>
        <v/>
      </c>
      <c r="AF190" s="7">
        <f>IF($C190="","",AE190*AC190)</f>
        <v/>
      </c>
      <c r="AG190" s="7">
        <f>IF($C190="","",AC190-AF190)</f>
        <v/>
      </c>
      <c r="AH190" s="7">
        <f>IF($C190="","",AG190-R190)</f>
        <v/>
      </c>
      <c r="AI190">
        <f>IF($C190="","",IF(COUNTIF($C$2:$C190,$C190)=1,1,0))</f>
        <v/>
      </c>
      <c r="AJ190">
        <f>IF($AI190=1,SUMPRODUCT(--($AL$2:$AL$1501&lt;$AL190))+1,"")</f>
        <v/>
      </c>
      <c r="AK190">
        <f>IF($C190="","",IF(OR($AD190=TRUE(),$AD190="TRUE"),0,1))</f>
        <v/>
      </c>
      <c r="AL190">
        <f>IF($AI190=1,IFERROR(IF(VALUE($C190)&lt;100000000,VALUE($C190),1000000000),IFERROR(IF(VALUE(MID($C190,2,20))&lt;100000000,VALUE(MID($C190,2,20)),1000000000),1000000000))+ROW()/100000,"")</f>
        <v/>
      </c>
    </row>
    <row r="191">
      <c r="J191" s="7" t="n"/>
      <c r="K191" s="7" t="n"/>
      <c r="R191" s="7">
        <f>IF($C191="","",Q191*AC191/100)</f>
        <v/>
      </c>
      <c r="S191" s="11" t="n"/>
      <c r="U191" s="11" t="n"/>
      <c r="AA191" s="7" t="n"/>
      <c r="AC191" s="7" t="n"/>
      <c r="AE191">
        <f>IF($C191="","",IF($AK191=1,Settings!$C$6,Settings!$C$7)*1)</f>
        <v/>
      </c>
      <c r="AF191" s="7">
        <f>IF($C191="","",AE191*AC191)</f>
        <v/>
      </c>
      <c r="AG191" s="7">
        <f>IF($C191="","",AC191-AF191)</f>
        <v/>
      </c>
      <c r="AH191" s="7">
        <f>IF($C191="","",AG191-R191)</f>
        <v/>
      </c>
      <c r="AI191">
        <f>IF($C191="","",IF(COUNTIF($C$2:$C191,$C191)=1,1,0))</f>
        <v/>
      </c>
      <c r="AJ191">
        <f>IF($AI191=1,SUMPRODUCT(--($AL$2:$AL$1501&lt;$AL191))+1,"")</f>
        <v/>
      </c>
      <c r="AK191">
        <f>IF($C191="","",IF(OR($AD191=TRUE(),$AD191="TRUE"),0,1))</f>
        <v/>
      </c>
      <c r="AL191">
        <f>IF($AI191=1,IFERROR(IF(VALUE($C191)&lt;100000000,VALUE($C191),1000000000),IFERROR(IF(VALUE(MID($C191,2,20))&lt;100000000,VALUE(MID($C191,2,20)),1000000000),1000000000))+ROW()/100000,"")</f>
        <v/>
      </c>
    </row>
    <row r="192">
      <c r="J192" s="7" t="n"/>
      <c r="K192" s="7" t="n"/>
      <c r="R192" s="7">
        <f>IF($C192="","",Q192*AC192/100)</f>
        <v/>
      </c>
      <c r="S192" s="11" t="n"/>
      <c r="U192" s="11" t="n"/>
      <c r="AA192" s="7" t="n"/>
      <c r="AC192" s="7" t="n"/>
      <c r="AE192">
        <f>IF($C192="","",IF($AK192=1,Settings!$C$6,Settings!$C$7)*1)</f>
        <v/>
      </c>
      <c r="AF192" s="7">
        <f>IF($C192="","",AE192*AC192)</f>
        <v/>
      </c>
      <c r="AG192" s="7">
        <f>IF($C192="","",AC192-AF192)</f>
        <v/>
      </c>
      <c r="AH192" s="7">
        <f>IF($C192="","",AG192-R192)</f>
        <v/>
      </c>
      <c r="AI192">
        <f>IF($C192="","",IF(COUNTIF($C$2:$C192,$C192)=1,1,0))</f>
        <v/>
      </c>
      <c r="AJ192">
        <f>IF($AI192=1,SUMPRODUCT(--($AL$2:$AL$1501&lt;$AL192))+1,"")</f>
        <v/>
      </c>
      <c r="AK192">
        <f>IF($C192="","",IF(OR($AD192=TRUE(),$AD192="TRUE"),0,1))</f>
        <v/>
      </c>
      <c r="AL192">
        <f>IF($AI192=1,IFERROR(IF(VALUE($C192)&lt;100000000,VALUE($C192),1000000000),IFERROR(IF(VALUE(MID($C192,2,20))&lt;100000000,VALUE(MID($C192,2,20)),1000000000),1000000000))+ROW()/100000,"")</f>
        <v/>
      </c>
    </row>
    <row r="193">
      <c r="J193" s="7" t="n"/>
      <c r="K193" s="7" t="n"/>
      <c r="R193" s="7">
        <f>IF($C193="","",Q193*AC193/100)</f>
        <v/>
      </c>
      <c r="S193" s="11" t="n"/>
      <c r="U193" s="11" t="n"/>
      <c r="AA193" s="7" t="n"/>
      <c r="AC193" s="7" t="n"/>
      <c r="AE193">
        <f>IF($C193="","",IF($AK193=1,Settings!$C$6,Settings!$C$7)*1)</f>
        <v/>
      </c>
      <c r="AF193" s="7">
        <f>IF($C193="","",AE193*AC193)</f>
        <v/>
      </c>
      <c r="AG193" s="7">
        <f>IF($C193="","",AC193-AF193)</f>
        <v/>
      </c>
      <c r="AH193" s="7">
        <f>IF($C193="","",AG193-R193)</f>
        <v/>
      </c>
      <c r="AI193">
        <f>IF($C193="","",IF(COUNTIF($C$2:$C193,$C193)=1,1,0))</f>
        <v/>
      </c>
      <c r="AJ193">
        <f>IF($AI193=1,SUMPRODUCT(--($AL$2:$AL$1501&lt;$AL193))+1,"")</f>
        <v/>
      </c>
      <c r="AK193">
        <f>IF($C193="","",IF(OR($AD193=TRUE(),$AD193="TRUE"),0,1))</f>
        <v/>
      </c>
      <c r="AL193">
        <f>IF($AI193=1,IFERROR(IF(VALUE($C193)&lt;100000000,VALUE($C193),1000000000),IFERROR(IF(VALUE(MID($C193,2,20))&lt;100000000,VALUE(MID($C193,2,20)),1000000000),1000000000))+ROW()/100000,"")</f>
        <v/>
      </c>
    </row>
    <row r="194">
      <c r="J194" s="7" t="n"/>
      <c r="K194" s="7" t="n"/>
      <c r="R194" s="7">
        <f>IF($C194="","",Q194*AC194/100)</f>
        <v/>
      </c>
      <c r="S194" s="11" t="n"/>
      <c r="U194" s="11" t="n"/>
      <c r="AA194" s="7" t="n"/>
      <c r="AC194" s="7" t="n"/>
      <c r="AE194">
        <f>IF($C194="","",IF($AK194=1,Settings!$C$6,Settings!$C$7)*1)</f>
        <v/>
      </c>
      <c r="AF194" s="7">
        <f>IF($C194="","",AE194*AC194)</f>
        <v/>
      </c>
      <c r="AG194" s="7">
        <f>IF($C194="","",AC194-AF194)</f>
        <v/>
      </c>
      <c r="AH194" s="7">
        <f>IF($C194="","",AG194-R194)</f>
        <v/>
      </c>
      <c r="AI194">
        <f>IF($C194="","",IF(COUNTIF($C$2:$C194,$C194)=1,1,0))</f>
        <v/>
      </c>
      <c r="AJ194">
        <f>IF($AI194=1,SUMPRODUCT(--($AL$2:$AL$1501&lt;$AL194))+1,"")</f>
        <v/>
      </c>
      <c r="AK194">
        <f>IF($C194="","",IF(OR($AD194=TRUE(),$AD194="TRUE"),0,1))</f>
        <v/>
      </c>
      <c r="AL194">
        <f>IF($AI194=1,IFERROR(IF(VALUE($C194)&lt;100000000,VALUE($C194),1000000000),IFERROR(IF(VALUE(MID($C194,2,20))&lt;100000000,VALUE(MID($C194,2,20)),1000000000),1000000000))+ROW()/100000,"")</f>
        <v/>
      </c>
    </row>
    <row r="195">
      <c r="J195" s="7" t="n"/>
      <c r="K195" s="7" t="n"/>
      <c r="R195" s="7">
        <f>IF($C195="","",Q195*AC195/100)</f>
        <v/>
      </c>
      <c r="S195" s="11" t="n"/>
      <c r="U195" s="11" t="n"/>
      <c r="AA195" s="7" t="n"/>
      <c r="AC195" s="7" t="n"/>
      <c r="AE195">
        <f>IF($C195="","",IF($AK195=1,Settings!$C$6,Settings!$C$7)*1)</f>
        <v/>
      </c>
      <c r="AF195" s="7">
        <f>IF($C195="","",AE195*AC195)</f>
        <v/>
      </c>
      <c r="AG195" s="7">
        <f>IF($C195="","",AC195-AF195)</f>
        <v/>
      </c>
      <c r="AH195" s="7">
        <f>IF($C195="","",AG195-R195)</f>
        <v/>
      </c>
      <c r="AI195">
        <f>IF($C195="","",IF(COUNTIF($C$2:$C195,$C195)=1,1,0))</f>
        <v/>
      </c>
      <c r="AJ195">
        <f>IF($AI195=1,SUMPRODUCT(--($AL$2:$AL$1501&lt;$AL195))+1,"")</f>
        <v/>
      </c>
      <c r="AK195">
        <f>IF($C195="","",IF(OR($AD195=TRUE(),$AD195="TRUE"),0,1))</f>
        <v/>
      </c>
      <c r="AL195">
        <f>IF($AI195=1,IFERROR(IF(VALUE($C195)&lt;100000000,VALUE($C195),1000000000),IFERROR(IF(VALUE(MID($C195,2,20))&lt;100000000,VALUE(MID($C195,2,20)),1000000000),1000000000))+ROW()/100000,"")</f>
        <v/>
      </c>
    </row>
    <row r="196">
      <c r="J196" s="7" t="n"/>
      <c r="K196" s="7" t="n"/>
      <c r="R196" s="7">
        <f>IF($C196="","",Q196*AC196/100)</f>
        <v/>
      </c>
      <c r="S196" s="11" t="n"/>
      <c r="U196" s="11" t="n"/>
      <c r="AA196" s="7" t="n"/>
      <c r="AC196" s="7" t="n"/>
      <c r="AE196">
        <f>IF($C196="","",IF($AK196=1,Settings!$C$6,Settings!$C$7)*1)</f>
        <v/>
      </c>
      <c r="AF196" s="7">
        <f>IF($C196="","",AE196*AC196)</f>
        <v/>
      </c>
      <c r="AG196" s="7">
        <f>IF($C196="","",AC196-AF196)</f>
        <v/>
      </c>
      <c r="AH196" s="7">
        <f>IF($C196="","",AG196-R196)</f>
        <v/>
      </c>
      <c r="AI196">
        <f>IF($C196="","",IF(COUNTIF($C$2:$C196,$C196)=1,1,0))</f>
        <v/>
      </c>
      <c r="AJ196">
        <f>IF($AI196=1,SUMPRODUCT(--($AL$2:$AL$1501&lt;$AL196))+1,"")</f>
        <v/>
      </c>
      <c r="AK196">
        <f>IF($C196="","",IF(OR($AD196=TRUE(),$AD196="TRUE"),0,1))</f>
        <v/>
      </c>
      <c r="AL196">
        <f>IF($AI196=1,IFERROR(IF(VALUE($C196)&lt;100000000,VALUE($C196),1000000000),IFERROR(IF(VALUE(MID($C196,2,20))&lt;100000000,VALUE(MID($C196,2,20)),1000000000),1000000000))+ROW()/100000,"")</f>
        <v/>
      </c>
    </row>
    <row r="197">
      <c r="J197" s="7" t="n"/>
      <c r="K197" s="7" t="n"/>
      <c r="R197" s="7">
        <f>IF($C197="","",Q197*AC197/100)</f>
        <v/>
      </c>
      <c r="S197" s="11" t="n"/>
      <c r="U197" s="11" t="n"/>
      <c r="AA197" s="7" t="n"/>
      <c r="AC197" s="7" t="n"/>
      <c r="AE197">
        <f>IF($C197="","",IF($AK197=1,Settings!$C$6,Settings!$C$7)*1)</f>
        <v/>
      </c>
      <c r="AF197" s="7">
        <f>IF($C197="","",AE197*AC197)</f>
        <v/>
      </c>
      <c r="AG197" s="7">
        <f>IF($C197="","",AC197-AF197)</f>
        <v/>
      </c>
      <c r="AH197" s="7">
        <f>IF($C197="","",AG197-R197)</f>
        <v/>
      </c>
      <c r="AI197">
        <f>IF($C197="","",IF(COUNTIF($C$2:$C197,$C197)=1,1,0))</f>
        <v/>
      </c>
      <c r="AJ197">
        <f>IF($AI197=1,SUMPRODUCT(--($AL$2:$AL$1501&lt;$AL197))+1,"")</f>
        <v/>
      </c>
      <c r="AK197">
        <f>IF($C197="","",IF(OR($AD197=TRUE(),$AD197="TRUE"),0,1))</f>
        <v/>
      </c>
      <c r="AL197">
        <f>IF($AI197=1,IFERROR(IF(VALUE($C197)&lt;100000000,VALUE($C197),1000000000),IFERROR(IF(VALUE(MID($C197,2,20))&lt;100000000,VALUE(MID($C197,2,20)),1000000000),1000000000))+ROW()/100000,"")</f>
        <v/>
      </c>
    </row>
    <row r="198">
      <c r="J198" s="7" t="n"/>
      <c r="K198" s="7" t="n"/>
      <c r="R198" s="7">
        <f>IF($C198="","",Q198*AC198/100)</f>
        <v/>
      </c>
      <c r="S198" s="11" t="n"/>
      <c r="U198" s="11" t="n"/>
      <c r="AA198" s="7" t="n"/>
      <c r="AC198" s="7" t="n"/>
      <c r="AE198">
        <f>IF($C198="","",IF($AK198=1,Settings!$C$6,Settings!$C$7)*1)</f>
        <v/>
      </c>
      <c r="AF198" s="7">
        <f>IF($C198="","",AE198*AC198)</f>
        <v/>
      </c>
      <c r="AG198" s="7">
        <f>IF($C198="","",AC198-AF198)</f>
        <v/>
      </c>
      <c r="AH198" s="7">
        <f>IF($C198="","",AG198-R198)</f>
        <v/>
      </c>
      <c r="AI198">
        <f>IF($C198="","",IF(COUNTIF($C$2:$C198,$C198)=1,1,0))</f>
        <v/>
      </c>
      <c r="AJ198">
        <f>IF($AI198=1,SUMPRODUCT(--($AL$2:$AL$1501&lt;$AL198))+1,"")</f>
        <v/>
      </c>
      <c r="AK198">
        <f>IF($C198="","",IF(OR($AD198=TRUE(),$AD198="TRUE"),0,1))</f>
        <v/>
      </c>
      <c r="AL198">
        <f>IF($AI198=1,IFERROR(IF(VALUE($C198)&lt;100000000,VALUE($C198),1000000000),IFERROR(IF(VALUE(MID($C198,2,20))&lt;100000000,VALUE(MID($C198,2,20)),1000000000),1000000000))+ROW()/100000,"")</f>
        <v/>
      </c>
    </row>
    <row r="199">
      <c r="J199" s="7" t="n"/>
      <c r="K199" s="7" t="n"/>
      <c r="R199" s="7">
        <f>IF($C199="","",Q199*AC199/100)</f>
        <v/>
      </c>
      <c r="S199" s="11" t="n"/>
      <c r="U199" s="11" t="n"/>
      <c r="AA199" s="7" t="n"/>
      <c r="AC199" s="7" t="n"/>
      <c r="AE199">
        <f>IF($C199="","",IF($AK199=1,Settings!$C$6,Settings!$C$7)*1)</f>
        <v/>
      </c>
      <c r="AF199" s="7">
        <f>IF($C199="","",AE199*AC199)</f>
        <v/>
      </c>
      <c r="AG199" s="7">
        <f>IF($C199="","",AC199-AF199)</f>
        <v/>
      </c>
      <c r="AH199" s="7">
        <f>IF($C199="","",AG199-R199)</f>
        <v/>
      </c>
      <c r="AI199">
        <f>IF($C199="","",IF(COUNTIF($C$2:$C199,$C199)=1,1,0))</f>
        <v/>
      </c>
      <c r="AJ199">
        <f>IF($AI199=1,SUMPRODUCT(--($AL$2:$AL$1501&lt;$AL199))+1,"")</f>
        <v/>
      </c>
      <c r="AK199">
        <f>IF($C199="","",IF(OR($AD199=TRUE(),$AD199="TRUE"),0,1))</f>
        <v/>
      </c>
      <c r="AL199">
        <f>IF($AI199=1,IFERROR(IF(VALUE($C199)&lt;100000000,VALUE($C199),1000000000),IFERROR(IF(VALUE(MID($C199,2,20))&lt;100000000,VALUE(MID($C199,2,20)),1000000000),1000000000))+ROW()/100000,"")</f>
        <v/>
      </c>
    </row>
    <row r="200">
      <c r="J200" s="7" t="n"/>
      <c r="K200" s="7" t="n"/>
      <c r="R200" s="7">
        <f>IF($C200="","",Q200*AC200/100)</f>
        <v/>
      </c>
      <c r="S200" s="11" t="n"/>
      <c r="U200" s="11" t="n"/>
      <c r="AA200" s="7" t="n"/>
      <c r="AC200" s="7" t="n"/>
      <c r="AE200">
        <f>IF($C200="","",IF($AK200=1,Settings!$C$6,Settings!$C$7)*1)</f>
        <v/>
      </c>
      <c r="AF200" s="7">
        <f>IF($C200="","",AE200*AC200)</f>
        <v/>
      </c>
      <c r="AG200" s="7">
        <f>IF($C200="","",AC200-AF200)</f>
        <v/>
      </c>
      <c r="AH200" s="7">
        <f>IF($C200="","",AG200-R200)</f>
        <v/>
      </c>
      <c r="AI200">
        <f>IF($C200="","",IF(COUNTIF($C$2:$C200,$C200)=1,1,0))</f>
        <v/>
      </c>
      <c r="AJ200">
        <f>IF($AI200=1,SUMPRODUCT(--($AL$2:$AL$1501&lt;$AL200))+1,"")</f>
        <v/>
      </c>
      <c r="AK200">
        <f>IF($C200="","",IF(OR($AD200=TRUE(),$AD200="TRUE"),0,1))</f>
        <v/>
      </c>
      <c r="AL200">
        <f>IF($AI200=1,IFERROR(IF(VALUE($C200)&lt;100000000,VALUE($C200),1000000000),IFERROR(IF(VALUE(MID($C200,2,20))&lt;100000000,VALUE(MID($C200,2,20)),1000000000),1000000000))+ROW()/100000,"")</f>
        <v/>
      </c>
    </row>
    <row r="201">
      <c r="J201" s="7" t="n"/>
      <c r="K201" s="7" t="n"/>
      <c r="R201" s="7">
        <f>IF($C201="","",Q201*AC201/100)</f>
        <v/>
      </c>
      <c r="S201" s="11" t="n"/>
      <c r="U201" s="11" t="n"/>
      <c r="AA201" s="7" t="n"/>
      <c r="AC201" s="7" t="n"/>
      <c r="AE201">
        <f>IF($C201="","",IF($AK201=1,Settings!$C$6,Settings!$C$7)*1)</f>
        <v/>
      </c>
      <c r="AF201" s="7">
        <f>IF($C201="","",AE201*AC201)</f>
        <v/>
      </c>
      <c r="AG201" s="7">
        <f>IF($C201="","",AC201-AF201)</f>
        <v/>
      </c>
      <c r="AH201" s="7">
        <f>IF($C201="","",AG201-R201)</f>
        <v/>
      </c>
      <c r="AI201">
        <f>IF($C201="","",IF(COUNTIF($C$2:$C201,$C201)=1,1,0))</f>
        <v/>
      </c>
      <c r="AJ201">
        <f>IF($AI201=1,SUMPRODUCT(--($AL$2:$AL$1501&lt;$AL201))+1,"")</f>
        <v/>
      </c>
      <c r="AK201">
        <f>IF($C201="","",IF(OR($AD201=TRUE(),$AD201="TRUE"),0,1))</f>
        <v/>
      </c>
      <c r="AL201">
        <f>IF($AI201=1,IFERROR(IF(VALUE($C201)&lt;100000000,VALUE($C201),1000000000),IFERROR(IF(VALUE(MID($C201,2,20))&lt;100000000,VALUE(MID($C201,2,20)),1000000000),1000000000))+ROW()/100000,"")</f>
        <v/>
      </c>
    </row>
    <row r="202">
      <c r="J202" s="7" t="n"/>
      <c r="K202" s="7" t="n"/>
      <c r="R202" s="7">
        <f>IF($C202="","",Q202*AC202/100)</f>
        <v/>
      </c>
      <c r="S202" s="11" t="n"/>
      <c r="U202" s="11" t="n"/>
      <c r="AA202" s="7" t="n"/>
      <c r="AC202" s="7" t="n"/>
      <c r="AE202">
        <f>IF($C202="","",IF($AK202=1,Settings!$C$6,Settings!$C$7)*1)</f>
        <v/>
      </c>
      <c r="AF202" s="7">
        <f>IF($C202="","",AE202*AC202)</f>
        <v/>
      </c>
      <c r="AG202" s="7">
        <f>IF($C202="","",AC202-AF202)</f>
        <v/>
      </c>
      <c r="AH202" s="7">
        <f>IF($C202="","",AG202-R202)</f>
        <v/>
      </c>
      <c r="AI202">
        <f>IF($C202="","",IF(COUNTIF($C$2:$C202,$C202)=1,1,0))</f>
        <v/>
      </c>
      <c r="AJ202">
        <f>IF($AI202=1,SUMPRODUCT(--($AL$2:$AL$1501&lt;$AL202))+1,"")</f>
        <v/>
      </c>
      <c r="AK202">
        <f>IF($C202="","",IF(OR($AD202=TRUE(),$AD202="TRUE"),0,1))</f>
        <v/>
      </c>
      <c r="AL202">
        <f>IF($AI202=1,IFERROR(IF(VALUE($C202)&lt;100000000,VALUE($C202),1000000000),IFERROR(IF(VALUE(MID($C202,2,20))&lt;100000000,VALUE(MID($C202,2,20)),1000000000),1000000000))+ROW()/100000,"")</f>
        <v/>
      </c>
    </row>
    <row r="203">
      <c r="J203" s="7" t="n"/>
      <c r="K203" s="7" t="n"/>
      <c r="R203" s="7">
        <f>IF($C203="","",Q203*AC203/100)</f>
        <v/>
      </c>
      <c r="S203" s="11" t="n"/>
      <c r="U203" s="11" t="n"/>
      <c r="AA203" s="7" t="n"/>
      <c r="AC203" s="7" t="n"/>
      <c r="AE203">
        <f>IF($C203="","",IF($AK203=1,Settings!$C$6,Settings!$C$7)*1)</f>
        <v/>
      </c>
      <c r="AF203" s="7">
        <f>IF($C203="","",AE203*AC203)</f>
        <v/>
      </c>
      <c r="AG203" s="7">
        <f>IF($C203="","",AC203-AF203)</f>
        <v/>
      </c>
      <c r="AH203" s="7">
        <f>IF($C203="","",AG203-R203)</f>
        <v/>
      </c>
      <c r="AI203">
        <f>IF($C203="","",IF(COUNTIF($C$2:$C203,$C203)=1,1,0))</f>
        <v/>
      </c>
      <c r="AJ203">
        <f>IF($AI203=1,SUMPRODUCT(--($AL$2:$AL$1501&lt;$AL203))+1,"")</f>
        <v/>
      </c>
      <c r="AK203">
        <f>IF($C203="","",IF(OR($AD203=TRUE(),$AD203="TRUE"),0,1))</f>
        <v/>
      </c>
      <c r="AL203">
        <f>IF($AI203=1,IFERROR(IF(VALUE($C203)&lt;100000000,VALUE($C203),1000000000),IFERROR(IF(VALUE(MID($C203,2,20))&lt;100000000,VALUE(MID($C203,2,20)),1000000000),1000000000))+ROW()/100000,"")</f>
        <v/>
      </c>
    </row>
    <row r="204">
      <c r="J204" s="7" t="n"/>
      <c r="K204" s="7" t="n"/>
      <c r="R204" s="7">
        <f>IF($C204="","",Q204*AC204/100)</f>
        <v/>
      </c>
      <c r="S204" s="11" t="n"/>
      <c r="U204" s="11" t="n"/>
      <c r="AA204" s="7" t="n"/>
      <c r="AC204" s="7" t="n"/>
      <c r="AE204">
        <f>IF($C204="","",IF($AK204=1,Settings!$C$6,Settings!$C$7)*1)</f>
        <v/>
      </c>
      <c r="AF204" s="7">
        <f>IF($C204="","",AE204*AC204)</f>
        <v/>
      </c>
      <c r="AG204" s="7">
        <f>IF($C204="","",AC204-AF204)</f>
        <v/>
      </c>
      <c r="AH204" s="7">
        <f>IF($C204="","",AG204-R204)</f>
        <v/>
      </c>
      <c r="AI204">
        <f>IF($C204="","",IF(COUNTIF($C$2:$C204,$C204)=1,1,0))</f>
        <v/>
      </c>
      <c r="AJ204">
        <f>IF($AI204=1,SUMPRODUCT(--($AL$2:$AL$1501&lt;$AL204))+1,"")</f>
        <v/>
      </c>
      <c r="AK204">
        <f>IF($C204="","",IF(OR($AD204=TRUE(),$AD204="TRUE"),0,1))</f>
        <v/>
      </c>
      <c r="AL204">
        <f>IF($AI204=1,IFERROR(IF(VALUE($C204)&lt;100000000,VALUE($C204),1000000000),IFERROR(IF(VALUE(MID($C204,2,20))&lt;100000000,VALUE(MID($C204,2,20)),1000000000),1000000000))+ROW()/100000,"")</f>
        <v/>
      </c>
    </row>
    <row r="205">
      <c r="J205" s="7" t="n"/>
      <c r="K205" s="7" t="n"/>
      <c r="R205" s="7">
        <f>IF($C205="","",Q205*AC205/100)</f>
        <v/>
      </c>
      <c r="S205" s="11" t="n"/>
      <c r="U205" s="11" t="n"/>
      <c r="AA205" s="7" t="n"/>
      <c r="AC205" s="7" t="n"/>
      <c r="AE205">
        <f>IF($C205="","",IF($AK205=1,Settings!$C$6,Settings!$C$7)*1)</f>
        <v/>
      </c>
      <c r="AF205" s="7">
        <f>IF($C205="","",AE205*AC205)</f>
        <v/>
      </c>
      <c r="AG205" s="7">
        <f>IF($C205="","",AC205-AF205)</f>
        <v/>
      </c>
      <c r="AH205" s="7">
        <f>IF($C205="","",AG205-R205)</f>
        <v/>
      </c>
      <c r="AI205">
        <f>IF($C205="","",IF(COUNTIF($C$2:$C205,$C205)=1,1,0))</f>
        <v/>
      </c>
      <c r="AJ205">
        <f>IF($AI205=1,SUMPRODUCT(--($AL$2:$AL$1501&lt;$AL205))+1,"")</f>
        <v/>
      </c>
      <c r="AK205">
        <f>IF($C205="","",IF(OR($AD205=TRUE(),$AD205="TRUE"),0,1))</f>
        <v/>
      </c>
      <c r="AL205">
        <f>IF($AI205=1,IFERROR(IF(VALUE($C205)&lt;100000000,VALUE($C205),1000000000),IFERROR(IF(VALUE(MID($C205,2,20))&lt;100000000,VALUE(MID($C205,2,20)),1000000000),1000000000))+ROW()/100000,"")</f>
        <v/>
      </c>
    </row>
    <row r="206">
      <c r="J206" s="7" t="n"/>
      <c r="K206" s="7" t="n"/>
      <c r="R206" s="7">
        <f>IF($C206="","",Q206*AC206/100)</f>
        <v/>
      </c>
      <c r="S206" s="11" t="n"/>
      <c r="U206" s="11" t="n"/>
      <c r="AA206" s="7" t="n"/>
      <c r="AC206" s="7" t="n"/>
      <c r="AE206">
        <f>IF($C206="","",IF($AK206=1,Settings!$C$6,Settings!$C$7)*1)</f>
        <v/>
      </c>
      <c r="AF206" s="7">
        <f>IF($C206="","",AE206*AC206)</f>
        <v/>
      </c>
      <c r="AG206" s="7">
        <f>IF($C206="","",AC206-AF206)</f>
        <v/>
      </c>
      <c r="AH206" s="7">
        <f>IF($C206="","",AG206-R206)</f>
        <v/>
      </c>
      <c r="AI206">
        <f>IF($C206="","",IF(COUNTIF($C$2:$C206,$C206)=1,1,0))</f>
        <v/>
      </c>
      <c r="AJ206">
        <f>IF($AI206=1,SUMPRODUCT(--($AL$2:$AL$1501&lt;$AL206))+1,"")</f>
        <v/>
      </c>
      <c r="AK206">
        <f>IF($C206="","",IF(OR($AD206=TRUE(),$AD206="TRUE"),0,1))</f>
        <v/>
      </c>
      <c r="AL206">
        <f>IF($AI206=1,IFERROR(IF(VALUE($C206)&lt;100000000,VALUE($C206),1000000000),IFERROR(IF(VALUE(MID($C206,2,20))&lt;100000000,VALUE(MID($C206,2,20)),1000000000),1000000000))+ROW()/100000,"")</f>
        <v/>
      </c>
    </row>
    <row r="207">
      <c r="J207" s="7" t="n"/>
      <c r="K207" s="7" t="n"/>
      <c r="R207" s="7">
        <f>IF($C207="","",Q207*AC207/100)</f>
        <v/>
      </c>
      <c r="S207" s="11" t="n"/>
      <c r="U207" s="11" t="n"/>
      <c r="AA207" s="7" t="n"/>
      <c r="AC207" s="7" t="n"/>
      <c r="AE207">
        <f>IF($C207="","",IF($AK207=1,Settings!$C$6,Settings!$C$7)*1)</f>
        <v/>
      </c>
      <c r="AF207" s="7">
        <f>IF($C207="","",AE207*AC207)</f>
        <v/>
      </c>
      <c r="AG207" s="7">
        <f>IF($C207="","",AC207-AF207)</f>
        <v/>
      </c>
      <c r="AH207" s="7">
        <f>IF($C207="","",AG207-R207)</f>
        <v/>
      </c>
      <c r="AI207">
        <f>IF($C207="","",IF(COUNTIF($C$2:$C207,$C207)=1,1,0))</f>
        <v/>
      </c>
      <c r="AJ207">
        <f>IF($AI207=1,SUMPRODUCT(--($AL$2:$AL$1501&lt;$AL207))+1,"")</f>
        <v/>
      </c>
      <c r="AK207">
        <f>IF($C207="","",IF(OR($AD207=TRUE(),$AD207="TRUE"),0,1))</f>
        <v/>
      </c>
      <c r="AL207">
        <f>IF($AI207=1,IFERROR(IF(VALUE($C207)&lt;100000000,VALUE($C207),1000000000),IFERROR(IF(VALUE(MID($C207,2,20))&lt;100000000,VALUE(MID($C207,2,20)),1000000000),1000000000))+ROW()/100000,"")</f>
        <v/>
      </c>
    </row>
    <row r="208">
      <c r="J208" s="7" t="n"/>
      <c r="K208" s="7" t="n"/>
      <c r="R208" s="7">
        <f>IF($C208="","",Q208*AC208/100)</f>
        <v/>
      </c>
      <c r="S208" s="11" t="n"/>
      <c r="U208" s="11" t="n"/>
      <c r="AA208" s="7" t="n"/>
      <c r="AC208" s="7" t="n"/>
      <c r="AE208">
        <f>IF($C208="","",IF($AK208=1,Settings!$C$6,Settings!$C$7)*1)</f>
        <v/>
      </c>
      <c r="AF208" s="7">
        <f>IF($C208="","",AE208*AC208)</f>
        <v/>
      </c>
      <c r="AG208" s="7">
        <f>IF($C208="","",AC208-AF208)</f>
        <v/>
      </c>
      <c r="AH208" s="7">
        <f>IF($C208="","",AG208-R208)</f>
        <v/>
      </c>
      <c r="AI208">
        <f>IF($C208="","",IF(COUNTIF($C$2:$C208,$C208)=1,1,0))</f>
        <v/>
      </c>
      <c r="AJ208">
        <f>IF($AI208=1,SUMPRODUCT(--($AL$2:$AL$1501&lt;$AL208))+1,"")</f>
        <v/>
      </c>
      <c r="AK208">
        <f>IF($C208="","",IF(OR($AD208=TRUE(),$AD208="TRUE"),0,1))</f>
        <v/>
      </c>
      <c r="AL208">
        <f>IF($AI208=1,IFERROR(IF(VALUE($C208)&lt;100000000,VALUE($C208),1000000000),IFERROR(IF(VALUE(MID($C208,2,20))&lt;100000000,VALUE(MID($C208,2,20)),1000000000),1000000000))+ROW()/100000,"")</f>
        <v/>
      </c>
    </row>
    <row r="209">
      <c r="J209" s="7" t="n"/>
      <c r="K209" s="7" t="n"/>
      <c r="R209" s="7">
        <f>IF($C209="","",Q209*AC209/100)</f>
        <v/>
      </c>
      <c r="S209" s="11" t="n"/>
      <c r="U209" s="11" t="n"/>
      <c r="AA209" s="7" t="n"/>
      <c r="AC209" s="7" t="n"/>
      <c r="AE209">
        <f>IF($C209="","",IF($AK209=1,Settings!$C$6,Settings!$C$7)*1)</f>
        <v/>
      </c>
      <c r="AF209" s="7">
        <f>IF($C209="","",AE209*AC209)</f>
        <v/>
      </c>
      <c r="AG209" s="7">
        <f>IF($C209="","",AC209-AF209)</f>
        <v/>
      </c>
      <c r="AH209" s="7">
        <f>IF($C209="","",AG209-R209)</f>
        <v/>
      </c>
      <c r="AI209">
        <f>IF($C209="","",IF(COUNTIF($C$2:$C209,$C209)=1,1,0))</f>
        <v/>
      </c>
      <c r="AJ209">
        <f>IF($AI209=1,SUMPRODUCT(--($AL$2:$AL$1501&lt;$AL209))+1,"")</f>
        <v/>
      </c>
      <c r="AK209">
        <f>IF($C209="","",IF(OR($AD209=TRUE(),$AD209="TRUE"),0,1))</f>
        <v/>
      </c>
      <c r="AL209">
        <f>IF($AI209=1,IFERROR(IF(VALUE($C209)&lt;100000000,VALUE($C209),1000000000),IFERROR(IF(VALUE(MID($C209,2,20))&lt;100000000,VALUE(MID($C209,2,20)),1000000000),1000000000))+ROW()/100000,"")</f>
        <v/>
      </c>
    </row>
    <row r="210">
      <c r="J210" s="7" t="n"/>
      <c r="K210" s="7" t="n"/>
      <c r="R210" s="7">
        <f>IF($C210="","",Q210*AC210/100)</f>
        <v/>
      </c>
      <c r="S210" s="11" t="n"/>
      <c r="U210" s="11" t="n"/>
      <c r="AA210" s="7" t="n"/>
      <c r="AC210" s="7" t="n"/>
      <c r="AE210">
        <f>IF($C210="","",IF($AK210=1,Settings!$C$6,Settings!$C$7)*1)</f>
        <v/>
      </c>
      <c r="AF210" s="7">
        <f>IF($C210="","",AE210*AC210)</f>
        <v/>
      </c>
      <c r="AG210" s="7">
        <f>IF($C210="","",AC210-AF210)</f>
        <v/>
      </c>
      <c r="AH210" s="7">
        <f>IF($C210="","",AG210-R210)</f>
        <v/>
      </c>
      <c r="AI210">
        <f>IF($C210="","",IF(COUNTIF($C$2:$C210,$C210)=1,1,0))</f>
        <v/>
      </c>
      <c r="AJ210">
        <f>IF($AI210=1,SUMPRODUCT(--($AL$2:$AL$1501&lt;$AL210))+1,"")</f>
        <v/>
      </c>
      <c r="AK210">
        <f>IF($C210="","",IF(OR($AD210=TRUE(),$AD210="TRUE"),0,1))</f>
        <v/>
      </c>
      <c r="AL210">
        <f>IF($AI210=1,IFERROR(IF(VALUE($C210)&lt;100000000,VALUE($C210),1000000000),IFERROR(IF(VALUE(MID($C210,2,20))&lt;100000000,VALUE(MID($C210,2,20)),1000000000),1000000000))+ROW()/100000,"")</f>
        <v/>
      </c>
    </row>
    <row r="211">
      <c r="J211" s="7" t="n"/>
      <c r="K211" s="7" t="n"/>
      <c r="R211" s="7">
        <f>IF($C211="","",Q211*AC211/100)</f>
        <v/>
      </c>
      <c r="S211" s="11" t="n"/>
      <c r="U211" s="11" t="n"/>
      <c r="AA211" s="7" t="n"/>
      <c r="AC211" s="7" t="n"/>
      <c r="AE211">
        <f>IF($C211="","",IF($AK211=1,Settings!$C$6,Settings!$C$7)*1)</f>
        <v/>
      </c>
      <c r="AF211" s="7">
        <f>IF($C211="","",AE211*AC211)</f>
        <v/>
      </c>
      <c r="AG211" s="7">
        <f>IF($C211="","",AC211-AF211)</f>
        <v/>
      </c>
      <c r="AH211" s="7">
        <f>IF($C211="","",AG211-R211)</f>
        <v/>
      </c>
      <c r="AI211">
        <f>IF($C211="","",IF(COUNTIF($C$2:$C211,$C211)=1,1,0))</f>
        <v/>
      </c>
      <c r="AJ211">
        <f>IF($AI211=1,SUMPRODUCT(--($AL$2:$AL$1501&lt;$AL211))+1,"")</f>
        <v/>
      </c>
      <c r="AK211">
        <f>IF($C211="","",IF(OR($AD211=TRUE(),$AD211="TRUE"),0,1))</f>
        <v/>
      </c>
      <c r="AL211">
        <f>IF($AI211=1,IFERROR(IF(VALUE($C211)&lt;100000000,VALUE($C211),1000000000),IFERROR(IF(VALUE(MID($C211,2,20))&lt;100000000,VALUE(MID($C211,2,20)),1000000000),1000000000))+ROW()/100000,"")</f>
        <v/>
      </c>
    </row>
    <row r="212">
      <c r="J212" s="7" t="n"/>
      <c r="K212" s="7" t="n"/>
      <c r="R212" s="7">
        <f>IF($C212="","",Q212*AC212/100)</f>
        <v/>
      </c>
      <c r="S212" s="11" t="n"/>
      <c r="U212" s="11" t="n"/>
      <c r="AA212" s="7" t="n"/>
      <c r="AC212" s="7" t="n"/>
      <c r="AE212">
        <f>IF($C212="","",IF($AK212=1,Settings!$C$6,Settings!$C$7)*1)</f>
        <v/>
      </c>
      <c r="AF212" s="7">
        <f>IF($C212="","",AE212*AC212)</f>
        <v/>
      </c>
      <c r="AG212" s="7">
        <f>IF($C212="","",AC212-AF212)</f>
        <v/>
      </c>
      <c r="AH212" s="7">
        <f>IF($C212="","",AG212-R212)</f>
        <v/>
      </c>
      <c r="AI212">
        <f>IF($C212="","",IF(COUNTIF($C$2:$C212,$C212)=1,1,0))</f>
        <v/>
      </c>
      <c r="AJ212">
        <f>IF($AI212=1,SUMPRODUCT(--($AL$2:$AL$1501&lt;$AL212))+1,"")</f>
        <v/>
      </c>
      <c r="AK212">
        <f>IF($C212="","",IF(OR($AD212=TRUE(),$AD212="TRUE"),0,1))</f>
        <v/>
      </c>
      <c r="AL212">
        <f>IF($AI212=1,IFERROR(IF(VALUE($C212)&lt;100000000,VALUE($C212),1000000000),IFERROR(IF(VALUE(MID($C212,2,20))&lt;100000000,VALUE(MID($C212,2,20)),1000000000),1000000000))+ROW()/100000,"")</f>
        <v/>
      </c>
    </row>
    <row r="213">
      <c r="J213" s="7" t="n"/>
      <c r="K213" s="7" t="n"/>
      <c r="R213" s="7">
        <f>IF($C213="","",Q213*AC213/100)</f>
        <v/>
      </c>
      <c r="S213" s="11" t="n"/>
      <c r="U213" s="11" t="n"/>
      <c r="AA213" s="7" t="n"/>
      <c r="AC213" s="7" t="n"/>
      <c r="AE213">
        <f>IF($C213="","",IF($AK213=1,Settings!$C$6,Settings!$C$7)*1)</f>
        <v/>
      </c>
      <c r="AF213" s="7">
        <f>IF($C213="","",AE213*AC213)</f>
        <v/>
      </c>
      <c r="AG213" s="7">
        <f>IF($C213="","",AC213-AF213)</f>
        <v/>
      </c>
      <c r="AH213" s="7">
        <f>IF($C213="","",AG213-R213)</f>
        <v/>
      </c>
      <c r="AI213">
        <f>IF($C213="","",IF(COUNTIF($C$2:$C213,$C213)=1,1,0))</f>
        <v/>
      </c>
      <c r="AJ213">
        <f>IF($AI213=1,SUMPRODUCT(--($AL$2:$AL$1501&lt;$AL213))+1,"")</f>
        <v/>
      </c>
      <c r="AK213">
        <f>IF($C213="","",IF(OR($AD213=TRUE(),$AD213="TRUE"),0,1))</f>
        <v/>
      </c>
      <c r="AL213">
        <f>IF($AI213=1,IFERROR(IF(VALUE($C213)&lt;100000000,VALUE($C213),1000000000),IFERROR(IF(VALUE(MID($C213,2,20))&lt;100000000,VALUE(MID($C213,2,20)),1000000000),1000000000))+ROW()/100000,"")</f>
        <v/>
      </c>
    </row>
    <row r="214">
      <c r="J214" s="7" t="n"/>
      <c r="K214" s="7" t="n"/>
      <c r="R214" s="7">
        <f>IF($C214="","",Q214*AC214/100)</f>
        <v/>
      </c>
      <c r="S214" s="11" t="n"/>
      <c r="U214" s="11" t="n"/>
      <c r="AA214" s="7" t="n"/>
      <c r="AC214" s="7" t="n"/>
      <c r="AE214">
        <f>IF($C214="","",IF($AK214=1,Settings!$C$6,Settings!$C$7)*1)</f>
        <v/>
      </c>
      <c r="AF214" s="7">
        <f>IF($C214="","",AE214*AC214)</f>
        <v/>
      </c>
      <c r="AG214" s="7">
        <f>IF($C214="","",AC214-AF214)</f>
        <v/>
      </c>
      <c r="AH214" s="7">
        <f>IF($C214="","",AG214-R214)</f>
        <v/>
      </c>
      <c r="AI214">
        <f>IF($C214="","",IF(COUNTIF($C$2:$C214,$C214)=1,1,0))</f>
        <v/>
      </c>
      <c r="AJ214">
        <f>IF($AI214=1,SUMPRODUCT(--($AL$2:$AL$1501&lt;$AL214))+1,"")</f>
        <v/>
      </c>
      <c r="AK214">
        <f>IF($C214="","",IF(OR($AD214=TRUE(),$AD214="TRUE"),0,1))</f>
        <v/>
      </c>
      <c r="AL214">
        <f>IF($AI214=1,IFERROR(IF(VALUE($C214)&lt;100000000,VALUE($C214),1000000000),IFERROR(IF(VALUE(MID($C214,2,20))&lt;100000000,VALUE(MID($C214,2,20)),1000000000),1000000000))+ROW()/100000,"")</f>
        <v/>
      </c>
    </row>
    <row r="215">
      <c r="J215" s="7" t="n"/>
      <c r="K215" s="7" t="n"/>
      <c r="R215" s="7">
        <f>IF($C215="","",Q215*AC215/100)</f>
        <v/>
      </c>
      <c r="S215" s="11" t="n"/>
      <c r="U215" s="11" t="n"/>
      <c r="AA215" s="7" t="n"/>
      <c r="AC215" s="7" t="n"/>
      <c r="AE215">
        <f>IF($C215="","",IF($AK215=1,Settings!$C$6,Settings!$C$7)*1)</f>
        <v/>
      </c>
      <c r="AF215" s="7">
        <f>IF($C215="","",AE215*AC215)</f>
        <v/>
      </c>
      <c r="AG215" s="7">
        <f>IF($C215="","",AC215-AF215)</f>
        <v/>
      </c>
      <c r="AH215" s="7">
        <f>IF($C215="","",AG215-R215)</f>
        <v/>
      </c>
      <c r="AI215">
        <f>IF($C215="","",IF(COUNTIF($C$2:$C215,$C215)=1,1,0))</f>
        <v/>
      </c>
      <c r="AJ215">
        <f>IF($AI215=1,SUMPRODUCT(--($AL$2:$AL$1501&lt;$AL215))+1,"")</f>
        <v/>
      </c>
      <c r="AK215">
        <f>IF($C215="","",IF(OR($AD215=TRUE(),$AD215="TRUE"),0,1))</f>
        <v/>
      </c>
      <c r="AL215">
        <f>IF($AI215=1,IFERROR(IF(VALUE($C215)&lt;100000000,VALUE($C215),1000000000),IFERROR(IF(VALUE(MID($C215,2,20))&lt;100000000,VALUE(MID($C215,2,20)),1000000000),1000000000))+ROW()/100000,"")</f>
        <v/>
      </c>
    </row>
    <row r="216">
      <c r="J216" s="7" t="n"/>
      <c r="K216" s="7" t="n"/>
      <c r="R216" s="7">
        <f>IF($C216="","",Q216*AC216/100)</f>
        <v/>
      </c>
      <c r="S216" s="11" t="n"/>
      <c r="U216" s="11" t="n"/>
      <c r="AA216" s="7" t="n"/>
      <c r="AC216" s="7" t="n"/>
      <c r="AE216">
        <f>IF($C216="","",IF($AK216=1,Settings!$C$6,Settings!$C$7)*1)</f>
        <v/>
      </c>
      <c r="AF216" s="7">
        <f>IF($C216="","",AE216*AC216)</f>
        <v/>
      </c>
      <c r="AG216" s="7">
        <f>IF($C216="","",AC216-AF216)</f>
        <v/>
      </c>
      <c r="AH216" s="7">
        <f>IF($C216="","",AG216-R216)</f>
        <v/>
      </c>
      <c r="AI216">
        <f>IF($C216="","",IF(COUNTIF($C$2:$C216,$C216)=1,1,0))</f>
        <v/>
      </c>
      <c r="AJ216">
        <f>IF($AI216=1,SUMPRODUCT(--($AL$2:$AL$1501&lt;$AL216))+1,"")</f>
        <v/>
      </c>
      <c r="AK216">
        <f>IF($C216="","",IF(OR($AD216=TRUE(),$AD216="TRUE"),0,1))</f>
        <v/>
      </c>
      <c r="AL216">
        <f>IF($AI216=1,IFERROR(IF(VALUE($C216)&lt;100000000,VALUE($C216),1000000000),IFERROR(IF(VALUE(MID($C216,2,20))&lt;100000000,VALUE(MID($C216,2,20)),1000000000),1000000000))+ROW()/100000,"")</f>
        <v/>
      </c>
    </row>
    <row r="217">
      <c r="J217" s="7" t="n"/>
      <c r="K217" s="7" t="n"/>
      <c r="R217" s="7">
        <f>IF($C217="","",Q217*AC217/100)</f>
        <v/>
      </c>
      <c r="S217" s="11" t="n"/>
      <c r="U217" s="11" t="n"/>
      <c r="AA217" s="7" t="n"/>
      <c r="AC217" s="7" t="n"/>
      <c r="AE217">
        <f>IF($C217="","",IF($AK217=1,Settings!$C$6,Settings!$C$7)*1)</f>
        <v/>
      </c>
      <c r="AF217" s="7">
        <f>IF($C217="","",AE217*AC217)</f>
        <v/>
      </c>
      <c r="AG217" s="7">
        <f>IF($C217="","",AC217-AF217)</f>
        <v/>
      </c>
      <c r="AH217" s="7">
        <f>IF($C217="","",AG217-R217)</f>
        <v/>
      </c>
      <c r="AI217">
        <f>IF($C217="","",IF(COUNTIF($C$2:$C217,$C217)=1,1,0))</f>
        <v/>
      </c>
      <c r="AJ217">
        <f>IF($AI217=1,SUMPRODUCT(--($AL$2:$AL$1501&lt;$AL217))+1,"")</f>
        <v/>
      </c>
      <c r="AK217">
        <f>IF($C217="","",IF(OR($AD217=TRUE(),$AD217="TRUE"),0,1))</f>
        <v/>
      </c>
      <c r="AL217">
        <f>IF($AI217=1,IFERROR(IF(VALUE($C217)&lt;100000000,VALUE($C217),1000000000),IFERROR(IF(VALUE(MID($C217,2,20))&lt;100000000,VALUE(MID($C217,2,20)),1000000000),1000000000))+ROW()/100000,"")</f>
        <v/>
      </c>
    </row>
    <row r="218">
      <c r="J218" s="7" t="n"/>
      <c r="K218" s="7" t="n"/>
      <c r="R218" s="7">
        <f>IF($C218="","",Q218*AC218/100)</f>
        <v/>
      </c>
      <c r="S218" s="11" t="n"/>
      <c r="U218" s="11" t="n"/>
      <c r="AA218" s="7" t="n"/>
      <c r="AC218" s="7" t="n"/>
      <c r="AE218">
        <f>IF($C218="","",IF($AK218=1,Settings!$C$6,Settings!$C$7)*1)</f>
        <v/>
      </c>
      <c r="AF218" s="7">
        <f>IF($C218="","",AE218*AC218)</f>
        <v/>
      </c>
      <c r="AG218" s="7">
        <f>IF($C218="","",AC218-AF218)</f>
        <v/>
      </c>
      <c r="AH218" s="7">
        <f>IF($C218="","",AG218-R218)</f>
        <v/>
      </c>
      <c r="AI218">
        <f>IF($C218="","",IF(COUNTIF($C$2:$C218,$C218)=1,1,0))</f>
        <v/>
      </c>
      <c r="AJ218">
        <f>IF($AI218=1,SUMPRODUCT(--($AL$2:$AL$1501&lt;$AL218))+1,"")</f>
        <v/>
      </c>
      <c r="AK218">
        <f>IF($C218="","",IF(OR($AD218=TRUE(),$AD218="TRUE"),0,1))</f>
        <v/>
      </c>
      <c r="AL218">
        <f>IF($AI218=1,IFERROR(IF(VALUE($C218)&lt;100000000,VALUE($C218),1000000000),IFERROR(IF(VALUE(MID($C218,2,20))&lt;100000000,VALUE(MID($C218,2,20)),1000000000),1000000000))+ROW()/100000,"")</f>
        <v/>
      </c>
    </row>
    <row r="219">
      <c r="J219" s="7" t="n"/>
      <c r="K219" s="7" t="n"/>
      <c r="R219" s="7">
        <f>IF($C219="","",Q219*AC219/100)</f>
        <v/>
      </c>
      <c r="S219" s="11" t="n"/>
      <c r="U219" s="11" t="n"/>
      <c r="AA219" s="7" t="n"/>
      <c r="AC219" s="7" t="n"/>
      <c r="AE219">
        <f>IF($C219="","",IF($AK219=1,Settings!$C$6,Settings!$C$7)*1)</f>
        <v/>
      </c>
      <c r="AF219" s="7">
        <f>IF($C219="","",AE219*AC219)</f>
        <v/>
      </c>
      <c r="AG219" s="7">
        <f>IF($C219="","",AC219-AF219)</f>
        <v/>
      </c>
      <c r="AH219" s="7">
        <f>IF($C219="","",AG219-R219)</f>
        <v/>
      </c>
      <c r="AI219">
        <f>IF($C219="","",IF(COUNTIF($C$2:$C219,$C219)=1,1,0))</f>
        <v/>
      </c>
      <c r="AJ219">
        <f>IF($AI219=1,SUMPRODUCT(--($AL$2:$AL$1501&lt;$AL219))+1,"")</f>
        <v/>
      </c>
      <c r="AK219">
        <f>IF($C219="","",IF(OR($AD219=TRUE(),$AD219="TRUE"),0,1))</f>
        <v/>
      </c>
      <c r="AL219">
        <f>IF($AI219=1,IFERROR(IF(VALUE($C219)&lt;100000000,VALUE($C219),1000000000),IFERROR(IF(VALUE(MID($C219,2,20))&lt;100000000,VALUE(MID($C219,2,20)),1000000000),1000000000))+ROW()/100000,"")</f>
        <v/>
      </c>
    </row>
    <row r="220">
      <c r="J220" s="7" t="n"/>
      <c r="K220" s="7" t="n"/>
      <c r="R220" s="7">
        <f>IF($C220="","",Q220*AC220/100)</f>
        <v/>
      </c>
      <c r="S220" s="11" t="n"/>
      <c r="U220" s="11" t="n"/>
      <c r="AA220" s="7" t="n"/>
      <c r="AC220" s="7" t="n"/>
      <c r="AE220">
        <f>IF($C220="","",IF($AK220=1,Settings!$C$6,Settings!$C$7)*1)</f>
        <v/>
      </c>
      <c r="AF220" s="7">
        <f>IF($C220="","",AE220*AC220)</f>
        <v/>
      </c>
      <c r="AG220" s="7">
        <f>IF($C220="","",AC220-AF220)</f>
        <v/>
      </c>
      <c r="AH220" s="7">
        <f>IF($C220="","",AG220-R220)</f>
        <v/>
      </c>
      <c r="AI220">
        <f>IF($C220="","",IF(COUNTIF($C$2:$C220,$C220)=1,1,0))</f>
        <v/>
      </c>
      <c r="AJ220">
        <f>IF($AI220=1,SUMPRODUCT(--($AL$2:$AL$1501&lt;$AL220))+1,"")</f>
        <v/>
      </c>
      <c r="AK220">
        <f>IF($C220="","",IF(OR($AD220=TRUE(),$AD220="TRUE"),0,1))</f>
        <v/>
      </c>
      <c r="AL220">
        <f>IF($AI220=1,IFERROR(IF(VALUE($C220)&lt;100000000,VALUE($C220),1000000000),IFERROR(IF(VALUE(MID($C220,2,20))&lt;100000000,VALUE(MID($C220,2,20)),1000000000),1000000000))+ROW()/100000,"")</f>
        <v/>
      </c>
    </row>
    <row r="221">
      <c r="J221" s="7" t="n"/>
      <c r="K221" s="7" t="n"/>
      <c r="R221" s="7">
        <f>IF($C221="","",Q221*AC221/100)</f>
        <v/>
      </c>
      <c r="S221" s="11" t="n"/>
      <c r="U221" s="11" t="n"/>
      <c r="AA221" s="7" t="n"/>
      <c r="AC221" s="7" t="n"/>
      <c r="AE221">
        <f>IF($C221="","",IF($AK221=1,Settings!$C$6,Settings!$C$7)*1)</f>
        <v/>
      </c>
      <c r="AF221" s="7">
        <f>IF($C221="","",AE221*AC221)</f>
        <v/>
      </c>
      <c r="AG221" s="7">
        <f>IF($C221="","",AC221-AF221)</f>
        <v/>
      </c>
      <c r="AH221" s="7">
        <f>IF($C221="","",AG221-R221)</f>
        <v/>
      </c>
      <c r="AI221">
        <f>IF($C221="","",IF(COUNTIF($C$2:$C221,$C221)=1,1,0))</f>
        <v/>
      </c>
      <c r="AJ221">
        <f>IF($AI221=1,SUMPRODUCT(--($AL$2:$AL$1501&lt;$AL221))+1,"")</f>
        <v/>
      </c>
      <c r="AK221">
        <f>IF($C221="","",IF(OR($AD221=TRUE(),$AD221="TRUE"),0,1))</f>
        <v/>
      </c>
      <c r="AL221">
        <f>IF($AI221=1,IFERROR(IF(VALUE($C221)&lt;100000000,VALUE($C221),1000000000),IFERROR(IF(VALUE(MID($C221,2,20))&lt;100000000,VALUE(MID($C221,2,20)),1000000000),1000000000))+ROW()/100000,"")</f>
        <v/>
      </c>
    </row>
    <row r="222">
      <c r="J222" s="7" t="n"/>
      <c r="K222" s="7" t="n"/>
      <c r="R222" s="7">
        <f>IF($C222="","",Q222*AC222/100)</f>
        <v/>
      </c>
      <c r="S222" s="11" t="n"/>
      <c r="U222" s="11" t="n"/>
      <c r="AA222" s="7" t="n"/>
      <c r="AC222" s="7" t="n"/>
      <c r="AE222">
        <f>IF($C222="","",IF($AK222=1,Settings!$C$6,Settings!$C$7)*1)</f>
        <v/>
      </c>
      <c r="AF222" s="7">
        <f>IF($C222="","",AE222*AC222)</f>
        <v/>
      </c>
      <c r="AG222" s="7">
        <f>IF($C222="","",AC222-AF222)</f>
        <v/>
      </c>
      <c r="AH222" s="7">
        <f>IF($C222="","",AG222-R222)</f>
        <v/>
      </c>
      <c r="AI222">
        <f>IF($C222="","",IF(COUNTIF($C$2:$C222,$C222)=1,1,0))</f>
        <v/>
      </c>
      <c r="AJ222">
        <f>IF($AI222=1,SUMPRODUCT(--($AL$2:$AL$1501&lt;$AL222))+1,"")</f>
        <v/>
      </c>
      <c r="AK222">
        <f>IF($C222="","",IF(OR($AD222=TRUE(),$AD222="TRUE"),0,1))</f>
        <v/>
      </c>
      <c r="AL222">
        <f>IF($AI222=1,IFERROR(IF(VALUE($C222)&lt;100000000,VALUE($C222),1000000000),IFERROR(IF(VALUE(MID($C222,2,20))&lt;100000000,VALUE(MID($C222,2,20)),1000000000),1000000000))+ROW()/100000,"")</f>
        <v/>
      </c>
    </row>
    <row r="223">
      <c r="J223" s="7" t="n"/>
      <c r="K223" s="7" t="n"/>
      <c r="R223" s="7">
        <f>IF($C223="","",Q223*AC223/100)</f>
        <v/>
      </c>
      <c r="S223" s="11" t="n"/>
      <c r="U223" s="11" t="n"/>
      <c r="AA223" s="7" t="n"/>
      <c r="AC223" s="7" t="n"/>
      <c r="AE223">
        <f>IF($C223="","",IF($AK223=1,Settings!$C$6,Settings!$C$7)*1)</f>
        <v/>
      </c>
      <c r="AF223" s="7">
        <f>IF($C223="","",AE223*AC223)</f>
        <v/>
      </c>
      <c r="AG223" s="7">
        <f>IF($C223="","",AC223-AF223)</f>
        <v/>
      </c>
      <c r="AH223" s="7">
        <f>IF($C223="","",AG223-R223)</f>
        <v/>
      </c>
      <c r="AI223">
        <f>IF($C223="","",IF(COUNTIF($C$2:$C223,$C223)=1,1,0))</f>
        <v/>
      </c>
      <c r="AJ223">
        <f>IF($AI223=1,SUMPRODUCT(--($AL$2:$AL$1501&lt;$AL223))+1,"")</f>
        <v/>
      </c>
      <c r="AK223">
        <f>IF($C223="","",IF(OR($AD223=TRUE(),$AD223="TRUE"),0,1))</f>
        <v/>
      </c>
      <c r="AL223">
        <f>IF($AI223=1,IFERROR(IF(VALUE($C223)&lt;100000000,VALUE($C223),1000000000),IFERROR(IF(VALUE(MID($C223,2,20))&lt;100000000,VALUE(MID($C223,2,20)),1000000000),1000000000))+ROW()/100000,"")</f>
        <v/>
      </c>
    </row>
    <row r="224">
      <c r="J224" s="7" t="n"/>
      <c r="K224" s="7" t="n"/>
      <c r="R224" s="7">
        <f>IF($C224="","",Q224*AC224/100)</f>
        <v/>
      </c>
      <c r="S224" s="11" t="n"/>
      <c r="U224" s="11" t="n"/>
      <c r="AA224" s="7" t="n"/>
      <c r="AC224" s="7" t="n"/>
      <c r="AE224">
        <f>IF($C224="","",IF($AK224=1,Settings!$C$6,Settings!$C$7)*1)</f>
        <v/>
      </c>
      <c r="AF224" s="7">
        <f>IF($C224="","",AE224*AC224)</f>
        <v/>
      </c>
      <c r="AG224" s="7">
        <f>IF($C224="","",AC224-AF224)</f>
        <v/>
      </c>
      <c r="AH224" s="7">
        <f>IF($C224="","",AG224-R224)</f>
        <v/>
      </c>
      <c r="AI224">
        <f>IF($C224="","",IF(COUNTIF($C$2:$C224,$C224)=1,1,0))</f>
        <v/>
      </c>
      <c r="AJ224">
        <f>IF($AI224=1,SUMPRODUCT(--($AL$2:$AL$1501&lt;$AL224))+1,"")</f>
        <v/>
      </c>
      <c r="AK224">
        <f>IF($C224="","",IF(OR($AD224=TRUE(),$AD224="TRUE"),0,1))</f>
        <v/>
      </c>
      <c r="AL224">
        <f>IF($AI224=1,IFERROR(IF(VALUE($C224)&lt;100000000,VALUE($C224),1000000000),IFERROR(IF(VALUE(MID($C224,2,20))&lt;100000000,VALUE(MID($C224,2,20)),1000000000),1000000000))+ROW()/100000,"")</f>
        <v/>
      </c>
    </row>
    <row r="225">
      <c r="J225" s="7" t="n"/>
      <c r="K225" s="7" t="n"/>
      <c r="R225" s="7">
        <f>IF($C225="","",Q225*AC225/100)</f>
        <v/>
      </c>
      <c r="S225" s="11" t="n"/>
      <c r="U225" s="11" t="n"/>
      <c r="AA225" s="7" t="n"/>
      <c r="AC225" s="7" t="n"/>
      <c r="AE225">
        <f>IF($C225="","",IF($AK225=1,Settings!$C$6,Settings!$C$7)*1)</f>
        <v/>
      </c>
      <c r="AF225" s="7">
        <f>IF($C225="","",AE225*AC225)</f>
        <v/>
      </c>
      <c r="AG225" s="7">
        <f>IF($C225="","",AC225-AF225)</f>
        <v/>
      </c>
      <c r="AH225" s="7">
        <f>IF($C225="","",AG225-R225)</f>
        <v/>
      </c>
      <c r="AI225">
        <f>IF($C225="","",IF(COUNTIF($C$2:$C225,$C225)=1,1,0))</f>
        <v/>
      </c>
      <c r="AJ225">
        <f>IF($AI225=1,SUMPRODUCT(--($AL$2:$AL$1501&lt;$AL225))+1,"")</f>
        <v/>
      </c>
      <c r="AK225">
        <f>IF($C225="","",IF(OR($AD225=TRUE(),$AD225="TRUE"),0,1))</f>
        <v/>
      </c>
      <c r="AL225">
        <f>IF($AI225=1,IFERROR(IF(VALUE($C225)&lt;100000000,VALUE($C225),1000000000),IFERROR(IF(VALUE(MID($C225,2,20))&lt;100000000,VALUE(MID($C225,2,20)),1000000000),1000000000))+ROW()/100000,"")</f>
        <v/>
      </c>
    </row>
    <row r="226">
      <c r="J226" s="7" t="n"/>
      <c r="K226" s="7" t="n"/>
      <c r="R226" s="7">
        <f>IF($C226="","",Q226*AC226/100)</f>
        <v/>
      </c>
      <c r="S226" s="11" t="n"/>
      <c r="U226" s="11" t="n"/>
      <c r="AA226" s="7" t="n"/>
      <c r="AC226" s="7" t="n"/>
      <c r="AE226">
        <f>IF($C226="","",IF($AK226=1,Settings!$C$6,Settings!$C$7)*1)</f>
        <v/>
      </c>
      <c r="AF226" s="7">
        <f>IF($C226="","",AE226*AC226)</f>
        <v/>
      </c>
      <c r="AG226" s="7">
        <f>IF($C226="","",AC226-AF226)</f>
        <v/>
      </c>
      <c r="AH226" s="7">
        <f>IF($C226="","",AG226-R226)</f>
        <v/>
      </c>
      <c r="AI226">
        <f>IF($C226="","",IF(COUNTIF($C$2:$C226,$C226)=1,1,0))</f>
        <v/>
      </c>
      <c r="AJ226">
        <f>IF($AI226=1,SUMPRODUCT(--($AL$2:$AL$1501&lt;$AL226))+1,"")</f>
        <v/>
      </c>
      <c r="AK226">
        <f>IF($C226="","",IF(OR($AD226=TRUE(),$AD226="TRUE"),0,1))</f>
        <v/>
      </c>
      <c r="AL226">
        <f>IF($AI226=1,IFERROR(IF(VALUE($C226)&lt;100000000,VALUE($C226),1000000000),IFERROR(IF(VALUE(MID($C226,2,20))&lt;100000000,VALUE(MID($C226,2,20)),1000000000),1000000000))+ROW()/100000,"")</f>
        <v/>
      </c>
    </row>
    <row r="227">
      <c r="J227" s="7" t="n"/>
      <c r="K227" s="7" t="n"/>
      <c r="R227" s="7">
        <f>IF($C227="","",Q227*AC227/100)</f>
        <v/>
      </c>
      <c r="S227" s="11" t="n"/>
      <c r="U227" s="11" t="n"/>
      <c r="AA227" s="7" t="n"/>
      <c r="AC227" s="7" t="n"/>
      <c r="AE227">
        <f>IF($C227="","",IF($AK227=1,Settings!$C$6,Settings!$C$7)*1)</f>
        <v/>
      </c>
      <c r="AF227" s="7">
        <f>IF($C227="","",AE227*AC227)</f>
        <v/>
      </c>
      <c r="AG227" s="7">
        <f>IF($C227="","",AC227-AF227)</f>
        <v/>
      </c>
      <c r="AH227" s="7">
        <f>IF($C227="","",AG227-R227)</f>
        <v/>
      </c>
      <c r="AI227">
        <f>IF($C227="","",IF(COUNTIF($C$2:$C227,$C227)=1,1,0))</f>
        <v/>
      </c>
      <c r="AJ227">
        <f>IF($AI227=1,SUMPRODUCT(--($AL$2:$AL$1501&lt;$AL227))+1,"")</f>
        <v/>
      </c>
      <c r="AK227">
        <f>IF($C227="","",IF(OR($AD227=TRUE(),$AD227="TRUE"),0,1))</f>
        <v/>
      </c>
      <c r="AL227">
        <f>IF($AI227=1,IFERROR(IF(VALUE($C227)&lt;100000000,VALUE($C227),1000000000),IFERROR(IF(VALUE(MID($C227,2,20))&lt;100000000,VALUE(MID($C227,2,20)),1000000000),1000000000))+ROW()/100000,"")</f>
        <v/>
      </c>
    </row>
    <row r="228">
      <c r="J228" s="7" t="n"/>
      <c r="K228" s="7" t="n"/>
      <c r="R228" s="7">
        <f>IF($C228="","",Q228*AC228/100)</f>
        <v/>
      </c>
      <c r="S228" s="11" t="n"/>
      <c r="U228" s="11" t="n"/>
      <c r="AA228" s="7" t="n"/>
      <c r="AC228" s="7" t="n"/>
      <c r="AE228">
        <f>IF($C228="","",IF($AK228=1,Settings!$C$6,Settings!$C$7)*1)</f>
        <v/>
      </c>
      <c r="AF228" s="7">
        <f>IF($C228="","",AE228*AC228)</f>
        <v/>
      </c>
      <c r="AG228" s="7">
        <f>IF($C228="","",AC228-AF228)</f>
        <v/>
      </c>
      <c r="AH228" s="7">
        <f>IF($C228="","",AG228-R228)</f>
        <v/>
      </c>
      <c r="AI228">
        <f>IF($C228="","",IF(COUNTIF($C$2:$C228,$C228)=1,1,0))</f>
        <v/>
      </c>
      <c r="AJ228">
        <f>IF($AI228=1,SUMPRODUCT(--($AL$2:$AL$1501&lt;$AL228))+1,"")</f>
        <v/>
      </c>
      <c r="AK228">
        <f>IF($C228="","",IF(OR($AD228=TRUE(),$AD228="TRUE"),0,1))</f>
        <v/>
      </c>
      <c r="AL228">
        <f>IF($AI228=1,IFERROR(IF(VALUE($C228)&lt;100000000,VALUE($C228),1000000000),IFERROR(IF(VALUE(MID($C228,2,20))&lt;100000000,VALUE(MID($C228,2,20)),1000000000),1000000000))+ROW()/100000,"")</f>
        <v/>
      </c>
    </row>
    <row r="229">
      <c r="J229" s="7" t="n"/>
      <c r="K229" s="7" t="n"/>
      <c r="R229" s="7">
        <f>IF($C229="","",Q229*AC229/100)</f>
        <v/>
      </c>
      <c r="S229" s="11" t="n"/>
      <c r="U229" s="11" t="n"/>
      <c r="AA229" s="7" t="n"/>
      <c r="AC229" s="7" t="n"/>
      <c r="AE229">
        <f>IF($C229="","",IF($AK229=1,Settings!$C$6,Settings!$C$7)*1)</f>
        <v/>
      </c>
      <c r="AF229" s="7">
        <f>IF($C229="","",AE229*AC229)</f>
        <v/>
      </c>
      <c r="AG229" s="7">
        <f>IF($C229="","",AC229-AF229)</f>
        <v/>
      </c>
      <c r="AH229" s="7">
        <f>IF($C229="","",AG229-R229)</f>
        <v/>
      </c>
      <c r="AI229">
        <f>IF($C229="","",IF(COUNTIF($C$2:$C229,$C229)=1,1,0))</f>
        <v/>
      </c>
      <c r="AJ229">
        <f>IF($AI229=1,SUMPRODUCT(--($AL$2:$AL$1501&lt;$AL229))+1,"")</f>
        <v/>
      </c>
      <c r="AK229">
        <f>IF($C229="","",IF(OR($AD229=TRUE(),$AD229="TRUE"),0,1))</f>
        <v/>
      </c>
      <c r="AL229">
        <f>IF($AI229=1,IFERROR(IF(VALUE($C229)&lt;100000000,VALUE($C229),1000000000),IFERROR(IF(VALUE(MID($C229,2,20))&lt;100000000,VALUE(MID($C229,2,20)),1000000000),1000000000))+ROW()/100000,"")</f>
        <v/>
      </c>
    </row>
    <row r="230">
      <c r="J230" s="7" t="n"/>
      <c r="K230" s="7" t="n"/>
      <c r="R230" s="7">
        <f>IF($C230="","",Q230*AC230/100)</f>
        <v/>
      </c>
      <c r="S230" s="11" t="n"/>
      <c r="U230" s="11" t="n"/>
      <c r="AA230" s="7" t="n"/>
      <c r="AC230" s="7" t="n"/>
      <c r="AE230">
        <f>IF($C230="","",IF($AK230=1,Settings!$C$6,Settings!$C$7)*1)</f>
        <v/>
      </c>
      <c r="AF230" s="7">
        <f>IF($C230="","",AE230*AC230)</f>
        <v/>
      </c>
      <c r="AG230" s="7">
        <f>IF($C230="","",AC230-AF230)</f>
        <v/>
      </c>
      <c r="AH230" s="7">
        <f>IF($C230="","",AG230-R230)</f>
        <v/>
      </c>
      <c r="AI230">
        <f>IF($C230="","",IF(COUNTIF($C$2:$C230,$C230)=1,1,0))</f>
        <v/>
      </c>
      <c r="AJ230">
        <f>IF($AI230=1,SUMPRODUCT(--($AL$2:$AL$1501&lt;$AL230))+1,"")</f>
        <v/>
      </c>
      <c r="AK230">
        <f>IF($C230="","",IF(OR($AD230=TRUE(),$AD230="TRUE"),0,1))</f>
        <v/>
      </c>
      <c r="AL230">
        <f>IF($AI230=1,IFERROR(IF(VALUE($C230)&lt;100000000,VALUE($C230),1000000000),IFERROR(IF(VALUE(MID($C230,2,20))&lt;100000000,VALUE(MID($C230,2,20)),1000000000),1000000000))+ROW()/100000,"")</f>
        <v/>
      </c>
    </row>
    <row r="231">
      <c r="J231" s="7" t="n"/>
      <c r="K231" s="7" t="n"/>
      <c r="R231" s="7">
        <f>IF($C231="","",Q231*AC231/100)</f>
        <v/>
      </c>
      <c r="S231" s="11" t="n"/>
      <c r="U231" s="11" t="n"/>
      <c r="AA231" s="7" t="n"/>
      <c r="AC231" s="7" t="n"/>
      <c r="AE231">
        <f>IF($C231="","",IF($AK231=1,Settings!$C$6,Settings!$C$7)*1)</f>
        <v/>
      </c>
      <c r="AF231" s="7">
        <f>IF($C231="","",AE231*AC231)</f>
        <v/>
      </c>
      <c r="AG231" s="7">
        <f>IF($C231="","",AC231-AF231)</f>
        <v/>
      </c>
      <c r="AH231" s="7">
        <f>IF($C231="","",AG231-R231)</f>
        <v/>
      </c>
      <c r="AI231">
        <f>IF($C231="","",IF(COUNTIF($C$2:$C231,$C231)=1,1,0))</f>
        <v/>
      </c>
      <c r="AJ231">
        <f>IF($AI231=1,SUMPRODUCT(--($AL$2:$AL$1501&lt;$AL231))+1,"")</f>
        <v/>
      </c>
      <c r="AK231">
        <f>IF($C231="","",IF(OR($AD231=TRUE(),$AD231="TRUE"),0,1))</f>
        <v/>
      </c>
      <c r="AL231">
        <f>IF($AI231=1,IFERROR(IF(VALUE($C231)&lt;100000000,VALUE($C231),1000000000),IFERROR(IF(VALUE(MID($C231,2,20))&lt;100000000,VALUE(MID($C231,2,20)),1000000000),1000000000))+ROW()/100000,"")</f>
        <v/>
      </c>
    </row>
    <row r="232">
      <c r="J232" s="7" t="n"/>
      <c r="K232" s="7" t="n"/>
      <c r="R232" s="7">
        <f>IF($C232="","",Q232*AC232/100)</f>
        <v/>
      </c>
      <c r="S232" s="11" t="n"/>
      <c r="U232" s="11" t="n"/>
      <c r="AA232" s="7" t="n"/>
      <c r="AC232" s="7" t="n"/>
      <c r="AE232">
        <f>IF($C232="","",IF($AK232=1,Settings!$C$6,Settings!$C$7)*1)</f>
        <v/>
      </c>
      <c r="AF232" s="7">
        <f>IF($C232="","",AE232*AC232)</f>
        <v/>
      </c>
      <c r="AG232" s="7">
        <f>IF($C232="","",AC232-AF232)</f>
        <v/>
      </c>
      <c r="AH232" s="7">
        <f>IF($C232="","",AG232-R232)</f>
        <v/>
      </c>
      <c r="AI232">
        <f>IF($C232="","",IF(COUNTIF($C$2:$C232,$C232)=1,1,0))</f>
        <v/>
      </c>
      <c r="AJ232">
        <f>IF($AI232=1,SUMPRODUCT(--($AL$2:$AL$1501&lt;$AL232))+1,"")</f>
        <v/>
      </c>
      <c r="AK232">
        <f>IF($C232="","",IF(OR($AD232=TRUE(),$AD232="TRUE"),0,1))</f>
        <v/>
      </c>
      <c r="AL232">
        <f>IF($AI232=1,IFERROR(IF(VALUE($C232)&lt;100000000,VALUE($C232),1000000000),IFERROR(IF(VALUE(MID($C232,2,20))&lt;100000000,VALUE(MID($C232,2,20)),1000000000),1000000000))+ROW()/100000,"")</f>
        <v/>
      </c>
    </row>
    <row r="233">
      <c r="J233" s="7" t="n"/>
      <c r="K233" s="7" t="n"/>
      <c r="R233" s="7">
        <f>IF($C233="","",Q233*AC233/100)</f>
        <v/>
      </c>
      <c r="S233" s="11" t="n"/>
      <c r="U233" s="11" t="n"/>
      <c r="AA233" s="7" t="n"/>
      <c r="AC233" s="7" t="n"/>
      <c r="AE233">
        <f>IF($C233="","",IF($AK233=1,Settings!$C$6,Settings!$C$7)*1)</f>
        <v/>
      </c>
      <c r="AF233" s="7">
        <f>IF($C233="","",AE233*AC233)</f>
        <v/>
      </c>
      <c r="AG233" s="7">
        <f>IF($C233="","",AC233-AF233)</f>
        <v/>
      </c>
      <c r="AH233" s="7">
        <f>IF($C233="","",AG233-R233)</f>
        <v/>
      </c>
      <c r="AI233">
        <f>IF($C233="","",IF(COUNTIF($C$2:$C233,$C233)=1,1,0))</f>
        <v/>
      </c>
      <c r="AJ233">
        <f>IF($AI233=1,SUMPRODUCT(--($AL$2:$AL$1501&lt;$AL233))+1,"")</f>
        <v/>
      </c>
      <c r="AK233">
        <f>IF($C233="","",IF(OR($AD233=TRUE(),$AD233="TRUE"),0,1))</f>
        <v/>
      </c>
      <c r="AL233">
        <f>IF($AI233=1,IFERROR(IF(VALUE($C233)&lt;100000000,VALUE($C233),1000000000),IFERROR(IF(VALUE(MID($C233,2,20))&lt;100000000,VALUE(MID($C233,2,20)),1000000000),1000000000))+ROW()/100000,"")</f>
        <v/>
      </c>
    </row>
    <row r="234">
      <c r="J234" s="7" t="n"/>
      <c r="K234" s="7" t="n"/>
      <c r="R234" s="7">
        <f>IF($C234="","",Q234*AC234/100)</f>
        <v/>
      </c>
      <c r="S234" s="11" t="n"/>
      <c r="U234" s="11" t="n"/>
      <c r="AA234" s="7" t="n"/>
      <c r="AC234" s="7" t="n"/>
      <c r="AE234">
        <f>IF($C234="","",IF($AK234=1,Settings!$C$6,Settings!$C$7)*1)</f>
        <v/>
      </c>
      <c r="AF234" s="7">
        <f>IF($C234="","",AE234*AC234)</f>
        <v/>
      </c>
      <c r="AG234" s="7">
        <f>IF($C234="","",AC234-AF234)</f>
        <v/>
      </c>
      <c r="AH234" s="7">
        <f>IF($C234="","",AG234-R234)</f>
        <v/>
      </c>
      <c r="AI234">
        <f>IF($C234="","",IF(COUNTIF($C$2:$C234,$C234)=1,1,0))</f>
        <v/>
      </c>
      <c r="AJ234">
        <f>IF($AI234=1,SUMPRODUCT(--($AL$2:$AL$1501&lt;$AL234))+1,"")</f>
        <v/>
      </c>
      <c r="AK234">
        <f>IF($C234="","",IF(OR($AD234=TRUE(),$AD234="TRUE"),0,1))</f>
        <v/>
      </c>
      <c r="AL234">
        <f>IF($AI234=1,IFERROR(IF(VALUE($C234)&lt;100000000,VALUE($C234),1000000000),IFERROR(IF(VALUE(MID($C234,2,20))&lt;100000000,VALUE(MID($C234,2,20)),1000000000),1000000000))+ROW()/100000,"")</f>
        <v/>
      </c>
    </row>
    <row r="235">
      <c r="J235" s="7" t="n"/>
      <c r="K235" s="7" t="n"/>
      <c r="R235" s="7">
        <f>IF($C235="","",Q235*AC235/100)</f>
        <v/>
      </c>
      <c r="S235" s="11" t="n"/>
      <c r="U235" s="11" t="n"/>
      <c r="AA235" s="7" t="n"/>
      <c r="AC235" s="7" t="n"/>
      <c r="AE235">
        <f>IF($C235="","",IF($AK235=1,Settings!$C$6,Settings!$C$7)*1)</f>
        <v/>
      </c>
      <c r="AF235" s="7">
        <f>IF($C235="","",AE235*AC235)</f>
        <v/>
      </c>
      <c r="AG235" s="7">
        <f>IF($C235="","",AC235-AF235)</f>
        <v/>
      </c>
      <c r="AH235" s="7">
        <f>IF($C235="","",AG235-R235)</f>
        <v/>
      </c>
      <c r="AI235">
        <f>IF($C235="","",IF(COUNTIF($C$2:$C235,$C235)=1,1,0))</f>
        <v/>
      </c>
      <c r="AJ235">
        <f>IF($AI235=1,SUMPRODUCT(--($AL$2:$AL$1501&lt;$AL235))+1,"")</f>
        <v/>
      </c>
      <c r="AK235">
        <f>IF($C235="","",IF(OR($AD235=TRUE(),$AD235="TRUE"),0,1))</f>
        <v/>
      </c>
      <c r="AL235">
        <f>IF($AI235=1,IFERROR(IF(VALUE($C235)&lt;100000000,VALUE($C235),1000000000),IFERROR(IF(VALUE(MID($C235,2,20))&lt;100000000,VALUE(MID($C235,2,20)),1000000000),1000000000))+ROW()/100000,"")</f>
        <v/>
      </c>
    </row>
    <row r="236">
      <c r="J236" s="7" t="n"/>
      <c r="K236" s="7" t="n"/>
      <c r="R236" s="7">
        <f>IF($C236="","",Q236*AC236/100)</f>
        <v/>
      </c>
      <c r="S236" s="11" t="n"/>
      <c r="U236" s="11" t="n"/>
      <c r="AA236" s="7" t="n"/>
      <c r="AC236" s="7" t="n"/>
      <c r="AE236">
        <f>IF($C236="","",IF($AK236=1,Settings!$C$6,Settings!$C$7)*1)</f>
        <v/>
      </c>
      <c r="AF236" s="7">
        <f>IF($C236="","",AE236*AC236)</f>
        <v/>
      </c>
      <c r="AG236" s="7">
        <f>IF($C236="","",AC236-AF236)</f>
        <v/>
      </c>
      <c r="AH236" s="7">
        <f>IF($C236="","",AG236-R236)</f>
        <v/>
      </c>
      <c r="AI236">
        <f>IF($C236="","",IF(COUNTIF($C$2:$C236,$C236)=1,1,0))</f>
        <v/>
      </c>
      <c r="AJ236">
        <f>IF($AI236=1,SUMPRODUCT(--($AL$2:$AL$1501&lt;$AL236))+1,"")</f>
        <v/>
      </c>
      <c r="AK236">
        <f>IF($C236="","",IF(OR($AD236=TRUE(),$AD236="TRUE"),0,1))</f>
        <v/>
      </c>
      <c r="AL236">
        <f>IF($AI236=1,IFERROR(IF(VALUE($C236)&lt;100000000,VALUE($C236),1000000000),IFERROR(IF(VALUE(MID($C236,2,20))&lt;100000000,VALUE(MID($C236,2,20)),1000000000),1000000000))+ROW()/100000,"")</f>
        <v/>
      </c>
    </row>
    <row r="237">
      <c r="J237" s="7" t="n"/>
      <c r="K237" s="7" t="n"/>
      <c r="R237" s="7">
        <f>IF($C237="","",Q237*AC237/100)</f>
        <v/>
      </c>
      <c r="S237" s="11" t="n"/>
      <c r="U237" s="11" t="n"/>
      <c r="AA237" s="7" t="n"/>
      <c r="AC237" s="7" t="n"/>
      <c r="AE237">
        <f>IF($C237="","",IF($AK237=1,Settings!$C$6,Settings!$C$7)*1)</f>
        <v/>
      </c>
      <c r="AF237" s="7">
        <f>IF($C237="","",AE237*AC237)</f>
        <v/>
      </c>
      <c r="AG237" s="7">
        <f>IF($C237="","",AC237-AF237)</f>
        <v/>
      </c>
      <c r="AH237" s="7">
        <f>IF($C237="","",AG237-R237)</f>
        <v/>
      </c>
      <c r="AI237">
        <f>IF($C237="","",IF(COUNTIF($C$2:$C237,$C237)=1,1,0))</f>
        <v/>
      </c>
      <c r="AJ237">
        <f>IF($AI237=1,SUMPRODUCT(--($AL$2:$AL$1501&lt;$AL237))+1,"")</f>
        <v/>
      </c>
      <c r="AK237">
        <f>IF($C237="","",IF(OR($AD237=TRUE(),$AD237="TRUE"),0,1))</f>
        <v/>
      </c>
      <c r="AL237">
        <f>IF($AI237=1,IFERROR(IF(VALUE($C237)&lt;100000000,VALUE($C237),1000000000),IFERROR(IF(VALUE(MID($C237,2,20))&lt;100000000,VALUE(MID($C237,2,20)),1000000000),1000000000))+ROW()/100000,"")</f>
        <v/>
      </c>
    </row>
    <row r="238">
      <c r="J238" s="7" t="n"/>
      <c r="K238" s="7" t="n"/>
      <c r="R238" s="7">
        <f>IF($C238="","",Q238*AC238/100)</f>
        <v/>
      </c>
      <c r="S238" s="11" t="n"/>
      <c r="U238" s="11" t="n"/>
      <c r="AA238" s="7" t="n"/>
      <c r="AC238" s="7" t="n"/>
      <c r="AE238">
        <f>IF($C238="","",IF($AK238=1,Settings!$C$6,Settings!$C$7)*1)</f>
        <v/>
      </c>
      <c r="AF238" s="7">
        <f>IF($C238="","",AE238*AC238)</f>
        <v/>
      </c>
      <c r="AG238" s="7">
        <f>IF($C238="","",AC238-AF238)</f>
        <v/>
      </c>
      <c r="AH238" s="7">
        <f>IF($C238="","",AG238-R238)</f>
        <v/>
      </c>
      <c r="AI238">
        <f>IF($C238="","",IF(COUNTIF($C$2:$C238,$C238)=1,1,0))</f>
        <v/>
      </c>
      <c r="AJ238">
        <f>IF($AI238=1,SUMPRODUCT(--($AL$2:$AL$1501&lt;$AL238))+1,"")</f>
        <v/>
      </c>
      <c r="AK238">
        <f>IF($C238="","",IF(OR($AD238=TRUE(),$AD238="TRUE"),0,1))</f>
        <v/>
      </c>
      <c r="AL238">
        <f>IF($AI238=1,IFERROR(IF(VALUE($C238)&lt;100000000,VALUE($C238),1000000000),IFERROR(IF(VALUE(MID($C238,2,20))&lt;100000000,VALUE(MID($C238,2,20)),1000000000),1000000000))+ROW()/100000,"")</f>
        <v/>
      </c>
    </row>
    <row r="239">
      <c r="J239" s="7" t="n"/>
      <c r="K239" s="7" t="n"/>
      <c r="R239" s="7">
        <f>IF($C239="","",Q239*AC239/100)</f>
        <v/>
      </c>
      <c r="S239" s="11" t="n"/>
      <c r="U239" s="11" t="n"/>
      <c r="AA239" s="7" t="n"/>
      <c r="AC239" s="7" t="n"/>
      <c r="AE239">
        <f>IF($C239="","",IF($AK239=1,Settings!$C$6,Settings!$C$7)*1)</f>
        <v/>
      </c>
      <c r="AF239" s="7">
        <f>IF($C239="","",AE239*AC239)</f>
        <v/>
      </c>
      <c r="AG239" s="7">
        <f>IF($C239="","",AC239-AF239)</f>
        <v/>
      </c>
      <c r="AH239" s="7">
        <f>IF($C239="","",AG239-R239)</f>
        <v/>
      </c>
      <c r="AI239">
        <f>IF($C239="","",IF(COUNTIF($C$2:$C239,$C239)=1,1,0))</f>
        <v/>
      </c>
      <c r="AJ239">
        <f>IF($AI239=1,SUMPRODUCT(--($AL$2:$AL$1501&lt;$AL239))+1,"")</f>
        <v/>
      </c>
      <c r="AK239">
        <f>IF($C239="","",IF(OR($AD239=TRUE(),$AD239="TRUE"),0,1))</f>
        <v/>
      </c>
      <c r="AL239">
        <f>IF($AI239=1,IFERROR(IF(VALUE($C239)&lt;100000000,VALUE($C239),1000000000),IFERROR(IF(VALUE(MID($C239,2,20))&lt;100000000,VALUE(MID($C239,2,20)),1000000000),1000000000))+ROW()/100000,"")</f>
        <v/>
      </c>
    </row>
    <row r="240">
      <c r="J240" s="7" t="n"/>
      <c r="K240" s="7" t="n"/>
      <c r="R240" s="7">
        <f>IF($C240="","",Q240*AC240/100)</f>
        <v/>
      </c>
      <c r="S240" s="11" t="n"/>
      <c r="U240" s="11" t="n"/>
      <c r="AA240" s="7" t="n"/>
      <c r="AC240" s="7" t="n"/>
      <c r="AE240">
        <f>IF($C240="","",IF($AK240=1,Settings!$C$6,Settings!$C$7)*1)</f>
        <v/>
      </c>
      <c r="AF240" s="7">
        <f>IF($C240="","",AE240*AC240)</f>
        <v/>
      </c>
      <c r="AG240" s="7">
        <f>IF($C240="","",AC240-AF240)</f>
        <v/>
      </c>
      <c r="AH240" s="7">
        <f>IF($C240="","",AG240-R240)</f>
        <v/>
      </c>
      <c r="AI240">
        <f>IF($C240="","",IF(COUNTIF($C$2:$C240,$C240)=1,1,0))</f>
        <v/>
      </c>
      <c r="AJ240">
        <f>IF($AI240=1,SUMPRODUCT(--($AL$2:$AL$1501&lt;$AL240))+1,"")</f>
        <v/>
      </c>
      <c r="AK240">
        <f>IF($C240="","",IF(OR($AD240=TRUE(),$AD240="TRUE"),0,1))</f>
        <v/>
      </c>
      <c r="AL240">
        <f>IF($AI240=1,IFERROR(IF(VALUE($C240)&lt;100000000,VALUE($C240),1000000000),IFERROR(IF(VALUE(MID($C240,2,20))&lt;100000000,VALUE(MID($C240,2,20)),1000000000),1000000000))+ROW()/100000,"")</f>
        <v/>
      </c>
    </row>
    <row r="241">
      <c r="J241" s="7" t="n"/>
      <c r="K241" s="7" t="n"/>
      <c r="R241" s="7">
        <f>IF($C241="","",Q241*AC241/100)</f>
        <v/>
      </c>
      <c r="S241" s="11" t="n"/>
      <c r="U241" s="11" t="n"/>
      <c r="AA241" s="7" t="n"/>
      <c r="AC241" s="7" t="n"/>
      <c r="AE241">
        <f>IF($C241="","",IF($AK241=1,Settings!$C$6,Settings!$C$7)*1)</f>
        <v/>
      </c>
      <c r="AF241" s="7">
        <f>IF($C241="","",AE241*AC241)</f>
        <v/>
      </c>
      <c r="AG241" s="7">
        <f>IF($C241="","",AC241-AF241)</f>
        <v/>
      </c>
      <c r="AH241" s="7">
        <f>IF($C241="","",AG241-R241)</f>
        <v/>
      </c>
      <c r="AI241">
        <f>IF($C241="","",IF(COUNTIF($C$2:$C241,$C241)=1,1,0))</f>
        <v/>
      </c>
      <c r="AJ241">
        <f>IF($AI241=1,SUMPRODUCT(--($AL$2:$AL$1501&lt;$AL241))+1,"")</f>
        <v/>
      </c>
      <c r="AK241">
        <f>IF($C241="","",IF(OR($AD241=TRUE(),$AD241="TRUE"),0,1))</f>
        <v/>
      </c>
      <c r="AL241">
        <f>IF($AI241=1,IFERROR(IF(VALUE($C241)&lt;100000000,VALUE($C241),1000000000),IFERROR(IF(VALUE(MID($C241,2,20))&lt;100000000,VALUE(MID($C241,2,20)),1000000000),1000000000))+ROW()/100000,"")</f>
        <v/>
      </c>
    </row>
    <row r="242">
      <c r="J242" s="7" t="n"/>
      <c r="K242" s="7" t="n"/>
      <c r="R242" s="7">
        <f>IF($C242="","",Q242*AC242/100)</f>
        <v/>
      </c>
      <c r="S242" s="11" t="n"/>
      <c r="U242" s="11" t="n"/>
      <c r="AA242" s="7" t="n"/>
      <c r="AC242" s="7" t="n"/>
      <c r="AE242">
        <f>IF($C242="","",IF($AK242=1,Settings!$C$6,Settings!$C$7)*1)</f>
        <v/>
      </c>
      <c r="AF242" s="7">
        <f>IF($C242="","",AE242*AC242)</f>
        <v/>
      </c>
      <c r="AG242" s="7">
        <f>IF($C242="","",AC242-AF242)</f>
        <v/>
      </c>
      <c r="AH242" s="7">
        <f>IF($C242="","",AG242-R242)</f>
        <v/>
      </c>
      <c r="AI242">
        <f>IF($C242="","",IF(COUNTIF($C$2:$C242,$C242)=1,1,0))</f>
        <v/>
      </c>
      <c r="AJ242">
        <f>IF($AI242=1,SUMPRODUCT(--($AL$2:$AL$1501&lt;$AL242))+1,"")</f>
        <v/>
      </c>
      <c r="AK242">
        <f>IF($C242="","",IF(OR($AD242=TRUE(),$AD242="TRUE"),0,1))</f>
        <v/>
      </c>
      <c r="AL242">
        <f>IF($AI242=1,IFERROR(IF(VALUE($C242)&lt;100000000,VALUE($C242),1000000000),IFERROR(IF(VALUE(MID($C242,2,20))&lt;100000000,VALUE(MID($C242,2,20)),1000000000),1000000000))+ROW()/100000,"")</f>
        <v/>
      </c>
    </row>
    <row r="243">
      <c r="J243" s="7" t="n"/>
      <c r="K243" s="7" t="n"/>
      <c r="R243" s="7">
        <f>IF($C243="","",Q243*AC243/100)</f>
        <v/>
      </c>
      <c r="S243" s="11" t="n"/>
      <c r="U243" s="11" t="n"/>
      <c r="AA243" s="7" t="n"/>
      <c r="AC243" s="7" t="n"/>
      <c r="AE243">
        <f>IF($C243="","",IF($AK243=1,Settings!$C$6,Settings!$C$7)*1)</f>
        <v/>
      </c>
      <c r="AF243" s="7">
        <f>IF($C243="","",AE243*AC243)</f>
        <v/>
      </c>
      <c r="AG243" s="7">
        <f>IF($C243="","",AC243-AF243)</f>
        <v/>
      </c>
      <c r="AH243" s="7">
        <f>IF($C243="","",AG243-R243)</f>
        <v/>
      </c>
      <c r="AI243">
        <f>IF($C243="","",IF(COUNTIF($C$2:$C243,$C243)=1,1,0))</f>
        <v/>
      </c>
      <c r="AJ243">
        <f>IF($AI243=1,SUMPRODUCT(--($AL$2:$AL$1501&lt;$AL243))+1,"")</f>
        <v/>
      </c>
      <c r="AK243">
        <f>IF($C243="","",IF(OR($AD243=TRUE(),$AD243="TRUE"),0,1))</f>
        <v/>
      </c>
      <c r="AL243">
        <f>IF($AI243=1,IFERROR(IF(VALUE($C243)&lt;100000000,VALUE($C243),1000000000),IFERROR(IF(VALUE(MID($C243,2,20))&lt;100000000,VALUE(MID($C243,2,20)),1000000000),1000000000))+ROW()/100000,"")</f>
        <v/>
      </c>
    </row>
    <row r="244">
      <c r="J244" s="7" t="n"/>
      <c r="K244" s="7" t="n"/>
      <c r="R244" s="7">
        <f>IF($C244="","",Q244*AC244/100)</f>
        <v/>
      </c>
      <c r="S244" s="11" t="n"/>
      <c r="U244" s="11" t="n"/>
      <c r="AA244" s="7" t="n"/>
      <c r="AC244" s="7" t="n"/>
      <c r="AE244">
        <f>IF($C244="","",IF($AK244=1,Settings!$C$6,Settings!$C$7)*1)</f>
        <v/>
      </c>
      <c r="AF244" s="7">
        <f>IF($C244="","",AE244*AC244)</f>
        <v/>
      </c>
      <c r="AG244" s="7">
        <f>IF($C244="","",AC244-AF244)</f>
        <v/>
      </c>
      <c r="AH244" s="7">
        <f>IF($C244="","",AG244-R244)</f>
        <v/>
      </c>
      <c r="AI244">
        <f>IF($C244="","",IF(COUNTIF($C$2:$C244,$C244)=1,1,0))</f>
        <v/>
      </c>
      <c r="AJ244">
        <f>IF($AI244=1,SUMPRODUCT(--($AL$2:$AL$1501&lt;$AL244))+1,"")</f>
        <v/>
      </c>
      <c r="AK244">
        <f>IF($C244="","",IF(OR($AD244=TRUE(),$AD244="TRUE"),0,1))</f>
        <v/>
      </c>
      <c r="AL244">
        <f>IF($AI244=1,IFERROR(IF(VALUE($C244)&lt;100000000,VALUE($C244),1000000000),IFERROR(IF(VALUE(MID($C244,2,20))&lt;100000000,VALUE(MID($C244,2,20)),1000000000),1000000000))+ROW()/100000,"")</f>
        <v/>
      </c>
    </row>
    <row r="245">
      <c r="J245" s="7" t="n"/>
      <c r="K245" s="7" t="n"/>
      <c r="R245" s="7">
        <f>IF($C245="","",Q245*AC245/100)</f>
        <v/>
      </c>
      <c r="S245" s="11" t="n"/>
      <c r="U245" s="11" t="n"/>
      <c r="AA245" s="7" t="n"/>
      <c r="AC245" s="7" t="n"/>
      <c r="AE245">
        <f>IF($C245="","",IF($AK245=1,Settings!$C$6,Settings!$C$7)*1)</f>
        <v/>
      </c>
      <c r="AF245" s="7">
        <f>IF($C245="","",AE245*AC245)</f>
        <v/>
      </c>
      <c r="AG245" s="7">
        <f>IF($C245="","",AC245-AF245)</f>
        <v/>
      </c>
      <c r="AH245" s="7">
        <f>IF($C245="","",AG245-R245)</f>
        <v/>
      </c>
      <c r="AI245">
        <f>IF($C245="","",IF(COUNTIF($C$2:$C245,$C245)=1,1,0))</f>
        <v/>
      </c>
      <c r="AJ245">
        <f>IF($AI245=1,SUMPRODUCT(--($AL$2:$AL$1501&lt;$AL245))+1,"")</f>
        <v/>
      </c>
      <c r="AK245">
        <f>IF($C245="","",IF(OR($AD245=TRUE(),$AD245="TRUE"),0,1))</f>
        <v/>
      </c>
      <c r="AL245">
        <f>IF($AI245=1,IFERROR(IF(VALUE($C245)&lt;100000000,VALUE($C245),1000000000),IFERROR(IF(VALUE(MID($C245,2,20))&lt;100000000,VALUE(MID($C245,2,20)),1000000000),1000000000))+ROW()/100000,"")</f>
        <v/>
      </c>
    </row>
    <row r="246">
      <c r="J246" s="7" t="n"/>
      <c r="K246" s="7" t="n"/>
      <c r="R246" s="7">
        <f>IF($C246="","",Q246*AC246/100)</f>
        <v/>
      </c>
      <c r="S246" s="11" t="n"/>
      <c r="U246" s="11" t="n"/>
      <c r="AA246" s="7" t="n"/>
      <c r="AC246" s="7" t="n"/>
      <c r="AE246">
        <f>IF($C246="","",IF($AK246=1,Settings!$C$6,Settings!$C$7)*1)</f>
        <v/>
      </c>
      <c r="AF246" s="7">
        <f>IF($C246="","",AE246*AC246)</f>
        <v/>
      </c>
      <c r="AG246" s="7">
        <f>IF($C246="","",AC246-AF246)</f>
        <v/>
      </c>
      <c r="AH246" s="7">
        <f>IF($C246="","",AG246-R246)</f>
        <v/>
      </c>
      <c r="AI246">
        <f>IF($C246="","",IF(COUNTIF($C$2:$C246,$C246)=1,1,0))</f>
        <v/>
      </c>
      <c r="AJ246">
        <f>IF($AI246=1,SUMPRODUCT(--($AL$2:$AL$1501&lt;$AL246))+1,"")</f>
        <v/>
      </c>
      <c r="AK246">
        <f>IF($C246="","",IF(OR($AD246=TRUE(),$AD246="TRUE"),0,1))</f>
        <v/>
      </c>
      <c r="AL246">
        <f>IF($AI246=1,IFERROR(IF(VALUE($C246)&lt;100000000,VALUE($C246),1000000000),IFERROR(IF(VALUE(MID($C246,2,20))&lt;100000000,VALUE(MID($C246,2,20)),1000000000),1000000000))+ROW()/100000,"")</f>
        <v/>
      </c>
    </row>
    <row r="247">
      <c r="J247" s="7" t="n"/>
      <c r="K247" s="7" t="n"/>
      <c r="R247" s="7">
        <f>IF($C247="","",Q247*AC247/100)</f>
        <v/>
      </c>
      <c r="S247" s="11" t="n"/>
      <c r="U247" s="11" t="n"/>
      <c r="AA247" s="7" t="n"/>
      <c r="AC247" s="7" t="n"/>
      <c r="AE247">
        <f>IF($C247="","",IF($AK247=1,Settings!$C$6,Settings!$C$7)*1)</f>
        <v/>
      </c>
      <c r="AF247" s="7">
        <f>IF($C247="","",AE247*AC247)</f>
        <v/>
      </c>
      <c r="AG247" s="7">
        <f>IF($C247="","",AC247-AF247)</f>
        <v/>
      </c>
      <c r="AH247" s="7">
        <f>IF($C247="","",AG247-R247)</f>
        <v/>
      </c>
      <c r="AI247">
        <f>IF($C247="","",IF(COUNTIF($C$2:$C247,$C247)=1,1,0))</f>
        <v/>
      </c>
      <c r="AJ247">
        <f>IF($AI247=1,SUMPRODUCT(--($AL$2:$AL$1501&lt;$AL247))+1,"")</f>
        <v/>
      </c>
      <c r="AK247">
        <f>IF($C247="","",IF(OR($AD247=TRUE(),$AD247="TRUE"),0,1))</f>
        <v/>
      </c>
      <c r="AL247">
        <f>IF($AI247=1,IFERROR(IF(VALUE($C247)&lt;100000000,VALUE($C247),1000000000),IFERROR(IF(VALUE(MID($C247,2,20))&lt;100000000,VALUE(MID($C247,2,20)),1000000000),1000000000))+ROW()/100000,"")</f>
        <v/>
      </c>
    </row>
    <row r="248">
      <c r="J248" s="7" t="n"/>
      <c r="K248" s="7" t="n"/>
      <c r="R248" s="7">
        <f>IF($C248="","",Q248*AC248/100)</f>
        <v/>
      </c>
      <c r="S248" s="11" t="n"/>
      <c r="U248" s="11" t="n"/>
      <c r="AA248" s="7" t="n"/>
      <c r="AC248" s="7" t="n"/>
      <c r="AE248">
        <f>IF($C248="","",IF($AK248=1,Settings!$C$6,Settings!$C$7)*1)</f>
        <v/>
      </c>
      <c r="AF248" s="7">
        <f>IF($C248="","",AE248*AC248)</f>
        <v/>
      </c>
      <c r="AG248" s="7">
        <f>IF($C248="","",AC248-AF248)</f>
        <v/>
      </c>
      <c r="AH248" s="7">
        <f>IF($C248="","",AG248-R248)</f>
        <v/>
      </c>
      <c r="AI248">
        <f>IF($C248="","",IF(COUNTIF($C$2:$C248,$C248)=1,1,0))</f>
        <v/>
      </c>
      <c r="AJ248">
        <f>IF($AI248=1,SUMPRODUCT(--($AL$2:$AL$1501&lt;$AL248))+1,"")</f>
        <v/>
      </c>
      <c r="AK248">
        <f>IF($C248="","",IF(OR($AD248=TRUE(),$AD248="TRUE"),0,1))</f>
        <v/>
      </c>
      <c r="AL248">
        <f>IF($AI248=1,IFERROR(IF(VALUE($C248)&lt;100000000,VALUE($C248),1000000000),IFERROR(IF(VALUE(MID($C248,2,20))&lt;100000000,VALUE(MID($C248,2,20)),1000000000),1000000000))+ROW()/100000,"")</f>
        <v/>
      </c>
    </row>
    <row r="249">
      <c r="J249" s="7" t="n"/>
      <c r="K249" s="7" t="n"/>
      <c r="R249" s="7">
        <f>IF($C249="","",Q249*AC249/100)</f>
        <v/>
      </c>
      <c r="S249" s="11" t="n"/>
      <c r="U249" s="11" t="n"/>
      <c r="AA249" s="7" t="n"/>
      <c r="AC249" s="7" t="n"/>
      <c r="AE249">
        <f>IF($C249="","",IF($AK249=1,Settings!$C$6,Settings!$C$7)*1)</f>
        <v/>
      </c>
      <c r="AF249" s="7">
        <f>IF($C249="","",AE249*AC249)</f>
        <v/>
      </c>
      <c r="AG249" s="7">
        <f>IF($C249="","",AC249-AF249)</f>
        <v/>
      </c>
      <c r="AH249" s="7">
        <f>IF($C249="","",AG249-R249)</f>
        <v/>
      </c>
      <c r="AI249">
        <f>IF($C249="","",IF(COUNTIF($C$2:$C249,$C249)=1,1,0))</f>
        <v/>
      </c>
      <c r="AJ249">
        <f>IF($AI249=1,SUMPRODUCT(--($AL$2:$AL$1501&lt;$AL249))+1,"")</f>
        <v/>
      </c>
      <c r="AK249">
        <f>IF($C249="","",IF(OR($AD249=TRUE(),$AD249="TRUE"),0,1))</f>
        <v/>
      </c>
      <c r="AL249">
        <f>IF($AI249=1,IFERROR(IF(VALUE($C249)&lt;100000000,VALUE($C249),1000000000),IFERROR(IF(VALUE(MID($C249,2,20))&lt;100000000,VALUE(MID($C249,2,20)),1000000000),1000000000))+ROW()/100000,"")</f>
        <v/>
      </c>
    </row>
    <row r="250">
      <c r="J250" s="7" t="n"/>
      <c r="K250" s="7" t="n"/>
      <c r="R250" s="7">
        <f>IF($C250="","",Q250*AC250/100)</f>
        <v/>
      </c>
      <c r="S250" s="11" t="n"/>
      <c r="U250" s="11" t="n"/>
      <c r="AA250" s="7" t="n"/>
      <c r="AC250" s="7" t="n"/>
      <c r="AE250">
        <f>IF($C250="","",IF($AK250=1,Settings!$C$6,Settings!$C$7)*1)</f>
        <v/>
      </c>
      <c r="AF250" s="7">
        <f>IF($C250="","",AE250*AC250)</f>
        <v/>
      </c>
      <c r="AG250" s="7">
        <f>IF($C250="","",AC250-AF250)</f>
        <v/>
      </c>
      <c r="AH250" s="7">
        <f>IF($C250="","",AG250-R250)</f>
        <v/>
      </c>
      <c r="AI250">
        <f>IF($C250="","",IF(COUNTIF($C$2:$C250,$C250)=1,1,0))</f>
        <v/>
      </c>
      <c r="AJ250">
        <f>IF($AI250=1,SUMPRODUCT(--($AL$2:$AL$1501&lt;$AL250))+1,"")</f>
        <v/>
      </c>
      <c r="AK250">
        <f>IF($C250="","",IF(OR($AD250=TRUE(),$AD250="TRUE"),0,1))</f>
        <v/>
      </c>
      <c r="AL250">
        <f>IF($AI250=1,IFERROR(IF(VALUE($C250)&lt;100000000,VALUE($C250),1000000000),IFERROR(IF(VALUE(MID($C250,2,20))&lt;100000000,VALUE(MID($C250,2,20)),1000000000),1000000000))+ROW()/100000,"")</f>
        <v/>
      </c>
    </row>
    <row r="251">
      <c r="J251" s="7" t="n"/>
      <c r="K251" s="7" t="n"/>
      <c r="R251" s="7">
        <f>IF($C251="","",Q251*AC251/100)</f>
        <v/>
      </c>
      <c r="S251" s="11" t="n"/>
      <c r="U251" s="11" t="n"/>
      <c r="AA251" s="7" t="n"/>
      <c r="AC251" s="7" t="n"/>
      <c r="AE251">
        <f>IF($C251="","",IF($AK251=1,Settings!$C$6,Settings!$C$7)*1)</f>
        <v/>
      </c>
      <c r="AF251" s="7">
        <f>IF($C251="","",AE251*AC251)</f>
        <v/>
      </c>
      <c r="AG251" s="7">
        <f>IF($C251="","",AC251-AF251)</f>
        <v/>
      </c>
      <c r="AH251" s="7">
        <f>IF($C251="","",AG251-R251)</f>
        <v/>
      </c>
      <c r="AI251">
        <f>IF($C251="","",IF(COUNTIF($C$2:$C251,$C251)=1,1,0))</f>
        <v/>
      </c>
      <c r="AJ251">
        <f>IF($AI251=1,SUMPRODUCT(--($AL$2:$AL$1501&lt;$AL251))+1,"")</f>
        <v/>
      </c>
      <c r="AK251">
        <f>IF($C251="","",IF(OR($AD251=TRUE(),$AD251="TRUE"),0,1))</f>
        <v/>
      </c>
      <c r="AL251">
        <f>IF($AI251=1,IFERROR(IF(VALUE($C251)&lt;100000000,VALUE($C251),1000000000),IFERROR(IF(VALUE(MID($C251,2,20))&lt;100000000,VALUE(MID($C251,2,20)),1000000000),1000000000))+ROW()/100000,"")</f>
        <v/>
      </c>
    </row>
    <row r="252">
      <c r="J252" s="7" t="n"/>
      <c r="K252" s="7" t="n"/>
      <c r="R252" s="7">
        <f>IF($C252="","",Q252*AC252/100)</f>
        <v/>
      </c>
      <c r="S252" s="11" t="n"/>
      <c r="U252" s="11" t="n"/>
      <c r="AA252" s="7" t="n"/>
      <c r="AC252" s="7" t="n"/>
      <c r="AE252">
        <f>IF($C252="","",IF($AK252=1,Settings!$C$6,Settings!$C$7)*1)</f>
        <v/>
      </c>
      <c r="AF252" s="7">
        <f>IF($C252="","",AE252*AC252)</f>
        <v/>
      </c>
      <c r="AG252" s="7">
        <f>IF($C252="","",AC252-AF252)</f>
        <v/>
      </c>
      <c r="AH252" s="7">
        <f>IF($C252="","",AG252-R252)</f>
        <v/>
      </c>
      <c r="AI252">
        <f>IF($C252="","",IF(COUNTIF($C$2:$C252,$C252)=1,1,0))</f>
        <v/>
      </c>
      <c r="AJ252">
        <f>IF($AI252=1,SUMPRODUCT(--($AL$2:$AL$1501&lt;$AL252))+1,"")</f>
        <v/>
      </c>
      <c r="AK252">
        <f>IF($C252="","",IF(OR($AD252=TRUE(),$AD252="TRUE"),0,1))</f>
        <v/>
      </c>
      <c r="AL252">
        <f>IF($AI252=1,IFERROR(IF(VALUE($C252)&lt;100000000,VALUE($C252),1000000000),IFERROR(IF(VALUE(MID($C252,2,20))&lt;100000000,VALUE(MID($C252,2,20)),1000000000),1000000000))+ROW()/100000,"")</f>
        <v/>
      </c>
    </row>
    <row r="253">
      <c r="J253" s="7" t="n"/>
      <c r="K253" s="7" t="n"/>
      <c r="R253" s="7">
        <f>IF($C253="","",Q253*AC253/100)</f>
        <v/>
      </c>
      <c r="S253" s="11" t="n"/>
      <c r="U253" s="11" t="n"/>
      <c r="AA253" s="7" t="n"/>
      <c r="AC253" s="7" t="n"/>
      <c r="AE253">
        <f>IF($C253="","",IF($AK253=1,Settings!$C$6,Settings!$C$7)*1)</f>
        <v/>
      </c>
      <c r="AF253" s="7">
        <f>IF($C253="","",AE253*AC253)</f>
        <v/>
      </c>
      <c r="AG253" s="7">
        <f>IF($C253="","",AC253-AF253)</f>
        <v/>
      </c>
      <c r="AH253" s="7">
        <f>IF($C253="","",AG253-R253)</f>
        <v/>
      </c>
      <c r="AI253">
        <f>IF($C253="","",IF(COUNTIF($C$2:$C253,$C253)=1,1,0))</f>
        <v/>
      </c>
      <c r="AJ253">
        <f>IF($AI253=1,SUMPRODUCT(--($AL$2:$AL$1501&lt;$AL253))+1,"")</f>
        <v/>
      </c>
      <c r="AK253">
        <f>IF($C253="","",IF(OR($AD253=TRUE(),$AD253="TRUE"),0,1))</f>
        <v/>
      </c>
      <c r="AL253">
        <f>IF($AI253=1,IFERROR(IF(VALUE($C253)&lt;100000000,VALUE($C253),1000000000),IFERROR(IF(VALUE(MID($C253,2,20))&lt;100000000,VALUE(MID($C253,2,20)),1000000000),1000000000))+ROW()/100000,"")</f>
        <v/>
      </c>
    </row>
    <row r="254">
      <c r="J254" s="7" t="n"/>
      <c r="K254" s="7" t="n"/>
      <c r="R254" s="7">
        <f>IF($C254="","",Q254*AC254/100)</f>
        <v/>
      </c>
      <c r="S254" s="11" t="n"/>
      <c r="U254" s="11" t="n"/>
      <c r="AA254" s="7" t="n"/>
      <c r="AC254" s="7" t="n"/>
      <c r="AE254">
        <f>IF($C254="","",IF($AK254=1,Settings!$C$6,Settings!$C$7)*1)</f>
        <v/>
      </c>
      <c r="AF254" s="7">
        <f>IF($C254="","",AE254*AC254)</f>
        <v/>
      </c>
      <c r="AG254" s="7">
        <f>IF($C254="","",AC254-AF254)</f>
        <v/>
      </c>
      <c r="AH254" s="7">
        <f>IF($C254="","",AG254-R254)</f>
        <v/>
      </c>
      <c r="AI254">
        <f>IF($C254="","",IF(COUNTIF($C$2:$C254,$C254)=1,1,0))</f>
        <v/>
      </c>
      <c r="AJ254">
        <f>IF($AI254=1,SUMPRODUCT(--($AL$2:$AL$1501&lt;$AL254))+1,"")</f>
        <v/>
      </c>
      <c r="AK254">
        <f>IF($C254="","",IF(OR($AD254=TRUE(),$AD254="TRUE"),0,1))</f>
        <v/>
      </c>
      <c r="AL254">
        <f>IF($AI254=1,IFERROR(IF(VALUE($C254)&lt;100000000,VALUE($C254),1000000000),IFERROR(IF(VALUE(MID($C254,2,20))&lt;100000000,VALUE(MID($C254,2,20)),1000000000),1000000000))+ROW()/100000,"")</f>
        <v/>
      </c>
    </row>
    <row r="255">
      <c r="J255" s="7" t="n"/>
      <c r="K255" s="7" t="n"/>
      <c r="R255" s="7">
        <f>IF($C255="","",Q255*AC255/100)</f>
        <v/>
      </c>
      <c r="S255" s="11" t="n"/>
      <c r="U255" s="11" t="n"/>
      <c r="AA255" s="7" t="n"/>
      <c r="AC255" s="7" t="n"/>
      <c r="AE255">
        <f>IF($C255="","",IF($AK255=1,Settings!$C$6,Settings!$C$7)*1)</f>
        <v/>
      </c>
      <c r="AF255" s="7">
        <f>IF($C255="","",AE255*AC255)</f>
        <v/>
      </c>
      <c r="AG255" s="7">
        <f>IF($C255="","",AC255-AF255)</f>
        <v/>
      </c>
      <c r="AH255" s="7">
        <f>IF($C255="","",AG255-R255)</f>
        <v/>
      </c>
      <c r="AI255">
        <f>IF($C255="","",IF(COUNTIF($C$2:$C255,$C255)=1,1,0))</f>
        <v/>
      </c>
      <c r="AJ255">
        <f>IF($AI255=1,SUMPRODUCT(--($AL$2:$AL$1501&lt;$AL255))+1,"")</f>
        <v/>
      </c>
      <c r="AK255">
        <f>IF($C255="","",IF(OR($AD255=TRUE(),$AD255="TRUE"),0,1))</f>
        <v/>
      </c>
      <c r="AL255">
        <f>IF($AI255=1,IFERROR(IF(VALUE($C255)&lt;100000000,VALUE($C255),1000000000),IFERROR(IF(VALUE(MID($C255,2,20))&lt;100000000,VALUE(MID($C255,2,20)),1000000000),1000000000))+ROW()/100000,"")</f>
        <v/>
      </c>
    </row>
    <row r="256">
      <c r="J256" s="7" t="n"/>
      <c r="K256" s="7" t="n"/>
      <c r="R256" s="7">
        <f>IF($C256="","",Q256*AC256/100)</f>
        <v/>
      </c>
      <c r="S256" s="11" t="n"/>
      <c r="U256" s="11" t="n"/>
      <c r="AA256" s="7" t="n"/>
      <c r="AC256" s="7" t="n"/>
      <c r="AE256">
        <f>IF($C256="","",IF($AK256=1,Settings!$C$6,Settings!$C$7)*1)</f>
        <v/>
      </c>
      <c r="AF256" s="7">
        <f>IF($C256="","",AE256*AC256)</f>
        <v/>
      </c>
      <c r="AG256" s="7">
        <f>IF($C256="","",AC256-AF256)</f>
        <v/>
      </c>
      <c r="AH256" s="7">
        <f>IF($C256="","",AG256-R256)</f>
        <v/>
      </c>
      <c r="AI256">
        <f>IF($C256="","",IF(COUNTIF($C$2:$C256,$C256)=1,1,0))</f>
        <v/>
      </c>
      <c r="AJ256">
        <f>IF($AI256=1,SUMPRODUCT(--($AL$2:$AL$1501&lt;$AL256))+1,"")</f>
        <v/>
      </c>
      <c r="AK256">
        <f>IF($C256="","",IF(OR($AD256=TRUE(),$AD256="TRUE"),0,1))</f>
        <v/>
      </c>
      <c r="AL256">
        <f>IF($AI256=1,IFERROR(IF(VALUE($C256)&lt;100000000,VALUE($C256),1000000000),IFERROR(IF(VALUE(MID($C256,2,20))&lt;100000000,VALUE(MID($C256,2,20)),1000000000),1000000000))+ROW()/100000,"")</f>
        <v/>
      </c>
    </row>
    <row r="257">
      <c r="J257" s="7" t="n"/>
      <c r="K257" s="7" t="n"/>
      <c r="R257" s="7">
        <f>IF($C257="","",Q257*AC257/100)</f>
        <v/>
      </c>
      <c r="S257" s="11" t="n"/>
      <c r="U257" s="11" t="n"/>
      <c r="AA257" s="7" t="n"/>
      <c r="AC257" s="7" t="n"/>
      <c r="AE257">
        <f>IF($C257="","",IF($AK257=1,Settings!$C$6,Settings!$C$7)*1)</f>
        <v/>
      </c>
      <c r="AF257" s="7">
        <f>IF($C257="","",AE257*AC257)</f>
        <v/>
      </c>
      <c r="AG257" s="7">
        <f>IF($C257="","",AC257-AF257)</f>
        <v/>
      </c>
      <c r="AH257" s="7">
        <f>IF($C257="","",AG257-R257)</f>
        <v/>
      </c>
      <c r="AI257">
        <f>IF($C257="","",IF(COUNTIF($C$2:$C257,$C257)=1,1,0))</f>
        <v/>
      </c>
      <c r="AJ257">
        <f>IF($AI257=1,SUMPRODUCT(--($AL$2:$AL$1501&lt;$AL257))+1,"")</f>
        <v/>
      </c>
      <c r="AK257">
        <f>IF($C257="","",IF(OR($AD257=TRUE(),$AD257="TRUE"),0,1))</f>
        <v/>
      </c>
      <c r="AL257">
        <f>IF($AI257=1,IFERROR(IF(VALUE($C257)&lt;100000000,VALUE($C257),1000000000),IFERROR(IF(VALUE(MID($C257,2,20))&lt;100000000,VALUE(MID($C257,2,20)),1000000000),1000000000))+ROW()/100000,"")</f>
        <v/>
      </c>
    </row>
    <row r="258">
      <c r="J258" s="7" t="n"/>
      <c r="K258" s="7" t="n"/>
      <c r="R258" s="7">
        <f>IF($C258="","",Q258*AC258/100)</f>
        <v/>
      </c>
      <c r="S258" s="11" t="n"/>
      <c r="U258" s="11" t="n"/>
      <c r="AA258" s="7" t="n"/>
      <c r="AC258" s="7" t="n"/>
      <c r="AE258">
        <f>IF($C258="","",IF($AK258=1,Settings!$C$6,Settings!$C$7)*1)</f>
        <v/>
      </c>
      <c r="AF258" s="7">
        <f>IF($C258="","",AE258*AC258)</f>
        <v/>
      </c>
      <c r="AG258" s="7">
        <f>IF($C258="","",AC258-AF258)</f>
        <v/>
      </c>
      <c r="AH258" s="7">
        <f>IF($C258="","",AG258-R258)</f>
        <v/>
      </c>
      <c r="AI258">
        <f>IF($C258="","",IF(COUNTIF($C$2:$C258,$C258)=1,1,0))</f>
        <v/>
      </c>
      <c r="AJ258">
        <f>IF($AI258=1,SUMPRODUCT(--($AL$2:$AL$1501&lt;$AL258))+1,"")</f>
        <v/>
      </c>
      <c r="AK258">
        <f>IF($C258="","",IF(OR($AD258=TRUE(),$AD258="TRUE"),0,1))</f>
        <v/>
      </c>
      <c r="AL258">
        <f>IF($AI258=1,IFERROR(IF(VALUE($C258)&lt;100000000,VALUE($C258),1000000000),IFERROR(IF(VALUE(MID($C258,2,20))&lt;100000000,VALUE(MID($C258,2,20)),1000000000),1000000000))+ROW()/100000,"")</f>
        <v/>
      </c>
    </row>
    <row r="259">
      <c r="J259" s="7" t="n"/>
      <c r="K259" s="7" t="n"/>
      <c r="R259" s="7">
        <f>IF($C259="","",Q259*AC259/100)</f>
        <v/>
      </c>
      <c r="S259" s="11" t="n"/>
      <c r="U259" s="11" t="n"/>
      <c r="AA259" s="7" t="n"/>
      <c r="AC259" s="7" t="n"/>
      <c r="AE259">
        <f>IF($C259="","",IF($AK259=1,Settings!$C$6,Settings!$C$7)*1)</f>
        <v/>
      </c>
      <c r="AF259" s="7">
        <f>IF($C259="","",AE259*AC259)</f>
        <v/>
      </c>
      <c r="AG259" s="7">
        <f>IF($C259="","",AC259-AF259)</f>
        <v/>
      </c>
      <c r="AH259" s="7">
        <f>IF($C259="","",AG259-R259)</f>
        <v/>
      </c>
      <c r="AI259">
        <f>IF($C259="","",IF(COUNTIF($C$2:$C259,$C259)=1,1,0))</f>
        <v/>
      </c>
      <c r="AJ259">
        <f>IF($AI259=1,SUMPRODUCT(--($AL$2:$AL$1501&lt;$AL259))+1,"")</f>
        <v/>
      </c>
      <c r="AK259">
        <f>IF($C259="","",IF(OR($AD259=TRUE(),$AD259="TRUE"),0,1))</f>
        <v/>
      </c>
      <c r="AL259">
        <f>IF($AI259=1,IFERROR(IF(VALUE($C259)&lt;100000000,VALUE($C259),1000000000),IFERROR(IF(VALUE(MID($C259,2,20))&lt;100000000,VALUE(MID($C259,2,20)),1000000000),1000000000))+ROW()/100000,"")</f>
        <v/>
      </c>
    </row>
    <row r="260">
      <c r="J260" s="7" t="n"/>
      <c r="K260" s="7" t="n"/>
      <c r="R260" s="7">
        <f>IF($C260="","",Q260*AC260/100)</f>
        <v/>
      </c>
      <c r="S260" s="11" t="n"/>
      <c r="U260" s="11" t="n"/>
      <c r="AA260" s="7" t="n"/>
      <c r="AC260" s="7" t="n"/>
      <c r="AE260">
        <f>IF($C260="","",IF($AK260=1,Settings!$C$6,Settings!$C$7)*1)</f>
        <v/>
      </c>
      <c r="AF260" s="7">
        <f>IF($C260="","",AE260*AC260)</f>
        <v/>
      </c>
      <c r="AG260" s="7">
        <f>IF($C260="","",AC260-AF260)</f>
        <v/>
      </c>
      <c r="AH260" s="7">
        <f>IF($C260="","",AG260-R260)</f>
        <v/>
      </c>
      <c r="AI260">
        <f>IF($C260="","",IF(COUNTIF($C$2:$C260,$C260)=1,1,0))</f>
        <v/>
      </c>
      <c r="AJ260">
        <f>IF($AI260=1,SUMPRODUCT(--($AL$2:$AL$1501&lt;$AL260))+1,"")</f>
        <v/>
      </c>
      <c r="AK260">
        <f>IF($C260="","",IF(OR($AD260=TRUE(),$AD260="TRUE"),0,1))</f>
        <v/>
      </c>
      <c r="AL260">
        <f>IF($AI260=1,IFERROR(IF(VALUE($C260)&lt;100000000,VALUE($C260),1000000000),IFERROR(IF(VALUE(MID($C260,2,20))&lt;100000000,VALUE(MID($C260,2,20)),1000000000),1000000000))+ROW()/100000,"")</f>
        <v/>
      </c>
    </row>
    <row r="261">
      <c r="J261" s="7" t="n"/>
      <c r="K261" s="7" t="n"/>
      <c r="R261" s="7">
        <f>IF($C261="","",Q261*AC261/100)</f>
        <v/>
      </c>
      <c r="S261" s="11" t="n"/>
      <c r="U261" s="11" t="n"/>
      <c r="AA261" s="7" t="n"/>
      <c r="AC261" s="7" t="n"/>
      <c r="AE261">
        <f>IF($C261="","",IF($AK261=1,Settings!$C$6,Settings!$C$7)*1)</f>
        <v/>
      </c>
      <c r="AF261" s="7">
        <f>IF($C261="","",AE261*AC261)</f>
        <v/>
      </c>
      <c r="AG261" s="7">
        <f>IF($C261="","",AC261-AF261)</f>
        <v/>
      </c>
      <c r="AH261" s="7">
        <f>IF($C261="","",AG261-R261)</f>
        <v/>
      </c>
      <c r="AI261">
        <f>IF($C261="","",IF(COUNTIF($C$2:$C261,$C261)=1,1,0))</f>
        <v/>
      </c>
      <c r="AJ261">
        <f>IF($AI261=1,SUMPRODUCT(--($AL$2:$AL$1501&lt;$AL261))+1,"")</f>
        <v/>
      </c>
      <c r="AK261">
        <f>IF($C261="","",IF(OR($AD261=TRUE(),$AD261="TRUE"),0,1))</f>
        <v/>
      </c>
      <c r="AL261">
        <f>IF($AI261=1,IFERROR(IF(VALUE($C261)&lt;100000000,VALUE($C261),1000000000),IFERROR(IF(VALUE(MID($C261,2,20))&lt;100000000,VALUE(MID($C261,2,20)),1000000000),1000000000))+ROW()/100000,"")</f>
        <v/>
      </c>
    </row>
    <row r="262">
      <c r="J262" s="7" t="n"/>
      <c r="K262" s="7" t="n"/>
      <c r="R262" s="7">
        <f>IF($C262="","",Q262*AC262/100)</f>
        <v/>
      </c>
      <c r="S262" s="11" t="n"/>
      <c r="U262" s="11" t="n"/>
      <c r="AA262" s="7" t="n"/>
      <c r="AC262" s="7" t="n"/>
      <c r="AE262">
        <f>IF($C262="","",IF($AK262=1,Settings!$C$6,Settings!$C$7)*1)</f>
        <v/>
      </c>
      <c r="AF262" s="7">
        <f>IF($C262="","",AE262*AC262)</f>
        <v/>
      </c>
      <c r="AG262" s="7">
        <f>IF($C262="","",AC262-AF262)</f>
        <v/>
      </c>
      <c r="AH262" s="7">
        <f>IF($C262="","",AG262-R262)</f>
        <v/>
      </c>
      <c r="AI262">
        <f>IF($C262="","",IF(COUNTIF($C$2:$C262,$C262)=1,1,0))</f>
        <v/>
      </c>
      <c r="AJ262">
        <f>IF($AI262=1,SUMPRODUCT(--($AL$2:$AL$1501&lt;$AL262))+1,"")</f>
        <v/>
      </c>
      <c r="AK262">
        <f>IF($C262="","",IF(OR($AD262=TRUE(),$AD262="TRUE"),0,1))</f>
        <v/>
      </c>
      <c r="AL262">
        <f>IF($AI262=1,IFERROR(IF(VALUE($C262)&lt;100000000,VALUE($C262),1000000000),IFERROR(IF(VALUE(MID($C262,2,20))&lt;100000000,VALUE(MID($C262,2,20)),1000000000),1000000000))+ROW()/100000,"")</f>
        <v/>
      </c>
    </row>
    <row r="263">
      <c r="J263" s="7" t="n"/>
      <c r="K263" s="7" t="n"/>
      <c r="R263" s="7">
        <f>IF($C263="","",Q263*AC263/100)</f>
        <v/>
      </c>
      <c r="S263" s="11" t="n"/>
      <c r="U263" s="11" t="n"/>
      <c r="AA263" s="7" t="n"/>
      <c r="AC263" s="7" t="n"/>
      <c r="AE263">
        <f>IF($C263="","",IF($AK263=1,Settings!$C$6,Settings!$C$7)*1)</f>
        <v/>
      </c>
      <c r="AF263" s="7">
        <f>IF($C263="","",AE263*AC263)</f>
        <v/>
      </c>
      <c r="AG263" s="7">
        <f>IF($C263="","",AC263-AF263)</f>
        <v/>
      </c>
      <c r="AH263" s="7">
        <f>IF($C263="","",AG263-R263)</f>
        <v/>
      </c>
      <c r="AI263">
        <f>IF($C263="","",IF(COUNTIF($C$2:$C263,$C263)=1,1,0))</f>
        <v/>
      </c>
      <c r="AJ263">
        <f>IF($AI263=1,SUMPRODUCT(--($AL$2:$AL$1501&lt;$AL263))+1,"")</f>
        <v/>
      </c>
      <c r="AK263">
        <f>IF($C263="","",IF(OR($AD263=TRUE(),$AD263="TRUE"),0,1))</f>
        <v/>
      </c>
      <c r="AL263">
        <f>IF($AI263=1,IFERROR(IF(VALUE($C263)&lt;100000000,VALUE($C263),1000000000),IFERROR(IF(VALUE(MID($C263,2,20))&lt;100000000,VALUE(MID($C263,2,20)),1000000000),1000000000))+ROW()/100000,"")</f>
        <v/>
      </c>
    </row>
    <row r="264">
      <c r="J264" s="7" t="n"/>
      <c r="K264" s="7" t="n"/>
      <c r="R264" s="7">
        <f>IF($C264="","",Q264*AC264/100)</f>
        <v/>
      </c>
      <c r="S264" s="11" t="n"/>
      <c r="U264" s="11" t="n"/>
      <c r="AA264" s="7" t="n"/>
      <c r="AC264" s="7" t="n"/>
      <c r="AE264">
        <f>IF($C264="","",IF($AK264=1,Settings!$C$6,Settings!$C$7)*1)</f>
        <v/>
      </c>
      <c r="AF264" s="7">
        <f>IF($C264="","",AE264*AC264)</f>
        <v/>
      </c>
      <c r="AG264" s="7">
        <f>IF($C264="","",AC264-AF264)</f>
        <v/>
      </c>
      <c r="AH264" s="7">
        <f>IF($C264="","",AG264-R264)</f>
        <v/>
      </c>
      <c r="AI264">
        <f>IF($C264="","",IF(COUNTIF($C$2:$C264,$C264)=1,1,0))</f>
        <v/>
      </c>
      <c r="AJ264">
        <f>IF($AI264=1,SUMPRODUCT(--($AL$2:$AL$1501&lt;$AL264))+1,"")</f>
        <v/>
      </c>
      <c r="AK264">
        <f>IF($C264="","",IF(OR($AD264=TRUE(),$AD264="TRUE"),0,1))</f>
        <v/>
      </c>
      <c r="AL264">
        <f>IF($AI264=1,IFERROR(IF(VALUE($C264)&lt;100000000,VALUE($C264),1000000000),IFERROR(IF(VALUE(MID($C264,2,20))&lt;100000000,VALUE(MID($C264,2,20)),1000000000),1000000000))+ROW()/100000,"")</f>
        <v/>
      </c>
    </row>
    <row r="265">
      <c r="J265" s="7" t="n"/>
      <c r="K265" s="7" t="n"/>
      <c r="R265" s="7">
        <f>IF($C265="","",Q265*AC265/100)</f>
        <v/>
      </c>
      <c r="S265" s="11" t="n"/>
      <c r="U265" s="11" t="n"/>
      <c r="AA265" s="7" t="n"/>
      <c r="AC265" s="7" t="n"/>
      <c r="AE265">
        <f>IF($C265="","",IF($AK265=1,Settings!$C$6,Settings!$C$7)*1)</f>
        <v/>
      </c>
      <c r="AF265" s="7">
        <f>IF($C265="","",AE265*AC265)</f>
        <v/>
      </c>
      <c r="AG265" s="7">
        <f>IF($C265="","",AC265-AF265)</f>
        <v/>
      </c>
      <c r="AH265" s="7">
        <f>IF($C265="","",AG265-R265)</f>
        <v/>
      </c>
      <c r="AI265">
        <f>IF($C265="","",IF(COUNTIF($C$2:$C265,$C265)=1,1,0))</f>
        <v/>
      </c>
      <c r="AJ265">
        <f>IF($AI265=1,SUMPRODUCT(--($AL$2:$AL$1501&lt;$AL265))+1,"")</f>
        <v/>
      </c>
      <c r="AK265">
        <f>IF($C265="","",IF(OR($AD265=TRUE(),$AD265="TRUE"),0,1))</f>
        <v/>
      </c>
      <c r="AL265">
        <f>IF($AI265=1,IFERROR(IF(VALUE($C265)&lt;100000000,VALUE($C265),1000000000),IFERROR(IF(VALUE(MID($C265,2,20))&lt;100000000,VALUE(MID($C265,2,20)),1000000000),1000000000))+ROW()/100000,"")</f>
        <v/>
      </c>
    </row>
    <row r="266">
      <c r="J266" s="7" t="n"/>
      <c r="K266" s="7" t="n"/>
      <c r="R266" s="7">
        <f>IF($C266="","",Q266*AC266/100)</f>
        <v/>
      </c>
      <c r="S266" s="11" t="n"/>
      <c r="U266" s="11" t="n"/>
      <c r="AA266" s="7" t="n"/>
      <c r="AC266" s="7" t="n"/>
      <c r="AE266">
        <f>IF($C266="","",IF($AK266=1,Settings!$C$6,Settings!$C$7)*1)</f>
        <v/>
      </c>
      <c r="AF266" s="7">
        <f>IF($C266="","",AE266*AC266)</f>
        <v/>
      </c>
      <c r="AG266" s="7">
        <f>IF($C266="","",AC266-AF266)</f>
        <v/>
      </c>
      <c r="AH266" s="7">
        <f>IF($C266="","",AG266-R266)</f>
        <v/>
      </c>
      <c r="AI266">
        <f>IF($C266="","",IF(COUNTIF($C$2:$C266,$C266)=1,1,0))</f>
        <v/>
      </c>
      <c r="AJ266">
        <f>IF($AI266=1,SUMPRODUCT(--($AL$2:$AL$1501&lt;$AL266))+1,"")</f>
        <v/>
      </c>
      <c r="AK266">
        <f>IF($C266="","",IF(OR($AD266=TRUE(),$AD266="TRUE"),0,1))</f>
        <v/>
      </c>
      <c r="AL266">
        <f>IF($AI266=1,IFERROR(IF(VALUE($C266)&lt;100000000,VALUE($C266),1000000000),IFERROR(IF(VALUE(MID($C266,2,20))&lt;100000000,VALUE(MID($C266,2,20)),1000000000),1000000000))+ROW()/100000,"")</f>
        <v/>
      </c>
    </row>
    <row r="267">
      <c r="J267" s="7" t="n"/>
      <c r="K267" s="7" t="n"/>
      <c r="R267" s="7">
        <f>IF($C267="","",Q267*AC267/100)</f>
        <v/>
      </c>
      <c r="S267" s="11" t="n"/>
      <c r="U267" s="11" t="n"/>
      <c r="AA267" s="7" t="n"/>
      <c r="AC267" s="7" t="n"/>
      <c r="AE267">
        <f>IF($C267="","",IF($AK267=1,Settings!$C$6,Settings!$C$7)*1)</f>
        <v/>
      </c>
      <c r="AF267" s="7">
        <f>IF($C267="","",AE267*AC267)</f>
        <v/>
      </c>
      <c r="AG267" s="7">
        <f>IF($C267="","",AC267-AF267)</f>
        <v/>
      </c>
      <c r="AH267" s="7">
        <f>IF($C267="","",AG267-R267)</f>
        <v/>
      </c>
      <c r="AI267">
        <f>IF($C267="","",IF(COUNTIF($C$2:$C267,$C267)=1,1,0))</f>
        <v/>
      </c>
      <c r="AJ267">
        <f>IF($AI267=1,SUMPRODUCT(--($AL$2:$AL$1501&lt;$AL267))+1,"")</f>
        <v/>
      </c>
      <c r="AK267">
        <f>IF($C267="","",IF(OR($AD267=TRUE(),$AD267="TRUE"),0,1))</f>
        <v/>
      </c>
      <c r="AL267">
        <f>IF($AI267=1,IFERROR(IF(VALUE($C267)&lt;100000000,VALUE($C267),1000000000),IFERROR(IF(VALUE(MID($C267,2,20))&lt;100000000,VALUE(MID($C267,2,20)),1000000000),1000000000))+ROW()/100000,"")</f>
        <v/>
      </c>
    </row>
    <row r="268">
      <c r="J268" s="7" t="n"/>
      <c r="K268" s="7" t="n"/>
      <c r="R268" s="7">
        <f>IF($C268="","",Q268*AC268/100)</f>
        <v/>
      </c>
      <c r="S268" s="11" t="n"/>
      <c r="U268" s="11" t="n"/>
      <c r="AA268" s="7" t="n"/>
      <c r="AC268" s="7" t="n"/>
      <c r="AE268">
        <f>IF($C268="","",IF($AK268=1,Settings!$C$6,Settings!$C$7)*1)</f>
        <v/>
      </c>
      <c r="AF268" s="7">
        <f>IF($C268="","",AE268*AC268)</f>
        <v/>
      </c>
      <c r="AG268" s="7">
        <f>IF($C268="","",AC268-AF268)</f>
        <v/>
      </c>
      <c r="AH268" s="7">
        <f>IF($C268="","",AG268-R268)</f>
        <v/>
      </c>
      <c r="AI268">
        <f>IF($C268="","",IF(COUNTIF($C$2:$C268,$C268)=1,1,0))</f>
        <v/>
      </c>
      <c r="AJ268">
        <f>IF($AI268=1,SUMPRODUCT(--($AL$2:$AL$1501&lt;$AL268))+1,"")</f>
        <v/>
      </c>
      <c r="AK268">
        <f>IF($C268="","",IF(OR($AD268=TRUE(),$AD268="TRUE"),0,1))</f>
        <v/>
      </c>
      <c r="AL268">
        <f>IF($AI268=1,IFERROR(IF(VALUE($C268)&lt;100000000,VALUE($C268),1000000000),IFERROR(IF(VALUE(MID($C268,2,20))&lt;100000000,VALUE(MID($C268,2,20)),1000000000),1000000000))+ROW()/100000,"")</f>
        <v/>
      </c>
    </row>
    <row r="269">
      <c r="J269" s="7" t="n"/>
      <c r="K269" s="7" t="n"/>
      <c r="R269" s="7">
        <f>IF($C269="","",Q269*AC269/100)</f>
        <v/>
      </c>
      <c r="S269" s="11" t="n"/>
      <c r="U269" s="11" t="n"/>
      <c r="AA269" s="7" t="n"/>
      <c r="AC269" s="7" t="n"/>
      <c r="AE269">
        <f>IF($C269="","",IF($AK269=1,Settings!$C$6,Settings!$C$7)*1)</f>
        <v/>
      </c>
      <c r="AF269" s="7">
        <f>IF($C269="","",AE269*AC269)</f>
        <v/>
      </c>
      <c r="AG269" s="7">
        <f>IF($C269="","",AC269-AF269)</f>
        <v/>
      </c>
      <c r="AH269" s="7">
        <f>IF($C269="","",AG269-R269)</f>
        <v/>
      </c>
      <c r="AI269">
        <f>IF($C269="","",IF(COUNTIF($C$2:$C269,$C269)=1,1,0))</f>
        <v/>
      </c>
      <c r="AJ269">
        <f>IF($AI269=1,SUMPRODUCT(--($AL$2:$AL$1501&lt;$AL269))+1,"")</f>
        <v/>
      </c>
      <c r="AK269">
        <f>IF($C269="","",IF(OR($AD269=TRUE(),$AD269="TRUE"),0,1))</f>
        <v/>
      </c>
      <c r="AL269">
        <f>IF($AI269=1,IFERROR(IF(VALUE($C269)&lt;100000000,VALUE($C269),1000000000),IFERROR(IF(VALUE(MID($C269,2,20))&lt;100000000,VALUE(MID($C269,2,20)),1000000000),1000000000))+ROW()/100000,"")</f>
        <v/>
      </c>
    </row>
    <row r="270">
      <c r="J270" s="7" t="n"/>
      <c r="K270" s="7" t="n"/>
      <c r="R270" s="7">
        <f>IF($C270="","",Q270*AC270/100)</f>
        <v/>
      </c>
      <c r="S270" s="11" t="n"/>
      <c r="U270" s="11" t="n"/>
      <c r="AA270" s="7" t="n"/>
      <c r="AC270" s="7" t="n"/>
      <c r="AE270">
        <f>IF($C270="","",IF($AK270=1,Settings!$C$6,Settings!$C$7)*1)</f>
        <v/>
      </c>
      <c r="AF270" s="7">
        <f>IF($C270="","",AE270*AC270)</f>
        <v/>
      </c>
      <c r="AG270" s="7">
        <f>IF($C270="","",AC270-AF270)</f>
        <v/>
      </c>
      <c r="AH270" s="7">
        <f>IF($C270="","",AG270-R270)</f>
        <v/>
      </c>
      <c r="AI270">
        <f>IF($C270="","",IF(COUNTIF($C$2:$C270,$C270)=1,1,0))</f>
        <v/>
      </c>
      <c r="AJ270">
        <f>IF($AI270=1,SUMPRODUCT(--($AL$2:$AL$1501&lt;$AL270))+1,"")</f>
        <v/>
      </c>
      <c r="AK270">
        <f>IF($C270="","",IF(OR($AD270=TRUE(),$AD270="TRUE"),0,1))</f>
        <v/>
      </c>
      <c r="AL270">
        <f>IF($AI270=1,IFERROR(IF(VALUE($C270)&lt;100000000,VALUE($C270),1000000000),IFERROR(IF(VALUE(MID($C270,2,20))&lt;100000000,VALUE(MID($C270,2,20)),1000000000),1000000000))+ROW()/100000,"")</f>
        <v/>
      </c>
    </row>
    <row r="271">
      <c r="J271" s="7" t="n"/>
      <c r="K271" s="7" t="n"/>
      <c r="R271" s="7">
        <f>IF($C271="","",Q271*AC271/100)</f>
        <v/>
      </c>
      <c r="S271" s="11" t="n"/>
      <c r="U271" s="11" t="n"/>
      <c r="AA271" s="7" t="n"/>
      <c r="AC271" s="7" t="n"/>
      <c r="AE271">
        <f>IF($C271="","",IF($AK271=1,Settings!$C$6,Settings!$C$7)*1)</f>
        <v/>
      </c>
      <c r="AF271" s="7">
        <f>IF($C271="","",AE271*AC271)</f>
        <v/>
      </c>
      <c r="AG271" s="7">
        <f>IF($C271="","",AC271-AF271)</f>
        <v/>
      </c>
      <c r="AH271" s="7">
        <f>IF($C271="","",AG271-R271)</f>
        <v/>
      </c>
      <c r="AI271">
        <f>IF($C271="","",IF(COUNTIF($C$2:$C271,$C271)=1,1,0))</f>
        <v/>
      </c>
      <c r="AJ271">
        <f>IF($AI271=1,SUMPRODUCT(--($AL$2:$AL$1501&lt;$AL271))+1,"")</f>
        <v/>
      </c>
      <c r="AK271">
        <f>IF($C271="","",IF(OR($AD271=TRUE(),$AD271="TRUE"),0,1))</f>
        <v/>
      </c>
      <c r="AL271">
        <f>IF($AI271=1,IFERROR(IF(VALUE($C271)&lt;100000000,VALUE($C271),1000000000),IFERROR(IF(VALUE(MID($C271,2,20))&lt;100000000,VALUE(MID($C271,2,20)),1000000000),1000000000))+ROW()/100000,"")</f>
        <v/>
      </c>
    </row>
    <row r="272">
      <c r="J272" s="7" t="n"/>
      <c r="K272" s="7" t="n"/>
      <c r="R272" s="7">
        <f>IF($C272="","",Q272*AC272/100)</f>
        <v/>
      </c>
      <c r="S272" s="11" t="n"/>
      <c r="U272" s="11" t="n"/>
      <c r="AA272" s="7" t="n"/>
      <c r="AC272" s="7" t="n"/>
      <c r="AE272">
        <f>IF($C272="","",IF($AK272=1,Settings!$C$6,Settings!$C$7)*1)</f>
        <v/>
      </c>
      <c r="AF272" s="7">
        <f>IF($C272="","",AE272*AC272)</f>
        <v/>
      </c>
      <c r="AG272" s="7">
        <f>IF($C272="","",AC272-AF272)</f>
        <v/>
      </c>
      <c r="AH272" s="7">
        <f>IF($C272="","",AG272-R272)</f>
        <v/>
      </c>
      <c r="AI272">
        <f>IF($C272="","",IF(COUNTIF($C$2:$C272,$C272)=1,1,0))</f>
        <v/>
      </c>
      <c r="AJ272">
        <f>IF($AI272=1,SUMPRODUCT(--($AL$2:$AL$1501&lt;$AL272))+1,"")</f>
        <v/>
      </c>
      <c r="AK272">
        <f>IF($C272="","",IF(OR($AD272=TRUE(),$AD272="TRUE"),0,1))</f>
        <v/>
      </c>
      <c r="AL272">
        <f>IF($AI272=1,IFERROR(IF(VALUE($C272)&lt;100000000,VALUE($C272),1000000000),IFERROR(IF(VALUE(MID($C272,2,20))&lt;100000000,VALUE(MID($C272,2,20)),1000000000),1000000000))+ROW()/100000,"")</f>
        <v/>
      </c>
    </row>
    <row r="273">
      <c r="J273" s="7" t="n"/>
      <c r="K273" s="7" t="n"/>
      <c r="R273" s="7">
        <f>IF($C273="","",Q273*AC273/100)</f>
        <v/>
      </c>
      <c r="S273" s="11" t="n"/>
      <c r="U273" s="11" t="n"/>
      <c r="AA273" s="7" t="n"/>
      <c r="AC273" s="7" t="n"/>
      <c r="AE273">
        <f>IF($C273="","",IF($AK273=1,Settings!$C$6,Settings!$C$7)*1)</f>
        <v/>
      </c>
      <c r="AF273" s="7">
        <f>IF($C273="","",AE273*AC273)</f>
        <v/>
      </c>
      <c r="AG273" s="7">
        <f>IF($C273="","",AC273-AF273)</f>
        <v/>
      </c>
      <c r="AH273" s="7">
        <f>IF($C273="","",AG273-R273)</f>
        <v/>
      </c>
      <c r="AI273">
        <f>IF($C273="","",IF(COUNTIF($C$2:$C273,$C273)=1,1,0))</f>
        <v/>
      </c>
      <c r="AJ273">
        <f>IF($AI273=1,SUMPRODUCT(--($AL$2:$AL$1501&lt;$AL273))+1,"")</f>
        <v/>
      </c>
      <c r="AK273">
        <f>IF($C273="","",IF(OR($AD273=TRUE(),$AD273="TRUE"),0,1))</f>
        <v/>
      </c>
      <c r="AL273">
        <f>IF($AI273=1,IFERROR(IF(VALUE($C273)&lt;100000000,VALUE($C273),1000000000),IFERROR(IF(VALUE(MID($C273,2,20))&lt;100000000,VALUE(MID($C273,2,20)),1000000000),1000000000))+ROW()/100000,"")</f>
        <v/>
      </c>
    </row>
    <row r="274">
      <c r="J274" s="7" t="n"/>
      <c r="K274" s="7" t="n"/>
      <c r="R274" s="7">
        <f>IF($C274="","",Q274*AC274/100)</f>
        <v/>
      </c>
      <c r="S274" s="11" t="n"/>
      <c r="U274" s="11" t="n"/>
      <c r="AA274" s="7" t="n"/>
      <c r="AC274" s="7" t="n"/>
      <c r="AE274">
        <f>IF($C274="","",IF($AK274=1,Settings!$C$6,Settings!$C$7)*1)</f>
        <v/>
      </c>
      <c r="AF274" s="7">
        <f>IF($C274="","",AE274*AC274)</f>
        <v/>
      </c>
      <c r="AG274" s="7">
        <f>IF($C274="","",AC274-AF274)</f>
        <v/>
      </c>
      <c r="AH274" s="7">
        <f>IF($C274="","",AG274-R274)</f>
        <v/>
      </c>
      <c r="AI274">
        <f>IF($C274="","",IF(COUNTIF($C$2:$C274,$C274)=1,1,0))</f>
        <v/>
      </c>
      <c r="AJ274">
        <f>IF($AI274=1,SUMPRODUCT(--($AL$2:$AL$1501&lt;$AL274))+1,"")</f>
        <v/>
      </c>
      <c r="AK274">
        <f>IF($C274="","",IF(OR($AD274=TRUE(),$AD274="TRUE"),0,1))</f>
        <v/>
      </c>
      <c r="AL274">
        <f>IF($AI274=1,IFERROR(IF(VALUE($C274)&lt;100000000,VALUE($C274),1000000000),IFERROR(IF(VALUE(MID($C274,2,20))&lt;100000000,VALUE(MID($C274,2,20)),1000000000),1000000000))+ROW()/100000,"")</f>
        <v/>
      </c>
    </row>
    <row r="275">
      <c r="J275" s="7" t="n"/>
      <c r="K275" s="7" t="n"/>
      <c r="R275" s="7">
        <f>IF($C275="","",Q275*AC275/100)</f>
        <v/>
      </c>
      <c r="S275" s="11" t="n"/>
      <c r="U275" s="11" t="n"/>
      <c r="AA275" s="7" t="n"/>
      <c r="AC275" s="7" t="n"/>
      <c r="AE275">
        <f>IF($C275="","",IF($AK275=1,Settings!$C$6,Settings!$C$7)*1)</f>
        <v/>
      </c>
      <c r="AF275" s="7">
        <f>IF($C275="","",AE275*AC275)</f>
        <v/>
      </c>
      <c r="AG275" s="7">
        <f>IF($C275="","",AC275-AF275)</f>
        <v/>
      </c>
      <c r="AH275" s="7">
        <f>IF($C275="","",AG275-R275)</f>
        <v/>
      </c>
      <c r="AI275">
        <f>IF($C275="","",IF(COUNTIF($C$2:$C275,$C275)=1,1,0))</f>
        <v/>
      </c>
      <c r="AJ275">
        <f>IF($AI275=1,SUMPRODUCT(--($AL$2:$AL$1501&lt;$AL275))+1,"")</f>
        <v/>
      </c>
      <c r="AK275">
        <f>IF($C275="","",IF(OR($AD275=TRUE(),$AD275="TRUE"),0,1))</f>
        <v/>
      </c>
      <c r="AL275">
        <f>IF($AI275=1,IFERROR(IF(VALUE($C275)&lt;100000000,VALUE($C275),1000000000),IFERROR(IF(VALUE(MID($C275,2,20))&lt;100000000,VALUE(MID($C275,2,20)),1000000000),1000000000))+ROW()/100000,"")</f>
        <v/>
      </c>
    </row>
    <row r="276">
      <c r="J276" s="7" t="n"/>
      <c r="K276" s="7" t="n"/>
      <c r="R276" s="7">
        <f>IF($C276="","",Q276*AC276/100)</f>
        <v/>
      </c>
      <c r="S276" s="11" t="n"/>
      <c r="U276" s="11" t="n"/>
      <c r="AA276" s="7" t="n"/>
      <c r="AC276" s="7" t="n"/>
      <c r="AE276">
        <f>IF($C276="","",IF($AK276=1,Settings!$C$6,Settings!$C$7)*1)</f>
        <v/>
      </c>
      <c r="AF276" s="7">
        <f>IF($C276="","",AE276*AC276)</f>
        <v/>
      </c>
      <c r="AG276" s="7">
        <f>IF($C276="","",AC276-AF276)</f>
        <v/>
      </c>
      <c r="AH276" s="7">
        <f>IF($C276="","",AG276-R276)</f>
        <v/>
      </c>
      <c r="AI276">
        <f>IF($C276="","",IF(COUNTIF($C$2:$C276,$C276)=1,1,0))</f>
        <v/>
      </c>
      <c r="AJ276">
        <f>IF($AI276=1,SUMPRODUCT(--($AL$2:$AL$1501&lt;$AL276))+1,"")</f>
        <v/>
      </c>
      <c r="AK276">
        <f>IF($C276="","",IF(OR($AD276=TRUE(),$AD276="TRUE"),0,1))</f>
        <v/>
      </c>
      <c r="AL276">
        <f>IF($AI276=1,IFERROR(IF(VALUE($C276)&lt;100000000,VALUE($C276),1000000000),IFERROR(IF(VALUE(MID($C276,2,20))&lt;100000000,VALUE(MID($C276,2,20)),1000000000),1000000000))+ROW()/100000,"")</f>
        <v/>
      </c>
    </row>
    <row r="277">
      <c r="J277" s="7" t="n"/>
      <c r="K277" s="7" t="n"/>
      <c r="R277" s="7">
        <f>IF($C277="","",Q277*AC277/100)</f>
        <v/>
      </c>
      <c r="S277" s="11" t="n"/>
      <c r="U277" s="11" t="n"/>
      <c r="AA277" s="7" t="n"/>
      <c r="AC277" s="7" t="n"/>
      <c r="AE277">
        <f>IF($C277="","",IF($AK277=1,Settings!$C$6,Settings!$C$7)*1)</f>
        <v/>
      </c>
      <c r="AF277" s="7">
        <f>IF($C277="","",AE277*AC277)</f>
        <v/>
      </c>
      <c r="AG277" s="7">
        <f>IF($C277="","",AC277-AF277)</f>
        <v/>
      </c>
      <c r="AH277" s="7">
        <f>IF($C277="","",AG277-R277)</f>
        <v/>
      </c>
      <c r="AI277">
        <f>IF($C277="","",IF(COUNTIF($C$2:$C277,$C277)=1,1,0))</f>
        <v/>
      </c>
      <c r="AJ277">
        <f>IF($AI277=1,SUMPRODUCT(--($AL$2:$AL$1501&lt;$AL277))+1,"")</f>
        <v/>
      </c>
      <c r="AK277">
        <f>IF($C277="","",IF(OR($AD277=TRUE(),$AD277="TRUE"),0,1))</f>
        <v/>
      </c>
      <c r="AL277">
        <f>IF($AI277=1,IFERROR(IF(VALUE($C277)&lt;100000000,VALUE($C277),1000000000),IFERROR(IF(VALUE(MID($C277,2,20))&lt;100000000,VALUE(MID($C277,2,20)),1000000000),1000000000))+ROW()/100000,"")</f>
        <v/>
      </c>
    </row>
    <row r="278">
      <c r="J278" s="7" t="n"/>
      <c r="K278" s="7" t="n"/>
      <c r="R278" s="7">
        <f>IF($C278="","",Q278*AC278/100)</f>
        <v/>
      </c>
      <c r="S278" s="11" t="n"/>
      <c r="U278" s="11" t="n"/>
      <c r="AA278" s="7" t="n"/>
      <c r="AC278" s="7" t="n"/>
      <c r="AE278">
        <f>IF($C278="","",IF($AK278=1,Settings!$C$6,Settings!$C$7)*1)</f>
        <v/>
      </c>
      <c r="AF278" s="7">
        <f>IF($C278="","",AE278*AC278)</f>
        <v/>
      </c>
      <c r="AG278" s="7">
        <f>IF($C278="","",AC278-AF278)</f>
        <v/>
      </c>
      <c r="AH278" s="7">
        <f>IF($C278="","",AG278-R278)</f>
        <v/>
      </c>
      <c r="AI278">
        <f>IF($C278="","",IF(COUNTIF($C$2:$C278,$C278)=1,1,0))</f>
        <v/>
      </c>
      <c r="AJ278">
        <f>IF($AI278=1,SUMPRODUCT(--($AL$2:$AL$1501&lt;$AL278))+1,"")</f>
        <v/>
      </c>
      <c r="AK278">
        <f>IF($C278="","",IF(OR($AD278=TRUE(),$AD278="TRUE"),0,1))</f>
        <v/>
      </c>
      <c r="AL278">
        <f>IF($AI278=1,IFERROR(IF(VALUE($C278)&lt;100000000,VALUE($C278),1000000000),IFERROR(IF(VALUE(MID($C278,2,20))&lt;100000000,VALUE(MID($C278,2,20)),1000000000),1000000000))+ROW()/100000,"")</f>
        <v/>
      </c>
    </row>
    <row r="279">
      <c r="J279" s="7" t="n"/>
      <c r="K279" s="7" t="n"/>
      <c r="R279" s="7">
        <f>IF($C279="","",Q279*AC279/100)</f>
        <v/>
      </c>
      <c r="S279" s="11" t="n"/>
      <c r="U279" s="11" t="n"/>
      <c r="AA279" s="7" t="n"/>
      <c r="AC279" s="7" t="n"/>
      <c r="AE279">
        <f>IF($C279="","",IF($AK279=1,Settings!$C$6,Settings!$C$7)*1)</f>
        <v/>
      </c>
      <c r="AF279" s="7">
        <f>IF($C279="","",AE279*AC279)</f>
        <v/>
      </c>
      <c r="AG279" s="7">
        <f>IF($C279="","",AC279-AF279)</f>
        <v/>
      </c>
      <c r="AH279" s="7">
        <f>IF($C279="","",AG279-R279)</f>
        <v/>
      </c>
      <c r="AI279">
        <f>IF($C279="","",IF(COUNTIF($C$2:$C279,$C279)=1,1,0))</f>
        <v/>
      </c>
      <c r="AJ279">
        <f>IF($AI279=1,SUMPRODUCT(--($AL$2:$AL$1501&lt;$AL279))+1,"")</f>
        <v/>
      </c>
      <c r="AK279">
        <f>IF($C279="","",IF(OR($AD279=TRUE(),$AD279="TRUE"),0,1))</f>
        <v/>
      </c>
      <c r="AL279">
        <f>IF($AI279=1,IFERROR(IF(VALUE($C279)&lt;100000000,VALUE($C279),1000000000),IFERROR(IF(VALUE(MID($C279,2,20))&lt;100000000,VALUE(MID($C279,2,20)),1000000000),1000000000))+ROW()/100000,"")</f>
        <v/>
      </c>
    </row>
    <row r="280">
      <c r="J280" s="7" t="n"/>
      <c r="K280" s="7" t="n"/>
      <c r="R280" s="7">
        <f>IF($C280="","",Q280*AC280/100)</f>
        <v/>
      </c>
      <c r="S280" s="11" t="n"/>
      <c r="U280" s="11" t="n"/>
      <c r="AA280" s="7" t="n"/>
      <c r="AC280" s="7" t="n"/>
      <c r="AE280">
        <f>IF($C280="","",IF($AK280=1,Settings!$C$6,Settings!$C$7)*1)</f>
        <v/>
      </c>
      <c r="AF280" s="7">
        <f>IF($C280="","",AE280*AC280)</f>
        <v/>
      </c>
      <c r="AG280" s="7">
        <f>IF($C280="","",AC280-AF280)</f>
        <v/>
      </c>
      <c r="AH280" s="7">
        <f>IF($C280="","",AG280-R280)</f>
        <v/>
      </c>
      <c r="AI280">
        <f>IF($C280="","",IF(COUNTIF($C$2:$C280,$C280)=1,1,0))</f>
        <v/>
      </c>
      <c r="AJ280">
        <f>IF($AI280=1,SUMPRODUCT(--($AL$2:$AL$1501&lt;$AL280))+1,"")</f>
        <v/>
      </c>
      <c r="AK280">
        <f>IF($C280="","",IF(OR($AD280=TRUE(),$AD280="TRUE"),0,1))</f>
        <v/>
      </c>
      <c r="AL280">
        <f>IF($AI280=1,IFERROR(IF(VALUE($C280)&lt;100000000,VALUE($C280),1000000000),IFERROR(IF(VALUE(MID($C280,2,20))&lt;100000000,VALUE(MID($C280,2,20)),1000000000),1000000000))+ROW()/100000,"")</f>
        <v/>
      </c>
    </row>
    <row r="281">
      <c r="J281" s="7" t="n"/>
      <c r="K281" s="7" t="n"/>
      <c r="R281" s="7">
        <f>IF($C281="","",Q281*AC281/100)</f>
        <v/>
      </c>
      <c r="S281" s="11" t="n"/>
      <c r="U281" s="11" t="n"/>
      <c r="AA281" s="7" t="n"/>
      <c r="AC281" s="7" t="n"/>
      <c r="AE281">
        <f>IF($C281="","",IF($AK281=1,Settings!$C$6,Settings!$C$7)*1)</f>
        <v/>
      </c>
      <c r="AF281" s="7">
        <f>IF($C281="","",AE281*AC281)</f>
        <v/>
      </c>
      <c r="AG281" s="7">
        <f>IF($C281="","",AC281-AF281)</f>
        <v/>
      </c>
      <c r="AH281" s="7">
        <f>IF($C281="","",AG281-R281)</f>
        <v/>
      </c>
      <c r="AI281">
        <f>IF($C281="","",IF(COUNTIF($C$2:$C281,$C281)=1,1,0))</f>
        <v/>
      </c>
      <c r="AJ281">
        <f>IF($AI281=1,SUMPRODUCT(--($AL$2:$AL$1501&lt;$AL281))+1,"")</f>
        <v/>
      </c>
      <c r="AK281">
        <f>IF($C281="","",IF(OR($AD281=TRUE(),$AD281="TRUE"),0,1))</f>
        <v/>
      </c>
      <c r="AL281">
        <f>IF($AI281=1,IFERROR(IF(VALUE($C281)&lt;100000000,VALUE($C281),1000000000),IFERROR(IF(VALUE(MID($C281,2,20))&lt;100000000,VALUE(MID($C281,2,20)),1000000000),1000000000))+ROW()/100000,"")</f>
        <v/>
      </c>
    </row>
    <row r="282">
      <c r="J282" s="7" t="n"/>
      <c r="K282" s="7" t="n"/>
      <c r="R282" s="7">
        <f>IF($C282="","",Q282*AC282/100)</f>
        <v/>
      </c>
      <c r="S282" s="11" t="n"/>
      <c r="U282" s="11" t="n"/>
      <c r="AA282" s="7" t="n"/>
      <c r="AC282" s="7" t="n"/>
      <c r="AE282">
        <f>IF($C282="","",IF($AK282=1,Settings!$C$6,Settings!$C$7)*1)</f>
        <v/>
      </c>
      <c r="AF282" s="7">
        <f>IF($C282="","",AE282*AC282)</f>
        <v/>
      </c>
      <c r="AG282" s="7">
        <f>IF($C282="","",AC282-AF282)</f>
        <v/>
      </c>
      <c r="AH282" s="7">
        <f>IF($C282="","",AG282-R282)</f>
        <v/>
      </c>
      <c r="AI282">
        <f>IF($C282="","",IF(COUNTIF($C$2:$C282,$C282)=1,1,0))</f>
        <v/>
      </c>
      <c r="AJ282">
        <f>IF($AI282=1,SUMPRODUCT(--($AL$2:$AL$1501&lt;$AL282))+1,"")</f>
        <v/>
      </c>
      <c r="AK282">
        <f>IF($C282="","",IF(OR($AD282=TRUE(),$AD282="TRUE"),0,1))</f>
        <v/>
      </c>
      <c r="AL282">
        <f>IF($AI282=1,IFERROR(IF(VALUE($C282)&lt;100000000,VALUE($C282),1000000000),IFERROR(IF(VALUE(MID($C282,2,20))&lt;100000000,VALUE(MID($C282,2,20)),1000000000),1000000000))+ROW()/100000,"")</f>
        <v/>
      </c>
    </row>
    <row r="283">
      <c r="J283" s="7" t="n"/>
      <c r="K283" s="7" t="n"/>
      <c r="R283" s="7">
        <f>IF($C283="","",Q283*AC283/100)</f>
        <v/>
      </c>
      <c r="S283" s="11" t="n"/>
      <c r="U283" s="11" t="n"/>
      <c r="AA283" s="7" t="n"/>
      <c r="AC283" s="7" t="n"/>
      <c r="AE283">
        <f>IF($C283="","",IF($AK283=1,Settings!$C$6,Settings!$C$7)*1)</f>
        <v/>
      </c>
      <c r="AF283" s="7">
        <f>IF($C283="","",AE283*AC283)</f>
        <v/>
      </c>
      <c r="AG283" s="7">
        <f>IF($C283="","",AC283-AF283)</f>
        <v/>
      </c>
      <c r="AH283" s="7">
        <f>IF($C283="","",AG283-R283)</f>
        <v/>
      </c>
      <c r="AI283">
        <f>IF($C283="","",IF(COUNTIF($C$2:$C283,$C283)=1,1,0))</f>
        <v/>
      </c>
      <c r="AJ283">
        <f>IF($AI283=1,SUMPRODUCT(--($AL$2:$AL$1501&lt;$AL283))+1,"")</f>
        <v/>
      </c>
      <c r="AK283">
        <f>IF($C283="","",IF(OR($AD283=TRUE(),$AD283="TRUE"),0,1))</f>
        <v/>
      </c>
      <c r="AL283">
        <f>IF($AI283=1,IFERROR(IF(VALUE($C283)&lt;100000000,VALUE($C283),1000000000),IFERROR(IF(VALUE(MID($C283,2,20))&lt;100000000,VALUE(MID($C283,2,20)),1000000000),1000000000))+ROW()/100000,"")</f>
        <v/>
      </c>
    </row>
    <row r="284">
      <c r="J284" s="7" t="n"/>
      <c r="K284" s="7" t="n"/>
      <c r="R284" s="7">
        <f>IF($C284="","",Q284*AC284/100)</f>
        <v/>
      </c>
      <c r="S284" s="11" t="n"/>
      <c r="U284" s="11" t="n"/>
      <c r="AA284" s="7" t="n"/>
      <c r="AC284" s="7" t="n"/>
      <c r="AE284">
        <f>IF($C284="","",IF($AK284=1,Settings!$C$6,Settings!$C$7)*1)</f>
        <v/>
      </c>
      <c r="AF284" s="7">
        <f>IF($C284="","",AE284*AC284)</f>
        <v/>
      </c>
      <c r="AG284" s="7">
        <f>IF($C284="","",AC284-AF284)</f>
        <v/>
      </c>
      <c r="AH284" s="7">
        <f>IF($C284="","",AG284-R284)</f>
        <v/>
      </c>
      <c r="AI284">
        <f>IF($C284="","",IF(COUNTIF($C$2:$C284,$C284)=1,1,0))</f>
        <v/>
      </c>
      <c r="AJ284">
        <f>IF($AI284=1,SUMPRODUCT(--($AL$2:$AL$1501&lt;$AL284))+1,"")</f>
        <v/>
      </c>
      <c r="AK284">
        <f>IF($C284="","",IF(OR($AD284=TRUE(),$AD284="TRUE"),0,1))</f>
        <v/>
      </c>
      <c r="AL284">
        <f>IF($AI284=1,IFERROR(IF(VALUE($C284)&lt;100000000,VALUE($C284),1000000000),IFERROR(IF(VALUE(MID($C284,2,20))&lt;100000000,VALUE(MID($C284,2,20)),1000000000),1000000000))+ROW()/100000,"")</f>
        <v/>
      </c>
    </row>
    <row r="285">
      <c r="J285" s="7" t="n"/>
      <c r="K285" s="7" t="n"/>
      <c r="R285" s="7">
        <f>IF($C285="","",Q285*AC285/100)</f>
        <v/>
      </c>
      <c r="S285" s="11" t="n"/>
      <c r="U285" s="11" t="n"/>
      <c r="AA285" s="7" t="n"/>
      <c r="AC285" s="7" t="n"/>
      <c r="AE285">
        <f>IF($C285="","",IF($AK285=1,Settings!$C$6,Settings!$C$7)*1)</f>
        <v/>
      </c>
      <c r="AF285" s="7">
        <f>IF($C285="","",AE285*AC285)</f>
        <v/>
      </c>
      <c r="AG285" s="7">
        <f>IF($C285="","",AC285-AF285)</f>
        <v/>
      </c>
      <c r="AH285" s="7">
        <f>IF($C285="","",AG285-R285)</f>
        <v/>
      </c>
      <c r="AI285">
        <f>IF($C285="","",IF(COUNTIF($C$2:$C285,$C285)=1,1,0))</f>
        <v/>
      </c>
      <c r="AJ285">
        <f>IF($AI285=1,SUMPRODUCT(--($AL$2:$AL$1501&lt;$AL285))+1,"")</f>
        <v/>
      </c>
      <c r="AK285">
        <f>IF($C285="","",IF(OR($AD285=TRUE(),$AD285="TRUE"),0,1))</f>
        <v/>
      </c>
      <c r="AL285">
        <f>IF($AI285=1,IFERROR(IF(VALUE($C285)&lt;100000000,VALUE($C285),1000000000),IFERROR(IF(VALUE(MID($C285,2,20))&lt;100000000,VALUE(MID($C285,2,20)),1000000000),1000000000))+ROW()/100000,"")</f>
        <v/>
      </c>
    </row>
    <row r="286">
      <c r="J286" s="7" t="n"/>
      <c r="K286" s="7" t="n"/>
      <c r="R286" s="7">
        <f>IF($C286="","",Q286*AC286/100)</f>
        <v/>
      </c>
      <c r="S286" s="11" t="n"/>
      <c r="U286" s="11" t="n"/>
      <c r="AA286" s="7" t="n"/>
      <c r="AC286" s="7" t="n"/>
      <c r="AE286">
        <f>IF($C286="","",IF($AK286=1,Settings!$C$6,Settings!$C$7)*1)</f>
        <v/>
      </c>
      <c r="AF286" s="7">
        <f>IF($C286="","",AE286*AC286)</f>
        <v/>
      </c>
      <c r="AG286" s="7">
        <f>IF($C286="","",AC286-AF286)</f>
        <v/>
      </c>
      <c r="AH286" s="7">
        <f>IF($C286="","",AG286-R286)</f>
        <v/>
      </c>
      <c r="AI286">
        <f>IF($C286="","",IF(COUNTIF($C$2:$C286,$C286)=1,1,0))</f>
        <v/>
      </c>
      <c r="AJ286">
        <f>IF($AI286=1,SUMPRODUCT(--($AL$2:$AL$1501&lt;$AL286))+1,"")</f>
        <v/>
      </c>
      <c r="AK286">
        <f>IF($C286="","",IF(OR($AD286=TRUE(),$AD286="TRUE"),0,1))</f>
        <v/>
      </c>
      <c r="AL286">
        <f>IF($AI286=1,IFERROR(IF(VALUE($C286)&lt;100000000,VALUE($C286),1000000000),IFERROR(IF(VALUE(MID($C286,2,20))&lt;100000000,VALUE(MID($C286,2,20)),1000000000),1000000000))+ROW()/100000,"")</f>
        <v/>
      </c>
    </row>
    <row r="287">
      <c r="J287" s="7" t="n"/>
      <c r="K287" s="7" t="n"/>
      <c r="R287" s="7">
        <f>IF($C287="","",Q287*AC287/100)</f>
        <v/>
      </c>
      <c r="S287" s="11" t="n"/>
      <c r="U287" s="11" t="n"/>
      <c r="AA287" s="7" t="n"/>
      <c r="AC287" s="7" t="n"/>
      <c r="AE287">
        <f>IF($C287="","",IF($AK287=1,Settings!$C$6,Settings!$C$7)*1)</f>
        <v/>
      </c>
      <c r="AF287" s="7">
        <f>IF($C287="","",AE287*AC287)</f>
        <v/>
      </c>
      <c r="AG287" s="7">
        <f>IF($C287="","",AC287-AF287)</f>
        <v/>
      </c>
      <c r="AH287" s="7">
        <f>IF($C287="","",AG287-R287)</f>
        <v/>
      </c>
      <c r="AI287">
        <f>IF($C287="","",IF(COUNTIF($C$2:$C287,$C287)=1,1,0))</f>
        <v/>
      </c>
      <c r="AJ287">
        <f>IF($AI287=1,SUMPRODUCT(--($AL$2:$AL$1501&lt;$AL287))+1,"")</f>
        <v/>
      </c>
      <c r="AK287">
        <f>IF($C287="","",IF(OR($AD287=TRUE(),$AD287="TRUE"),0,1))</f>
        <v/>
      </c>
      <c r="AL287">
        <f>IF($AI287=1,IFERROR(IF(VALUE($C287)&lt;100000000,VALUE($C287),1000000000),IFERROR(IF(VALUE(MID($C287,2,20))&lt;100000000,VALUE(MID($C287,2,20)),1000000000),1000000000))+ROW()/100000,"")</f>
        <v/>
      </c>
    </row>
    <row r="288">
      <c r="J288" s="7" t="n"/>
      <c r="K288" s="7" t="n"/>
      <c r="R288" s="7">
        <f>IF($C288="","",Q288*AC288/100)</f>
        <v/>
      </c>
      <c r="S288" s="11" t="n"/>
      <c r="U288" s="11" t="n"/>
      <c r="AA288" s="7" t="n"/>
      <c r="AC288" s="7" t="n"/>
      <c r="AE288">
        <f>IF($C288="","",IF($AK288=1,Settings!$C$6,Settings!$C$7)*1)</f>
        <v/>
      </c>
      <c r="AF288" s="7">
        <f>IF($C288="","",AE288*AC288)</f>
        <v/>
      </c>
      <c r="AG288" s="7">
        <f>IF($C288="","",AC288-AF288)</f>
        <v/>
      </c>
      <c r="AH288" s="7">
        <f>IF($C288="","",AG288-R288)</f>
        <v/>
      </c>
      <c r="AI288">
        <f>IF($C288="","",IF(COUNTIF($C$2:$C288,$C288)=1,1,0))</f>
        <v/>
      </c>
      <c r="AJ288">
        <f>IF($AI288=1,SUMPRODUCT(--($AL$2:$AL$1501&lt;$AL288))+1,"")</f>
        <v/>
      </c>
      <c r="AK288">
        <f>IF($C288="","",IF(OR($AD288=TRUE(),$AD288="TRUE"),0,1))</f>
        <v/>
      </c>
      <c r="AL288">
        <f>IF($AI288=1,IFERROR(IF(VALUE($C288)&lt;100000000,VALUE($C288),1000000000),IFERROR(IF(VALUE(MID($C288,2,20))&lt;100000000,VALUE(MID($C288,2,20)),1000000000),1000000000))+ROW()/100000,"")</f>
        <v/>
      </c>
    </row>
    <row r="289">
      <c r="J289" s="7" t="n"/>
      <c r="K289" s="7" t="n"/>
      <c r="R289" s="7">
        <f>IF($C289="","",Q289*AC289/100)</f>
        <v/>
      </c>
      <c r="S289" s="11" t="n"/>
      <c r="U289" s="11" t="n"/>
      <c r="AA289" s="7" t="n"/>
      <c r="AC289" s="7" t="n"/>
      <c r="AE289">
        <f>IF($C289="","",IF($AK289=1,Settings!$C$6,Settings!$C$7)*1)</f>
        <v/>
      </c>
      <c r="AF289" s="7">
        <f>IF($C289="","",AE289*AC289)</f>
        <v/>
      </c>
      <c r="AG289" s="7">
        <f>IF($C289="","",AC289-AF289)</f>
        <v/>
      </c>
      <c r="AH289" s="7">
        <f>IF($C289="","",AG289-R289)</f>
        <v/>
      </c>
      <c r="AI289">
        <f>IF($C289="","",IF(COUNTIF($C$2:$C289,$C289)=1,1,0))</f>
        <v/>
      </c>
      <c r="AJ289">
        <f>IF($AI289=1,SUMPRODUCT(--($AL$2:$AL$1501&lt;$AL289))+1,"")</f>
        <v/>
      </c>
      <c r="AK289">
        <f>IF($C289="","",IF(OR($AD289=TRUE(),$AD289="TRUE"),0,1))</f>
        <v/>
      </c>
      <c r="AL289">
        <f>IF($AI289=1,IFERROR(IF(VALUE($C289)&lt;100000000,VALUE($C289),1000000000),IFERROR(IF(VALUE(MID($C289,2,20))&lt;100000000,VALUE(MID($C289,2,20)),1000000000),1000000000))+ROW()/100000,"")</f>
        <v/>
      </c>
    </row>
    <row r="290">
      <c r="J290" s="7" t="n"/>
      <c r="K290" s="7" t="n"/>
      <c r="R290" s="7">
        <f>IF($C290="","",Q290*AC290/100)</f>
        <v/>
      </c>
      <c r="S290" s="11" t="n"/>
      <c r="U290" s="11" t="n"/>
      <c r="AA290" s="7" t="n"/>
      <c r="AC290" s="7" t="n"/>
      <c r="AE290">
        <f>IF($C290="","",IF($AK290=1,Settings!$C$6,Settings!$C$7)*1)</f>
        <v/>
      </c>
      <c r="AF290" s="7">
        <f>IF($C290="","",AE290*AC290)</f>
        <v/>
      </c>
      <c r="AG290" s="7">
        <f>IF($C290="","",AC290-AF290)</f>
        <v/>
      </c>
      <c r="AH290" s="7">
        <f>IF($C290="","",AG290-R290)</f>
        <v/>
      </c>
      <c r="AI290">
        <f>IF($C290="","",IF(COUNTIF($C$2:$C290,$C290)=1,1,0))</f>
        <v/>
      </c>
      <c r="AJ290">
        <f>IF($AI290=1,SUMPRODUCT(--($AL$2:$AL$1501&lt;$AL290))+1,"")</f>
        <v/>
      </c>
      <c r="AK290">
        <f>IF($C290="","",IF(OR($AD290=TRUE(),$AD290="TRUE"),0,1))</f>
        <v/>
      </c>
      <c r="AL290">
        <f>IF($AI290=1,IFERROR(IF(VALUE($C290)&lt;100000000,VALUE($C290),1000000000),IFERROR(IF(VALUE(MID($C290,2,20))&lt;100000000,VALUE(MID($C290,2,20)),1000000000),1000000000))+ROW()/100000,"")</f>
        <v/>
      </c>
    </row>
    <row r="291">
      <c r="J291" s="7" t="n"/>
      <c r="K291" s="7" t="n"/>
      <c r="R291" s="7">
        <f>IF($C291="","",Q291*AC291/100)</f>
        <v/>
      </c>
      <c r="S291" s="11" t="n"/>
      <c r="U291" s="11" t="n"/>
      <c r="AA291" s="7" t="n"/>
      <c r="AC291" s="7" t="n"/>
      <c r="AE291">
        <f>IF($C291="","",IF($AK291=1,Settings!$C$6,Settings!$C$7)*1)</f>
        <v/>
      </c>
      <c r="AF291" s="7">
        <f>IF($C291="","",AE291*AC291)</f>
        <v/>
      </c>
      <c r="AG291" s="7">
        <f>IF($C291="","",AC291-AF291)</f>
        <v/>
      </c>
      <c r="AH291" s="7">
        <f>IF($C291="","",AG291-R291)</f>
        <v/>
      </c>
      <c r="AI291">
        <f>IF($C291="","",IF(COUNTIF($C$2:$C291,$C291)=1,1,0))</f>
        <v/>
      </c>
      <c r="AJ291">
        <f>IF($AI291=1,SUMPRODUCT(--($AL$2:$AL$1501&lt;$AL291))+1,"")</f>
        <v/>
      </c>
      <c r="AK291">
        <f>IF($C291="","",IF(OR($AD291=TRUE(),$AD291="TRUE"),0,1))</f>
        <v/>
      </c>
      <c r="AL291">
        <f>IF($AI291=1,IFERROR(IF(VALUE($C291)&lt;100000000,VALUE($C291),1000000000),IFERROR(IF(VALUE(MID($C291,2,20))&lt;100000000,VALUE(MID($C291,2,20)),1000000000),1000000000))+ROW()/100000,"")</f>
        <v/>
      </c>
    </row>
    <row r="292">
      <c r="J292" s="7" t="n"/>
      <c r="K292" s="7" t="n"/>
      <c r="R292" s="7">
        <f>IF($C292="","",Q292*AC292/100)</f>
        <v/>
      </c>
      <c r="S292" s="11" t="n"/>
      <c r="U292" s="11" t="n"/>
      <c r="AA292" s="7" t="n"/>
      <c r="AC292" s="7" t="n"/>
      <c r="AE292">
        <f>IF($C292="","",IF($AK292=1,Settings!$C$6,Settings!$C$7)*1)</f>
        <v/>
      </c>
      <c r="AF292" s="7">
        <f>IF($C292="","",AE292*AC292)</f>
        <v/>
      </c>
      <c r="AG292" s="7">
        <f>IF($C292="","",AC292-AF292)</f>
        <v/>
      </c>
      <c r="AH292" s="7">
        <f>IF($C292="","",AG292-R292)</f>
        <v/>
      </c>
      <c r="AI292">
        <f>IF($C292="","",IF(COUNTIF($C$2:$C292,$C292)=1,1,0))</f>
        <v/>
      </c>
      <c r="AJ292">
        <f>IF($AI292=1,SUMPRODUCT(--($AL$2:$AL$1501&lt;$AL292))+1,"")</f>
        <v/>
      </c>
      <c r="AK292">
        <f>IF($C292="","",IF(OR($AD292=TRUE(),$AD292="TRUE"),0,1))</f>
        <v/>
      </c>
      <c r="AL292">
        <f>IF($AI292=1,IFERROR(IF(VALUE($C292)&lt;100000000,VALUE($C292),1000000000),IFERROR(IF(VALUE(MID($C292,2,20))&lt;100000000,VALUE(MID($C292,2,20)),1000000000),1000000000))+ROW()/100000,"")</f>
        <v/>
      </c>
    </row>
    <row r="293">
      <c r="J293" s="7" t="n"/>
      <c r="K293" s="7" t="n"/>
      <c r="R293" s="7">
        <f>IF($C293="","",Q293*AC293/100)</f>
        <v/>
      </c>
      <c r="S293" s="11" t="n"/>
      <c r="U293" s="11" t="n"/>
      <c r="AA293" s="7" t="n"/>
      <c r="AC293" s="7" t="n"/>
      <c r="AE293">
        <f>IF($C293="","",IF($AK293=1,Settings!$C$6,Settings!$C$7)*1)</f>
        <v/>
      </c>
      <c r="AF293" s="7">
        <f>IF($C293="","",AE293*AC293)</f>
        <v/>
      </c>
      <c r="AG293" s="7">
        <f>IF($C293="","",AC293-AF293)</f>
        <v/>
      </c>
      <c r="AH293" s="7">
        <f>IF($C293="","",AG293-R293)</f>
        <v/>
      </c>
      <c r="AI293">
        <f>IF($C293="","",IF(COUNTIF($C$2:$C293,$C293)=1,1,0))</f>
        <v/>
      </c>
      <c r="AJ293">
        <f>IF($AI293=1,SUMPRODUCT(--($AL$2:$AL$1501&lt;$AL293))+1,"")</f>
        <v/>
      </c>
      <c r="AK293">
        <f>IF($C293="","",IF(OR($AD293=TRUE(),$AD293="TRUE"),0,1))</f>
        <v/>
      </c>
      <c r="AL293">
        <f>IF($AI293=1,IFERROR(IF(VALUE($C293)&lt;100000000,VALUE($C293),1000000000),IFERROR(IF(VALUE(MID($C293,2,20))&lt;100000000,VALUE(MID($C293,2,20)),1000000000),1000000000))+ROW()/100000,"")</f>
        <v/>
      </c>
    </row>
    <row r="294">
      <c r="J294" s="7" t="n"/>
      <c r="K294" s="7" t="n"/>
      <c r="R294" s="7">
        <f>IF($C294="","",Q294*AC294/100)</f>
        <v/>
      </c>
      <c r="S294" s="11" t="n"/>
      <c r="U294" s="11" t="n"/>
      <c r="AA294" s="7" t="n"/>
      <c r="AC294" s="7" t="n"/>
      <c r="AE294">
        <f>IF($C294="","",IF($AK294=1,Settings!$C$6,Settings!$C$7)*1)</f>
        <v/>
      </c>
      <c r="AF294" s="7">
        <f>IF($C294="","",AE294*AC294)</f>
        <v/>
      </c>
      <c r="AG294" s="7">
        <f>IF($C294="","",AC294-AF294)</f>
        <v/>
      </c>
      <c r="AH294" s="7">
        <f>IF($C294="","",AG294-R294)</f>
        <v/>
      </c>
      <c r="AI294">
        <f>IF($C294="","",IF(COUNTIF($C$2:$C294,$C294)=1,1,0))</f>
        <v/>
      </c>
      <c r="AJ294">
        <f>IF($AI294=1,SUMPRODUCT(--($AL$2:$AL$1501&lt;$AL294))+1,"")</f>
        <v/>
      </c>
      <c r="AK294">
        <f>IF($C294="","",IF(OR($AD294=TRUE(),$AD294="TRUE"),0,1))</f>
        <v/>
      </c>
      <c r="AL294">
        <f>IF($AI294=1,IFERROR(IF(VALUE($C294)&lt;100000000,VALUE($C294),1000000000),IFERROR(IF(VALUE(MID($C294,2,20))&lt;100000000,VALUE(MID($C294,2,20)),1000000000),1000000000))+ROW()/100000,"")</f>
        <v/>
      </c>
    </row>
    <row r="295">
      <c r="J295" s="7" t="n"/>
      <c r="K295" s="7" t="n"/>
      <c r="R295" s="7">
        <f>IF($C295="","",Q295*AC295/100)</f>
        <v/>
      </c>
      <c r="S295" s="11" t="n"/>
      <c r="U295" s="11" t="n"/>
      <c r="AA295" s="7" t="n"/>
      <c r="AC295" s="7" t="n"/>
      <c r="AE295">
        <f>IF($C295="","",IF($AK295=1,Settings!$C$6,Settings!$C$7)*1)</f>
        <v/>
      </c>
      <c r="AF295" s="7">
        <f>IF($C295="","",AE295*AC295)</f>
        <v/>
      </c>
      <c r="AG295" s="7">
        <f>IF($C295="","",AC295-AF295)</f>
        <v/>
      </c>
      <c r="AH295" s="7">
        <f>IF($C295="","",AG295-R295)</f>
        <v/>
      </c>
      <c r="AI295">
        <f>IF($C295="","",IF(COUNTIF($C$2:$C295,$C295)=1,1,0))</f>
        <v/>
      </c>
      <c r="AJ295">
        <f>IF($AI295=1,SUMPRODUCT(--($AL$2:$AL$1501&lt;$AL295))+1,"")</f>
        <v/>
      </c>
      <c r="AK295">
        <f>IF($C295="","",IF(OR($AD295=TRUE(),$AD295="TRUE"),0,1))</f>
        <v/>
      </c>
      <c r="AL295">
        <f>IF($AI295=1,IFERROR(IF(VALUE($C295)&lt;100000000,VALUE($C295),1000000000),IFERROR(IF(VALUE(MID($C295,2,20))&lt;100000000,VALUE(MID($C295,2,20)),1000000000),1000000000))+ROW()/100000,"")</f>
        <v/>
      </c>
    </row>
    <row r="296">
      <c r="J296" s="7" t="n"/>
      <c r="K296" s="7" t="n"/>
      <c r="R296" s="7">
        <f>IF($C296="","",Q296*AC296/100)</f>
        <v/>
      </c>
      <c r="S296" s="11" t="n"/>
      <c r="U296" s="11" t="n"/>
      <c r="AA296" s="7" t="n"/>
      <c r="AC296" s="7" t="n"/>
      <c r="AE296">
        <f>IF($C296="","",IF($AK296=1,Settings!$C$6,Settings!$C$7)*1)</f>
        <v/>
      </c>
      <c r="AF296" s="7">
        <f>IF($C296="","",AE296*AC296)</f>
        <v/>
      </c>
      <c r="AG296" s="7">
        <f>IF($C296="","",AC296-AF296)</f>
        <v/>
      </c>
      <c r="AH296" s="7">
        <f>IF($C296="","",AG296-R296)</f>
        <v/>
      </c>
      <c r="AI296">
        <f>IF($C296="","",IF(COUNTIF($C$2:$C296,$C296)=1,1,0))</f>
        <v/>
      </c>
      <c r="AJ296">
        <f>IF($AI296=1,SUMPRODUCT(--($AL$2:$AL$1501&lt;$AL296))+1,"")</f>
        <v/>
      </c>
      <c r="AK296">
        <f>IF($C296="","",IF(OR($AD296=TRUE(),$AD296="TRUE"),0,1))</f>
        <v/>
      </c>
      <c r="AL296">
        <f>IF($AI296=1,IFERROR(IF(VALUE($C296)&lt;100000000,VALUE($C296),1000000000),IFERROR(IF(VALUE(MID($C296,2,20))&lt;100000000,VALUE(MID($C296,2,20)),1000000000),1000000000))+ROW()/100000,"")</f>
        <v/>
      </c>
    </row>
    <row r="297">
      <c r="J297" s="7" t="n"/>
      <c r="K297" s="7" t="n"/>
      <c r="R297" s="7">
        <f>IF($C297="","",Q297*AC297/100)</f>
        <v/>
      </c>
      <c r="S297" s="11" t="n"/>
      <c r="U297" s="11" t="n"/>
      <c r="AA297" s="7" t="n"/>
      <c r="AC297" s="7" t="n"/>
      <c r="AE297">
        <f>IF($C297="","",IF($AK297=1,Settings!$C$6,Settings!$C$7)*1)</f>
        <v/>
      </c>
      <c r="AF297" s="7">
        <f>IF($C297="","",AE297*AC297)</f>
        <v/>
      </c>
      <c r="AG297" s="7">
        <f>IF($C297="","",AC297-AF297)</f>
        <v/>
      </c>
      <c r="AH297" s="7">
        <f>IF($C297="","",AG297-R297)</f>
        <v/>
      </c>
      <c r="AI297">
        <f>IF($C297="","",IF(COUNTIF($C$2:$C297,$C297)=1,1,0))</f>
        <v/>
      </c>
      <c r="AJ297">
        <f>IF($AI297=1,SUMPRODUCT(--($AL$2:$AL$1501&lt;$AL297))+1,"")</f>
        <v/>
      </c>
      <c r="AK297">
        <f>IF($C297="","",IF(OR($AD297=TRUE(),$AD297="TRUE"),0,1))</f>
        <v/>
      </c>
      <c r="AL297">
        <f>IF($AI297=1,IFERROR(IF(VALUE($C297)&lt;100000000,VALUE($C297),1000000000),IFERROR(IF(VALUE(MID($C297,2,20))&lt;100000000,VALUE(MID($C297,2,20)),1000000000),1000000000))+ROW()/100000,"")</f>
        <v/>
      </c>
    </row>
    <row r="298">
      <c r="J298" s="7" t="n"/>
      <c r="K298" s="7" t="n"/>
      <c r="R298" s="7">
        <f>IF($C298="","",Q298*AC298/100)</f>
        <v/>
      </c>
      <c r="S298" s="11" t="n"/>
      <c r="U298" s="11" t="n"/>
      <c r="AA298" s="7" t="n"/>
      <c r="AC298" s="7" t="n"/>
      <c r="AE298">
        <f>IF($C298="","",IF($AK298=1,Settings!$C$6,Settings!$C$7)*1)</f>
        <v/>
      </c>
      <c r="AF298" s="7">
        <f>IF($C298="","",AE298*AC298)</f>
        <v/>
      </c>
      <c r="AG298" s="7">
        <f>IF($C298="","",AC298-AF298)</f>
        <v/>
      </c>
      <c r="AH298" s="7">
        <f>IF($C298="","",AG298-R298)</f>
        <v/>
      </c>
      <c r="AI298">
        <f>IF($C298="","",IF(COUNTIF($C$2:$C298,$C298)=1,1,0))</f>
        <v/>
      </c>
      <c r="AJ298">
        <f>IF($AI298=1,SUMPRODUCT(--($AL$2:$AL$1501&lt;$AL298))+1,"")</f>
        <v/>
      </c>
      <c r="AK298">
        <f>IF($C298="","",IF(OR($AD298=TRUE(),$AD298="TRUE"),0,1))</f>
        <v/>
      </c>
      <c r="AL298">
        <f>IF($AI298=1,IFERROR(IF(VALUE($C298)&lt;100000000,VALUE($C298),1000000000),IFERROR(IF(VALUE(MID($C298,2,20))&lt;100000000,VALUE(MID($C298,2,20)),1000000000),1000000000))+ROW()/100000,"")</f>
        <v/>
      </c>
    </row>
    <row r="299">
      <c r="J299" s="7" t="n"/>
      <c r="K299" s="7" t="n"/>
      <c r="R299" s="7">
        <f>IF($C299="","",Q299*AC299/100)</f>
        <v/>
      </c>
      <c r="S299" s="11" t="n"/>
      <c r="U299" s="11" t="n"/>
      <c r="AA299" s="7" t="n"/>
      <c r="AC299" s="7" t="n"/>
      <c r="AE299">
        <f>IF($C299="","",IF($AK299=1,Settings!$C$6,Settings!$C$7)*1)</f>
        <v/>
      </c>
      <c r="AF299" s="7">
        <f>IF($C299="","",AE299*AC299)</f>
        <v/>
      </c>
      <c r="AG299" s="7">
        <f>IF($C299="","",AC299-AF299)</f>
        <v/>
      </c>
      <c r="AH299" s="7">
        <f>IF($C299="","",AG299-R299)</f>
        <v/>
      </c>
      <c r="AI299">
        <f>IF($C299="","",IF(COUNTIF($C$2:$C299,$C299)=1,1,0))</f>
        <v/>
      </c>
      <c r="AJ299">
        <f>IF($AI299=1,SUMPRODUCT(--($AL$2:$AL$1501&lt;$AL299))+1,"")</f>
        <v/>
      </c>
      <c r="AK299">
        <f>IF($C299="","",IF(OR($AD299=TRUE(),$AD299="TRUE"),0,1))</f>
        <v/>
      </c>
      <c r="AL299">
        <f>IF($AI299=1,IFERROR(IF(VALUE($C299)&lt;100000000,VALUE($C299),1000000000),IFERROR(IF(VALUE(MID($C299,2,20))&lt;100000000,VALUE(MID($C299,2,20)),1000000000),1000000000))+ROW()/100000,"")</f>
        <v/>
      </c>
    </row>
    <row r="300">
      <c r="J300" s="7" t="n"/>
      <c r="K300" s="7" t="n"/>
      <c r="R300" s="7">
        <f>IF($C300="","",Q300*AC300/100)</f>
        <v/>
      </c>
      <c r="S300" s="11" t="n"/>
      <c r="U300" s="11" t="n"/>
      <c r="AA300" s="7" t="n"/>
      <c r="AC300" s="7" t="n"/>
      <c r="AE300">
        <f>IF($C300="","",IF($AK300=1,Settings!$C$6,Settings!$C$7)*1)</f>
        <v/>
      </c>
      <c r="AF300" s="7">
        <f>IF($C300="","",AE300*AC300)</f>
        <v/>
      </c>
      <c r="AG300" s="7">
        <f>IF($C300="","",AC300-AF300)</f>
        <v/>
      </c>
      <c r="AH300" s="7">
        <f>IF($C300="","",AG300-R300)</f>
        <v/>
      </c>
      <c r="AI300">
        <f>IF($C300="","",IF(COUNTIF($C$2:$C300,$C300)=1,1,0))</f>
        <v/>
      </c>
      <c r="AJ300">
        <f>IF($AI300=1,SUMPRODUCT(--($AL$2:$AL$1501&lt;$AL300))+1,"")</f>
        <v/>
      </c>
      <c r="AK300">
        <f>IF($C300="","",IF(OR($AD300=TRUE(),$AD300="TRUE"),0,1))</f>
        <v/>
      </c>
      <c r="AL300">
        <f>IF($AI300=1,IFERROR(IF(VALUE($C300)&lt;100000000,VALUE($C300),1000000000),IFERROR(IF(VALUE(MID($C300,2,20))&lt;100000000,VALUE(MID($C300,2,20)),1000000000),1000000000))+ROW()/100000,"")</f>
        <v/>
      </c>
    </row>
    <row r="301">
      <c r="J301" s="7" t="n"/>
      <c r="K301" s="7" t="n"/>
      <c r="R301" s="7">
        <f>IF($C301="","",Q301*AC301/100)</f>
        <v/>
      </c>
      <c r="S301" s="11" t="n"/>
      <c r="U301" s="11" t="n"/>
      <c r="AA301" s="7" t="n"/>
      <c r="AC301" s="7" t="n"/>
      <c r="AE301">
        <f>IF($C301="","",IF($AK301=1,Settings!$C$6,Settings!$C$7)*1)</f>
        <v/>
      </c>
      <c r="AF301" s="7">
        <f>IF($C301="","",AE301*AC301)</f>
        <v/>
      </c>
      <c r="AG301" s="7">
        <f>IF($C301="","",AC301-AF301)</f>
        <v/>
      </c>
      <c r="AH301" s="7">
        <f>IF($C301="","",AG301-R301)</f>
        <v/>
      </c>
      <c r="AI301">
        <f>IF($C301="","",IF(COUNTIF($C$2:$C301,$C301)=1,1,0))</f>
        <v/>
      </c>
      <c r="AJ301">
        <f>IF($AI301=1,SUMPRODUCT(--($AL$2:$AL$1501&lt;$AL301))+1,"")</f>
        <v/>
      </c>
      <c r="AK301">
        <f>IF($C301="","",IF(OR($AD301=TRUE(),$AD301="TRUE"),0,1))</f>
        <v/>
      </c>
      <c r="AL301">
        <f>IF($AI301=1,IFERROR(IF(VALUE($C301)&lt;100000000,VALUE($C301),1000000000),IFERROR(IF(VALUE(MID($C301,2,20))&lt;100000000,VALUE(MID($C301,2,20)),1000000000),1000000000))+ROW()/100000,"")</f>
        <v/>
      </c>
    </row>
    <row r="302">
      <c r="J302" s="7" t="n"/>
      <c r="K302" s="7" t="n"/>
      <c r="R302" s="7">
        <f>IF($C302="","",Q302*AC302/100)</f>
        <v/>
      </c>
      <c r="S302" s="11" t="n"/>
      <c r="U302" s="11" t="n"/>
      <c r="AA302" s="7" t="n"/>
      <c r="AC302" s="7" t="n"/>
      <c r="AE302">
        <f>IF($C302="","",IF($AK302=1,Settings!$C$6,Settings!$C$7)*1)</f>
        <v/>
      </c>
      <c r="AF302" s="7">
        <f>IF($C302="","",AE302*AC302)</f>
        <v/>
      </c>
      <c r="AG302" s="7">
        <f>IF($C302="","",AC302-AF302)</f>
        <v/>
      </c>
      <c r="AH302" s="7">
        <f>IF($C302="","",AG302-R302)</f>
        <v/>
      </c>
      <c r="AI302">
        <f>IF($C302="","",IF(COUNTIF($C$2:$C302,$C302)=1,1,0))</f>
        <v/>
      </c>
      <c r="AJ302">
        <f>IF($AI302=1,SUMPRODUCT(--($AL$2:$AL$1501&lt;$AL302))+1,"")</f>
        <v/>
      </c>
      <c r="AK302">
        <f>IF($C302="","",IF(OR($AD302=TRUE(),$AD302="TRUE"),0,1))</f>
        <v/>
      </c>
      <c r="AL302">
        <f>IF($AI302=1,IFERROR(IF(VALUE($C302)&lt;100000000,VALUE($C302),1000000000),IFERROR(IF(VALUE(MID($C302,2,20))&lt;100000000,VALUE(MID($C302,2,20)),1000000000),1000000000))+ROW()/100000,"")</f>
        <v/>
      </c>
    </row>
    <row r="303">
      <c r="J303" s="7" t="n"/>
      <c r="K303" s="7" t="n"/>
      <c r="R303" s="7">
        <f>IF($C303="","",Q303*AC303/100)</f>
        <v/>
      </c>
      <c r="S303" s="11" t="n"/>
      <c r="U303" s="11" t="n"/>
      <c r="AA303" s="7" t="n"/>
      <c r="AC303" s="7" t="n"/>
      <c r="AE303">
        <f>IF($C303="","",IF($AK303=1,Settings!$C$6,Settings!$C$7)*1)</f>
        <v/>
      </c>
      <c r="AF303" s="7">
        <f>IF($C303="","",AE303*AC303)</f>
        <v/>
      </c>
      <c r="AG303" s="7">
        <f>IF($C303="","",AC303-AF303)</f>
        <v/>
      </c>
      <c r="AH303" s="7">
        <f>IF($C303="","",AG303-R303)</f>
        <v/>
      </c>
      <c r="AI303">
        <f>IF($C303="","",IF(COUNTIF($C$2:$C303,$C303)=1,1,0))</f>
        <v/>
      </c>
      <c r="AJ303">
        <f>IF($AI303=1,SUMPRODUCT(--($AL$2:$AL$1501&lt;$AL303))+1,"")</f>
        <v/>
      </c>
      <c r="AK303">
        <f>IF($C303="","",IF(OR($AD303=TRUE(),$AD303="TRUE"),0,1))</f>
        <v/>
      </c>
      <c r="AL303">
        <f>IF($AI303=1,IFERROR(IF(VALUE($C303)&lt;100000000,VALUE($C303),1000000000),IFERROR(IF(VALUE(MID($C303,2,20))&lt;100000000,VALUE(MID($C303,2,20)),1000000000),1000000000))+ROW()/100000,"")</f>
        <v/>
      </c>
    </row>
    <row r="304">
      <c r="J304" s="7" t="n"/>
      <c r="K304" s="7" t="n"/>
      <c r="R304" s="7">
        <f>IF($C304="","",Q304*AC304/100)</f>
        <v/>
      </c>
      <c r="S304" s="11" t="n"/>
      <c r="U304" s="11" t="n"/>
      <c r="AA304" s="7" t="n"/>
      <c r="AC304" s="7" t="n"/>
      <c r="AE304">
        <f>IF($C304="","",IF($AK304=1,Settings!$C$6,Settings!$C$7)*1)</f>
        <v/>
      </c>
      <c r="AF304" s="7">
        <f>IF($C304="","",AE304*AC304)</f>
        <v/>
      </c>
      <c r="AG304" s="7">
        <f>IF($C304="","",AC304-AF304)</f>
        <v/>
      </c>
      <c r="AH304" s="7">
        <f>IF($C304="","",AG304-R304)</f>
        <v/>
      </c>
      <c r="AI304">
        <f>IF($C304="","",IF(COUNTIF($C$2:$C304,$C304)=1,1,0))</f>
        <v/>
      </c>
      <c r="AJ304">
        <f>IF($AI304=1,SUMPRODUCT(--($AL$2:$AL$1501&lt;$AL304))+1,"")</f>
        <v/>
      </c>
      <c r="AK304">
        <f>IF($C304="","",IF(OR($AD304=TRUE(),$AD304="TRUE"),0,1))</f>
        <v/>
      </c>
      <c r="AL304">
        <f>IF($AI304=1,IFERROR(IF(VALUE($C304)&lt;100000000,VALUE($C304),1000000000),IFERROR(IF(VALUE(MID($C304,2,20))&lt;100000000,VALUE(MID($C304,2,20)),1000000000),1000000000))+ROW()/100000,"")</f>
        <v/>
      </c>
    </row>
    <row r="305">
      <c r="J305" s="7" t="n"/>
      <c r="K305" s="7" t="n"/>
      <c r="R305" s="7">
        <f>IF($C305="","",Q305*AC305/100)</f>
        <v/>
      </c>
      <c r="S305" s="11" t="n"/>
      <c r="U305" s="11" t="n"/>
      <c r="AA305" s="7" t="n"/>
      <c r="AC305" s="7" t="n"/>
      <c r="AE305">
        <f>IF($C305="","",IF($AK305=1,Settings!$C$6,Settings!$C$7)*1)</f>
        <v/>
      </c>
      <c r="AF305" s="7">
        <f>IF($C305="","",AE305*AC305)</f>
        <v/>
      </c>
      <c r="AG305" s="7">
        <f>IF($C305="","",AC305-AF305)</f>
        <v/>
      </c>
      <c r="AH305" s="7">
        <f>IF($C305="","",AG305-R305)</f>
        <v/>
      </c>
      <c r="AI305">
        <f>IF($C305="","",IF(COUNTIF($C$2:$C305,$C305)=1,1,0))</f>
        <v/>
      </c>
      <c r="AJ305">
        <f>IF($AI305=1,SUMPRODUCT(--($AL$2:$AL$1501&lt;$AL305))+1,"")</f>
        <v/>
      </c>
      <c r="AK305">
        <f>IF($C305="","",IF(OR($AD305=TRUE(),$AD305="TRUE"),0,1))</f>
        <v/>
      </c>
      <c r="AL305">
        <f>IF($AI305=1,IFERROR(IF(VALUE($C305)&lt;100000000,VALUE($C305),1000000000),IFERROR(IF(VALUE(MID($C305,2,20))&lt;100000000,VALUE(MID($C305,2,20)),1000000000),1000000000))+ROW()/100000,"")</f>
        <v/>
      </c>
    </row>
    <row r="306">
      <c r="J306" s="7" t="n"/>
      <c r="K306" s="7" t="n"/>
      <c r="R306" s="7">
        <f>IF($C306="","",Q306*AC306/100)</f>
        <v/>
      </c>
      <c r="S306" s="11" t="n"/>
      <c r="U306" s="11" t="n"/>
      <c r="AA306" s="7" t="n"/>
      <c r="AC306" s="7" t="n"/>
      <c r="AE306">
        <f>IF($C306="","",IF($AK306=1,Settings!$C$6,Settings!$C$7)*1)</f>
        <v/>
      </c>
      <c r="AF306" s="7">
        <f>IF($C306="","",AE306*AC306)</f>
        <v/>
      </c>
      <c r="AG306" s="7">
        <f>IF($C306="","",AC306-AF306)</f>
        <v/>
      </c>
      <c r="AH306" s="7">
        <f>IF($C306="","",AG306-R306)</f>
        <v/>
      </c>
      <c r="AI306">
        <f>IF($C306="","",IF(COUNTIF($C$2:$C306,$C306)=1,1,0))</f>
        <v/>
      </c>
      <c r="AJ306">
        <f>IF($AI306=1,SUMPRODUCT(--($AL$2:$AL$1501&lt;$AL306))+1,"")</f>
        <v/>
      </c>
      <c r="AK306">
        <f>IF($C306="","",IF(OR($AD306=TRUE(),$AD306="TRUE"),0,1))</f>
        <v/>
      </c>
      <c r="AL306">
        <f>IF($AI306=1,IFERROR(IF(VALUE($C306)&lt;100000000,VALUE($C306),1000000000),IFERROR(IF(VALUE(MID($C306,2,20))&lt;100000000,VALUE(MID($C306,2,20)),1000000000),1000000000))+ROW()/100000,"")</f>
        <v/>
      </c>
    </row>
    <row r="307">
      <c r="J307" s="7" t="n"/>
      <c r="K307" s="7" t="n"/>
      <c r="R307" s="7">
        <f>IF($C307="","",Q307*AC307/100)</f>
        <v/>
      </c>
      <c r="S307" s="11" t="n"/>
      <c r="U307" s="11" t="n"/>
      <c r="AA307" s="7" t="n"/>
      <c r="AC307" s="7" t="n"/>
      <c r="AE307">
        <f>IF($C307="","",IF($AK307=1,Settings!$C$6,Settings!$C$7)*1)</f>
        <v/>
      </c>
      <c r="AF307" s="7">
        <f>IF($C307="","",AE307*AC307)</f>
        <v/>
      </c>
      <c r="AG307" s="7">
        <f>IF($C307="","",AC307-AF307)</f>
        <v/>
      </c>
      <c r="AH307" s="7">
        <f>IF($C307="","",AG307-R307)</f>
        <v/>
      </c>
      <c r="AI307">
        <f>IF($C307="","",IF(COUNTIF($C$2:$C307,$C307)=1,1,0))</f>
        <v/>
      </c>
      <c r="AJ307">
        <f>IF($AI307=1,SUMPRODUCT(--($AL$2:$AL$1501&lt;$AL307))+1,"")</f>
        <v/>
      </c>
      <c r="AK307">
        <f>IF($C307="","",IF(OR($AD307=TRUE(),$AD307="TRUE"),0,1))</f>
        <v/>
      </c>
      <c r="AL307">
        <f>IF($AI307=1,IFERROR(IF(VALUE($C307)&lt;100000000,VALUE($C307),1000000000),IFERROR(IF(VALUE(MID($C307,2,20))&lt;100000000,VALUE(MID($C307,2,20)),1000000000),1000000000))+ROW()/100000,"")</f>
        <v/>
      </c>
    </row>
    <row r="308">
      <c r="J308" s="7" t="n"/>
      <c r="K308" s="7" t="n"/>
      <c r="R308" s="7">
        <f>IF($C308="","",Q308*AC308/100)</f>
        <v/>
      </c>
      <c r="S308" s="11" t="n"/>
      <c r="U308" s="11" t="n"/>
      <c r="AA308" s="7" t="n"/>
      <c r="AC308" s="7" t="n"/>
      <c r="AE308">
        <f>IF($C308="","",IF($AK308=1,Settings!$C$6,Settings!$C$7)*1)</f>
        <v/>
      </c>
      <c r="AF308" s="7">
        <f>IF($C308="","",AE308*AC308)</f>
        <v/>
      </c>
      <c r="AG308" s="7">
        <f>IF($C308="","",AC308-AF308)</f>
        <v/>
      </c>
      <c r="AH308" s="7">
        <f>IF($C308="","",AG308-R308)</f>
        <v/>
      </c>
      <c r="AI308">
        <f>IF($C308="","",IF(COUNTIF($C$2:$C308,$C308)=1,1,0))</f>
        <v/>
      </c>
      <c r="AJ308">
        <f>IF($AI308=1,SUMPRODUCT(--($AL$2:$AL$1501&lt;$AL308))+1,"")</f>
        <v/>
      </c>
      <c r="AK308">
        <f>IF($C308="","",IF(OR($AD308=TRUE(),$AD308="TRUE"),0,1))</f>
        <v/>
      </c>
      <c r="AL308">
        <f>IF($AI308=1,IFERROR(IF(VALUE($C308)&lt;100000000,VALUE($C308),1000000000),IFERROR(IF(VALUE(MID($C308,2,20))&lt;100000000,VALUE(MID($C308,2,20)),1000000000),1000000000))+ROW()/100000,"")</f>
        <v/>
      </c>
    </row>
    <row r="309">
      <c r="J309" s="7" t="n"/>
      <c r="K309" s="7" t="n"/>
      <c r="R309" s="7">
        <f>IF($C309="","",Q309*AC309/100)</f>
        <v/>
      </c>
      <c r="S309" s="11" t="n"/>
      <c r="U309" s="11" t="n"/>
      <c r="AA309" s="7" t="n"/>
      <c r="AC309" s="7" t="n"/>
      <c r="AE309">
        <f>IF($C309="","",IF($AK309=1,Settings!$C$6,Settings!$C$7)*1)</f>
        <v/>
      </c>
      <c r="AF309" s="7">
        <f>IF($C309="","",AE309*AC309)</f>
        <v/>
      </c>
      <c r="AG309" s="7">
        <f>IF($C309="","",AC309-AF309)</f>
        <v/>
      </c>
      <c r="AH309" s="7">
        <f>IF($C309="","",AG309-R309)</f>
        <v/>
      </c>
      <c r="AI309">
        <f>IF($C309="","",IF(COUNTIF($C$2:$C309,$C309)=1,1,0))</f>
        <v/>
      </c>
      <c r="AJ309">
        <f>IF($AI309=1,SUMPRODUCT(--($AL$2:$AL$1501&lt;$AL309))+1,"")</f>
        <v/>
      </c>
      <c r="AK309">
        <f>IF($C309="","",IF(OR($AD309=TRUE(),$AD309="TRUE"),0,1))</f>
        <v/>
      </c>
      <c r="AL309">
        <f>IF($AI309=1,IFERROR(IF(VALUE($C309)&lt;100000000,VALUE($C309),1000000000),IFERROR(IF(VALUE(MID($C309,2,20))&lt;100000000,VALUE(MID($C309,2,20)),1000000000),1000000000))+ROW()/100000,"")</f>
        <v/>
      </c>
    </row>
    <row r="310">
      <c r="J310" s="7" t="n"/>
      <c r="K310" s="7" t="n"/>
      <c r="R310" s="7">
        <f>IF($C310="","",Q310*AC310/100)</f>
        <v/>
      </c>
      <c r="S310" s="11" t="n"/>
      <c r="U310" s="11" t="n"/>
      <c r="AA310" s="7" t="n"/>
      <c r="AC310" s="7" t="n"/>
      <c r="AE310">
        <f>IF($C310="","",IF($AK310=1,Settings!$C$6,Settings!$C$7)*1)</f>
        <v/>
      </c>
      <c r="AF310" s="7">
        <f>IF($C310="","",AE310*AC310)</f>
        <v/>
      </c>
      <c r="AG310" s="7">
        <f>IF($C310="","",AC310-AF310)</f>
        <v/>
      </c>
      <c r="AH310" s="7">
        <f>IF($C310="","",AG310-R310)</f>
        <v/>
      </c>
      <c r="AI310">
        <f>IF($C310="","",IF(COUNTIF($C$2:$C310,$C310)=1,1,0))</f>
        <v/>
      </c>
      <c r="AJ310">
        <f>IF($AI310=1,SUMPRODUCT(--($AL$2:$AL$1501&lt;$AL310))+1,"")</f>
        <v/>
      </c>
      <c r="AK310">
        <f>IF($C310="","",IF(OR($AD310=TRUE(),$AD310="TRUE"),0,1))</f>
        <v/>
      </c>
      <c r="AL310">
        <f>IF($AI310=1,IFERROR(IF(VALUE($C310)&lt;100000000,VALUE($C310),1000000000),IFERROR(IF(VALUE(MID($C310,2,20))&lt;100000000,VALUE(MID($C310,2,20)),1000000000),1000000000))+ROW()/100000,"")</f>
        <v/>
      </c>
    </row>
    <row r="311">
      <c r="J311" s="7" t="n"/>
      <c r="K311" s="7" t="n"/>
      <c r="R311" s="7">
        <f>IF($C311="","",Q311*AC311/100)</f>
        <v/>
      </c>
      <c r="S311" s="11" t="n"/>
      <c r="U311" s="11" t="n"/>
      <c r="AA311" s="7" t="n"/>
      <c r="AC311" s="7" t="n"/>
      <c r="AE311">
        <f>IF($C311="","",IF($AK311=1,Settings!$C$6,Settings!$C$7)*1)</f>
        <v/>
      </c>
      <c r="AF311" s="7">
        <f>IF($C311="","",AE311*AC311)</f>
        <v/>
      </c>
      <c r="AG311" s="7">
        <f>IF($C311="","",AC311-AF311)</f>
        <v/>
      </c>
      <c r="AH311" s="7">
        <f>IF($C311="","",AG311-R311)</f>
        <v/>
      </c>
      <c r="AI311">
        <f>IF($C311="","",IF(COUNTIF($C$2:$C311,$C311)=1,1,0))</f>
        <v/>
      </c>
      <c r="AJ311">
        <f>IF($AI311=1,SUMPRODUCT(--($AL$2:$AL$1501&lt;$AL311))+1,"")</f>
        <v/>
      </c>
      <c r="AK311">
        <f>IF($C311="","",IF(OR($AD311=TRUE(),$AD311="TRUE"),0,1))</f>
        <v/>
      </c>
      <c r="AL311">
        <f>IF($AI311=1,IFERROR(IF(VALUE($C311)&lt;100000000,VALUE($C311),1000000000),IFERROR(IF(VALUE(MID($C311,2,20))&lt;100000000,VALUE(MID($C311,2,20)),1000000000),1000000000))+ROW()/100000,"")</f>
        <v/>
      </c>
    </row>
    <row r="312">
      <c r="J312" s="7" t="n"/>
      <c r="K312" s="7" t="n"/>
      <c r="R312" s="7">
        <f>IF($C312="","",Q312*AC312/100)</f>
        <v/>
      </c>
      <c r="S312" s="11" t="n"/>
      <c r="U312" s="11" t="n"/>
      <c r="AA312" s="7" t="n"/>
      <c r="AC312" s="7" t="n"/>
      <c r="AE312">
        <f>IF($C312="","",IF($AK312=1,Settings!$C$6,Settings!$C$7)*1)</f>
        <v/>
      </c>
      <c r="AF312" s="7">
        <f>IF($C312="","",AE312*AC312)</f>
        <v/>
      </c>
      <c r="AG312" s="7">
        <f>IF($C312="","",AC312-AF312)</f>
        <v/>
      </c>
      <c r="AH312" s="7">
        <f>IF($C312="","",AG312-R312)</f>
        <v/>
      </c>
      <c r="AI312">
        <f>IF($C312="","",IF(COUNTIF($C$2:$C312,$C312)=1,1,0))</f>
        <v/>
      </c>
      <c r="AJ312">
        <f>IF($AI312=1,SUMPRODUCT(--($AL$2:$AL$1501&lt;$AL312))+1,"")</f>
        <v/>
      </c>
      <c r="AK312">
        <f>IF($C312="","",IF(OR($AD312=TRUE(),$AD312="TRUE"),0,1))</f>
        <v/>
      </c>
      <c r="AL312">
        <f>IF($AI312=1,IFERROR(IF(VALUE($C312)&lt;100000000,VALUE($C312),1000000000),IFERROR(IF(VALUE(MID($C312,2,20))&lt;100000000,VALUE(MID($C312,2,20)),1000000000),1000000000))+ROW()/100000,"")</f>
        <v/>
      </c>
    </row>
    <row r="313">
      <c r="J313" s="7" t="n"/>
      <c r="K313" s="7" t="n"/>
      <c r="R313" s="7">
        <f>IF($C313="","",Q313*AC313/100)</f>
        <v/>
      </c>
      <c r="S313" s="11" t="n"/>
      <c r="U313" s="11" t="n"/>
      <c r="AA313" s="7" t="n"/>
      <c r="AC313" s="7" t="n"/>
      <c r="AE313">
        <f>IF($C313="","",IF($AK313=1,Settings!$C$6,Settings!$C$7)*1)</f>
        <v/>
      </c>
      <c r="AF313" s="7">
        <f>IF($C313="","",AE313*AC313)</f>
        <v/>
      </c>
      <c r="AG313" s="7">
        <f>IF($C313="","",AC313-AF313)</f>
        <v/>
      </c>
      <c r="AH313" s="7">
        <f>IF($C313="","",AG313-R313)</f>
        <v/>
      </c>
      <c r="AI313">
        <f>IF($C313="","",IF(COUNTIF($C$2:$C313,$C313)=1,1,0))</f>
        <v/>
      </c>
      <c r="AJ313">
        <f>IF($AI313=1,SUMPRODUCT(--($AL$2:$AL$1501&lt;$AL313))+1,"")</f>
        <v/>
      </c>
      <c r="AK313">
        <f>IF($C313="","",IF(OR($AD313=TRUE(),$AD313="TRUE"),0,1))</f>
        <v/>
      </c>
      <c r="AL313">
        <f>IF($AI313=1,IFERROR(IF(VALUE($C313)&lt;100000000,VALUE($C313),1000000000),IFERROR(IF(VALUE(MID($C313,2,20))&lt;100000000,VALUE(MID($C313,2,20)),1000000000),1000000000))+ROW()/100000,"")</f>
        <v/>
      </c>
    </row>
    <row r="314">
      <c r="J314" s="7" t="n"/>
      <c r="K314" s="7" t="n"/>
      <c r="R314" s="7">
        <f>IF($C314="","",Q314*AC314/100)</f>
        <v/>
      </c>
      <c r="S314" s="11" t="n"/>
      <c r="U314" s="11" t="n"/>
      <c r="AA314" s="7" t="n"/>
      <c r="AC314" s="7" t="n"/>
      <c r="AE314">
        <f>IF($C314="","",IF($AK314=1,Settings!$C$6,Settings!$C$7)*1)</f>
        <v/>
      </c>
      <c r="AF314" s="7">
        <f>IF($C314="","",AE314*AC314)</f>
        <v/>
      </c>
      <c r="AG314" s="7">
        <f>IF($C314="","",AC314-AF314)</f>
        <v/>
      </c>
      <c r="AH314" s="7">
        <f>IF($C314="","",AG314-R314)</f>
        <v/>
      </c>
      <c r="AI314">
        <f>IF($C314="","",IF(COUNTIF($C$2:$C314,$C314)=1,1,0))</f>
        <v/>
      </c>
      <c r="AJ314">
        <f>IF($AI314=1,SUMPRODUCT(--($AL$2:$AL$1501&lt;$AL314))+1,"")</f>
        <v/>
      </c>
      <c r="AK314">
        <f>IF($C314="","",IF(OR($AD314=TRUE(),$AD314="TRUE"),0,1))</f>
        <v/>
      </c>
      <c r="AL314">
        <f>IF($AI314=1,IFERROR(IF(VALUE($C314)&lt;100000000,VALUE($C314),1000000000),IFERROR(IF(VALUE(MID($C314,2,20))&lt;100000000,VALUE(MID($C314,2,20)),1000000000),1000000000))+ROW()/100000,"")</f>
        <v/>
      </c>
    </row>
    <row r="315">
      <c r="J315" s="7" t="n"/>
      <c r="K315" s="7" t="n"/>
      <c r="R315" s="7">
        <f>IF($C315="","",Q315*AC315/100)</f>
        <v/>
      </c>
      <c r="S315" s="11" t="n"/>
      <c r="U315" s="11" t="n"/>
      <c r="AA315" s="7" t="n"/>
      <c r="AC315" s="7" t="n"/>
      <c r="AE315">
        <f>IF($C315="","",IF($AK315=1,Settings!$C$6,Settings!$C$7)*1)</f>
        <v/>
      </c>
      <c r="AF315" s="7">
        <f>IF($C315="","",AE315*AC315)</f>
        <v/>
      </c>
      <c r="AG315" s="7">
        <f>IF($C315="","",AC315-AF315)</f>
        <v/>
      </c>
      <c r="AH315" s="7">
        <f>IF($C315="","",AG315-R315)</f>
        <v/>
      </c>
      <c r="AI315">
        <f>IF($C315="","",IF(COUNTIF($C$2:$C315,$C315)=1,1,0))</f>
        <v/>
      </c>
      <c r="AJ315">
        <f>IF($AI315=1,SUMPRODUCT(--($AL$2:$AL$1501&lt;$AL315))+1,"")</f>
        <v/>
      </c>
      <c r="AK315">
        <f>IF($C315="","",IF(OR($AD315=TRUE(),$AD315="TRUE"),0,1))</f>
        <v/>
      </c>
      <c r="AL315">
        <f>IF($AI315=1,IFERROR(IF(VALUE($C315)&lt;100000000,VALUE($C315),1000000000),IFERROR(IF(VALUE(MID($C315,2,20))&lt;100000000,VALUE(MID($C315,2,20)),1000000000),1000000000))+ROW()/100000,"")</f>
        <v/>
      </c>
    </row>
    <row r="316">
      <c r="J316" s="7" t="n"/>
      <c r="K316" s="7" t="n"/>
      <c r="R316" s="7">
        <f>IF($C316="","",Q316*AC316/100)</f>
        <v/>
      </c>
      <c r="S316" s="11" t="n"/>
      <c r="U316" s="11" t="n"/>
      <c r="AA316" s="7" t="n"/>
      <c r="AC316" s="7" t="n"/>
      <c r="AE316">
        <f>IF($C316="","",IF($AK316=1,Settings!$C$6,Settings!$C$7)*1)</f>
        <v/>
      </c>
      <c r="AF316" s="7">
        <f>IF($C316="","",AE316*AC316)</f>
        <v/>
      </c>
      <c r="AG316" s="7">
        <f>IF($C316="","",AC316-AF316)</f>
        <v/>
      </c>
      <c r="AH316" s="7">
        <f>IF($C316="","",AG316-R316)</f>
        <v/>
      </c>
      <c r="AI316">
        <f>IF($C316="","",IF(COUNTIF($C$2:$C316,$C316)=1,1,0))</f>
        <v/>
      </c>
      <c r="AJ316">
        <f>IF($AI316=1,SUMPRODUCT(--($AL$2:$AL$1501&lt;$AL316))+1,"")</f>
        <v/>
      </c>
      <c r="AK316">
        <f>IF($C316="","",IF(OR($AD316=TRUE(),$AD316="TRUE"),0,1))</f>
        <v/>
      </c>
      <c r="AL316">
        <f>IF($AI316=1,IFERROR(IF(VALUE($C316)&lt;100000000,VALUE($C316),1000000000),IFERROR(IF(VALUE(MID($C316,2,20))&lt;100000000,VALUE(MID($C316,2,20)),1000000000),1000000000))+ROW()/100000,"")</f>
        <v/>
      </c>
    </row>
    <row r="317">
      <c r="J317" s="7" t="n"/>
      <c r="K317" s="7" t="n"/>
      <c r="R317" s="7">
        <f>IF($C317="","",Q317*AC317/100)</f>
        <v/>
      </c>
      <c r="S317" s="11" t="n"/>
      <c r="U317" s="11" t="n"/>
      <c r="AA317" s="7" t="n"/>
      <c r="AC317" s="7" t="n"/>
      <c r="AE317">
        <f>IF($C317="","",IF($AK317=1,Settings!$C$6,Settings!$C$7)*1)</f>
        <v/>
      </c>
      <c r="AF317" s="7">
        <f>IF($C317="","",AE317*AC317)</f>
        <v/>
      </c>
      <c r="AG317" s="7">
        <f>IF($C317="","",AC317-AF317)</f>
        <v/>
      </c>
      <c r="AH317" s="7">
        <f>IF($C317="","",AG317-R317)</f>
        <v/>
      </c>
      <c r="AI317">
        <f>IF($C317="","",IF(COUNTIF($C$2:$C317,$C317)=1,1,0))</f>
        <v/>
      </c>
      <c r="AJ317">
        <f>IF($AI317=1,SUMPRODUCT(--($AL$2:$AL$1501&lt;$AL317))+1,"")</f>
        <v/>
      </c>
      <c r="AK317">
        <f>IF($C317="","",IF(OR($AD317=TRUE(),$AD317="TRUE"),0,1))</f>
        <v/>
      </c>
      <c r="AL317">
        <f>IF($AI317=1,IFERROR(IF(VALUE($C317)&lt;100000000,VALUE($C317),1000000000),IFERROR(IF(VALUE(MID($C317,2,20))&lt;100000000,VALUE(MID($C317,2,20)),1000000000),1000000000))+ROW()/100000,"")</f>
        <v/>
      </c>
    </row>
    <row r="318">
      <c r="J318" s="7" t="n"/>
      <c r="K318" s="7" t="n"/>
      <c r="R318" s="7">
        <f>IF($C318="","",Q318*AC318/100)</f>
        <v/>
      </c>
      <c r="S318" s="11" t="n"/>
      <c r="U318" s="11" t="n"/>
      <c r="AA318" s="7" t="n"/>
      <c r="AC318" s="7" t="n"/>
      <c r="AE318">
        <f>IF($C318="","",IF($AK318=1,Settings!$C$6,Settings!$C$7)*1)</f>
        <v/>
      </c>
      <c r="AF318" s="7">
        <f>IF($C318="","",AE318*AC318)</f>
        <v/>
      </c>
      <c r="AG318" s="7">
        <f>IF($C318="","",AC318-AF318)</f>
        <v/>
      </c>
      <c r="AH318" s="7">
        <f>IF($C318="","",AG318-R318)</f>
        <v/>
      </c>
      <c r="AI318">
        <f>IF($C318="","",IF(COUNTIF($C$2:$C318,$C318)=1,1,0))</f>
        <v/>
      </c>
      <c r="AJ318">
        <f>IF($AI318=1,SUMPRODUCT(--($AL$2:$AL$1501&lt;$AL318))+1,"")</f>
        <v/>
      </c>
      <c r="AK318">
        <f>IF($C318="","",IF(OR($AD318=TRUE(),$AD318="TRUE"),0,1))</f>
        <v/>
      </c>
      <c r="AL318">
        <f>IF($AI318=1,IFERROR(IF(VALUE($C318)&lt;100000000,VALUE($C318),1000000000),IFERROR(IF(VALUE(MID($C318,2,20))&lt;100000000,VALUE(MID($C318,2,20)),1000000000),1000000000))+ROW()/100000,"")</f>
        <v/>
      </c>
    </row>
    <row r="319">
      <c r="J319" s="7" t="n"/>
      <c r="K319" s="7" t="n"/>
      <c r="R319" s="7">
        <f>IF($C319="","",Q319*AC319/100)</f>
        <v/>
      </c>
      <c r="S319" s="11" t="n"/>
      <c r="U319" s="11" t="n"/>
      <c r="AA319" s="7" t="n"/>
      <c r="AC319" s="7" t="n"/>
      <c r="AE319">
        <f>IF($C319="","",IF($AK319=1,Settings!$C$6,Settings!$C$7)*1)</f>
        <v/>
      </c>
      <c r="AF319" s="7">
        <f>IF($C319="","",AE319*AC319)</f>
        <v/>
      </c>
      <c r="AG319" s="7">
        <f>IF($C319="","",AC319-AF319)</f>
        <v/>
      </c>
      <c r="AH319" s="7">
        <f>IF($C319="","",AG319-R319)</f>
        <v/>
      </c>
      <c r="AI319">
        <f>IF($C319="","",IF(COUNTIF($C$2:$C319,$C319)=1,1,0))</f>
        <v/>
      </c>
      <c r="AJ319">
        <f>IF($AI319=1,SUMPRODUCT(--($AL$2:$AL$1501&lt;$AL319))+1,"")</f>
        <v/>
      </c>
      <c r="AK319">
        <f>IF($C319="","",IF(OR($AD319=TRUE(),$AD319="TRUE"),0,1))</f>
        <v/>
      </c>
      <c r="AL319">
        <f>IF($AI319=1,IFERROR(IF(VALUE($C319)&lt;100000000,VALUE($C319),1000000000),IFERROR(IF(VALUE(MID($C319,2,20))&lt;100000000,VALUE(MID($C319,2,20)),1000000000),1000000000))+ROW()/100000,"")</f>
        <v/>
      </c>
    </row>
    <row r="320">
      <c r="J320" s="7" t="n"/>
      <c r="K320" s="7" t="n"/>
      <c r="R320" s="7">
        <f>IF($C320="","",Q320*AC320/100)</f>
        <v/>
      </c>
      <c r="S320" s="11" t="n"/>
      <c r="U320" s="11" t="n"/>
      <c r="AA320" s="7" t="n"/>
      <c r="AC320" s="7" t="n"/>
      <c r="AE320">
        <f>IF($C320="","",IF($AK320=1,Settings!$C$6,Settings!$C$7)*1)</f>
        <v/>
      </c>
      <c r="AF320" s="7">
        <f>IF($C320="","",AE320*AC320)</f>
        <v/>
      </c>
      <c r="AG320" s="7">
        <f>IF($C320="","",AC320-AF320)</f>
        <v/>
      </c>
      <c r="AH320" s="7">
        <f>IF($C320="","",AG320-R320)</f>
        <v/>
      </c>
      <c r="AI320">
        <f>IF($C320="","",IF(COUNTIF($C$2:$C320,$C320)=1,1,0))</f>
        <v/>
      </c>
      <c r="AJ320">
        <f>IF($AI320=1,SUMPRODUCT(--($AL$2:$AL$1501&lt;$AL320))+1,"")</f>
        <v/>
      </c>
      <c r="AK320">
        <f>IF($C320="","",IF(OR($AD320=TRUE(),$AD320="TRUE"),0,1))</f>
        <v/>
      </c>
      <c r="AL320">
        <f>IF($AI320=1,IFERROR(IF(VALUE($C320)&lt;100000000,VALUE($C320),1000000000),IFERROR(IF(VALUE(MID($C320,2,20))&lt;100000000,VALUE(MID($C320,2,20)),1000000000),1000000000))+ROW()/100000,"")</f>
        <v/>
      </c>
    </row>
    <row r="321">
      <c r="J321" s="7" t="n"/>
      <c r="K321" s="7" t="n"/>
      <c r="R321" s="7">
        <f>IF($C321="","",Q321*AC321/100)</f>
        <v/>
      </c>
      <c r="S321" s="11" t="n"/>
      <c r="U321" s="11" t="n"/>
      <c r="AA321" s="7" t="n"/>
      <c r="AC321" s="7" t="n"/>
      <c r="AE321">
        <f>IF($C321="","",IF($AK321=1,Settings!$C$6,Settings!$C$7)*1)</f>
        <v/>
      </c>
      <c r="AF321" s="7">
        <f>IF($C321="","",AE321*AC321)</f>
        <v/>
      </c>
      <c r="AG321" s="7">
        <f>IF($C321="","",AC321-AF321)</f>
        <v/>
      </c>
      <c r="AH321" s="7">
        <f>IF($C321="","",AG321-R321)</f>
        <v/>
      </c>
      <c r="AI321">
        <f>IF($C321="","",IF(COUNTIF($C$2:$C321,$C321)=1,1,0))</f>
        <v/>
      </c>
      <c r="AJ321">
        <f>IF($AI321=1,SUMPRODUCT(--($AL$2:$AL$1501&lt;$AL321))+1,"")</f>
        <v/>
      </c>
      <c r="AK321">
        <f>IF($C321="","",IF(OR($AD321=TRUE(),$AD321="TRUE"),0,1))</f>
        <v/>
      </c>
      <c r="AL321">
        <f>IF($AI321=1,IFERROR(IF(VALUE($C321)&lt;100000000,VALUE($C321),1000000000),IFERROR(IF(VALUE(MID($C321,2,20))&lt;100000000,VALUE(MID($C321,2,20)),1000000000),1000000000))+ROW()/100000,"")</f>
        <v/>
      </c>
    </row>
    <row r="322">
      <c r="J322" s="7" t="n"/>
      <c r="K322" s="7" t="n"/>
      <c r="R322" s="7">
        <f>IF($C322="","",Q322*AC322/100)</f>
        <v/>
      </c>
      <c r="S322" s="11" t="n"/>
      <c r="U322" s="11" t="n"/>
      <c r="AA322" s="7" t="n"/>
      <c r="AC322" s="7" t="n"/>
      <c r="AE322">
        <f>IF($C322="","",IF($AK322=1,Settings!$C$6,Settings!$C$7)*1)</f>
        <v/>
      </c>
      <c r="AF322" s="7">
        <f>IF($C322="","",AE322*AC322)</f>
        <v/>
      </c>
      <c r="AG322" s="7">
        <f>IF($C322="","",AC322-AF322)</f>
        <v/>
      </c>
      <c r="AH322" s="7">
        <f>IF($C322="","",AG322-R322)</f>
        <v/>
      </c>
      <c r="AI322">
        <f>IF($C322="","",IF(COUNTIF($C$2:$C322,$C322)=1,1,0))</f>
        <v/>
      </c>
      <c r="AJ322">
        <f>IF($AI322=1,SUMPRODUCT(--($AL$2:$AL$1501&lt;$AL322))+1,"")</f>
        <v/>
      </c>
      <c r="AK322">
        <f>IF($C322="","",IF(OR($AD322=TRUE(),$AD322="TRUE"),0,1))</f>
        <v/>
      </c>
      <c r="AL322">
        <f>IF($AI322=1,IFERROR(IF(VALUE($C322)&lt;100000000,VALUE($C322),1000000000),IFERROR(IF(VALUE(MID($C322,2,20))&lt;100000000,VALUE(MID($C322,2,20)),1000000000),1000000000))+ROW()/100000,"")</f>
        <v/>
      </c>
    </row>
    <row r="323">
      <c r="J323" s="7" t="n"/>
      <c r="K323" s="7" t="n"/>
      <c r="R323" s="7">
        <f>IF($C323="","",Q323*AC323/100)</f>
        <v/>
      </c>
      <c r="S323" s="11" t="n"/>
      <c r="U323" s="11" t="n"/>
      <c r="AA323" s="7" t="n"/>
      <c r="AC323" s="7" t="n"/>
      <c r="AE323">
        <f>IF($C323="","",IF($AK323=1,Settings!$C$6,Settings!$C$7)*1)</f>
        <v/>
      </c>
      <c r="AF323" s="7">
        <f>IF($C323="","",AE323*AC323)</f>
        <v/>
      </c>
      <c r="AG323" s="7">
        <f>IF($C323="","",AC323-AF323)</f>
        <v/>
      </c>
      <c r="AH323" s="7">
        <f>IF($C323="","",AG323-R323)</f>
        <v/>
      </c>
      <c r="AI323">
        <f>IF($C323="","",IF(COUNTIF($C$2:$C323,$C323)=1,1,0))</f>
        <v/>
      </c>
      <c r="AJ323">
        <f>IF($AI323=1,SUMPRODUCT(--($AL$2:$AL$1501&lt;$AL323))+1,"")</f>
        <v/>
      </c>
      <c r="AK323">
        <f>IF($C323="","",IF(OR($AD323=TRUE(),$AD323="TRUE"),0,1))</f>
        <v/>
      </c>
      <c r="AL323">
        <f>IF($AI323=1,IFERROR(IF(VALUE($C323)&lt;100000000,VALUE($C323),1000000000),IFERROR(IF(VALUE(MID($C323,2,20))&lt;100000000,VALUE(MID($C323,2,20)),1000000000),1000000000))+ROW()/100000,"")</f>
        <v/>
      </c>
    </row>
    <row r="324">
      <c r="J324" s="7" t="n"/>
      <c r="K324" s="7" t="n"/>
      <c r="R324" s="7">
        <f>IF($C324="","",Q324*AC324/100)</f>
        <v/>
      </c>
      <c r="S324" s="11" t="n"/>
      <c r="U324" s="11" t="n"/>
      <c r="AA324" s="7" t="n"/>
      <c r="AC324" s="7" t="n"/>
      <c r="AE324">
        <f>IF($C324="","",IF($AK324=1,Settings!$C$6,Settings!$C$7)*1)</f>
        <v/>
      </c>
      <c r="AF324" s="7">
        <f>IF($C324="","",AE324*AC324)</f>
        <v/>
      </c>
      <c r="AG324" s="7">
        <f>IF($C324="","",AC324-AF324)</f>
        <v/>
      </c>
      <c r="AH324" s="7">
        <f>IF($C324="","",AG324-R324)</f>
        <v/>
      </c>
      <c r="AI324">
        <f>IF($C324="","",IF(COUNTIF($C$2:$C324,$C324)=1,1,0))</f>
        <v/>
      </c>
      <c r="AJ324">
        <f>IF($AI324=1,SUMPRODUCT(--($AL$2:$AL$1501&lt;$AL324))+1,"")</f>
        <v/>
      </c>
      <c r="AK324">
        <f>IF($C324="","",IF(OR($AD324=TRUE(),$AD324="TRUE"),0,1))</f>
        <v/>
      </c>
      <c r="AL324">
        <f>IF($AI324=1,IFERROR(IF(VALUE($C324)&lt;100000000,VALUE($C324),1000000000),IFERROR(IF(VALUE(MID($C324,2,20))&lt;100000000,VALUE(MID($C324,2,20)),1000000000),1000000000))+ROW()/100000,"")</f>
        <v/>
      </c>
    </row>
    <row r="325">
      <c r="J325" s="7" t="n"/>
      <c r="K325" s="7" t="n"/>
      <c r="R325" s="7">
        <f>IF($C325="","",Q325*AC325/100)</f>
        <v/>
      </c>
      <c r="S325" s="11" t="n"/>
      <c r="U325" s="11" t="n"/>
      <c r="AA325" s="7" t="n"/>
      <c r="AC325" s="7" t="n"/>
      <c r="AE325">
        <f>IF($C325="","",IF($AK325=1,Settings!$C$6,Settings!$C$7)*1)</f>
        <v/>
      </c>
      <c r="AF325" s="7">
        <f>IF($C325="","",AE325*AC325)</f>
        <v/>
      </c>
      <c r="AG325" s="7">
        <f>IF($C325="","",AC325-AF325)</f>
        <v/>
      </c>
      <c r="AH325" s="7">
        <f>IF($C325="","",AG325-R325)</f>
        <v/>
      </c>
      <c r="AI325">
        <f>IF($C325="","",IF(COUNTIF($C$2:$C325,$C325)=1,1,0))</f>
        <v/>
      </c>
      <c r="AJ325">
        <f>IF($AI325=1,SUMPRODUCT(--($AL$2:$AL$1501&lt;$AL325))+1,"")</f>
        <v/>
      </c>
      <c r="AK325">
        <f>IF($C325="","",IF(OR($AD325=TRUE(),$AD325="TRUE"),0,1))</f>
        <v/>
      </c>
      <c r="AL325">
        <f>IF($AI325=1,IFERROR(IF(VALUE($C325)&lt;100000000,VALUE($C325),1000000000),IFERROR(IF(VALUE(MID($C325,2,20))&lt;100000000,VALUE(MID($C325,2,20)),1000000000),1000000000))+ROW()/100000,"")</f>
        <v/>
      </c>
    </row>
    <row r="326">
      <c r="J326" s="7" t="n"/>
      <c r="K326" s="7" t="n"/>
      <c r="R326" s="7">
        <f>IF($C326="","",Q326*AC326/100)</f>
        <v/>
      </c>
      <c r="S326" s="11" t="n"/>
      <c r="U326" s="11" t="n"/>
      <c r="AA326" s="7" t="n"/>
      <c r="AC326" s="7" t="n"/>
      <c r="AE326">
        <f>IF($C326="","",IF($AK326=1,Settings!$C$6,Settings!$C$7)*1)</f>
        <v/>
      </c>
      <c r="AF326" s="7">
        <f>IF($C326="","",AE326*AC326)</f>
        <v/>
      </c>
      <c r="AG326" s="7">
        <f>IF($C326="","",AC326-AF326)</f>
        <v/>
      </c>
      <c r="AH326" s="7">
        <f>IF($C326="","",AG326-R326)</f>
        <v/>
      </c>
      <c r="AI326">
        <f>IF($C326="","",IF(COUNTIF($C$2:$C326,$C326)=1,1,0))</f>
        <v/>
      </c>
      <c r="AJ326">
        <f>IF($AI326=1,SUMPRODUCT(--($AL$2:$AL$1501&lt;$AL326))+1,"")</f>
        <v/>
      </c>
      <c r="AK326">
        <f>IF($C326="","",IF(OR($AD326=TRUE(),$AD326="TRUE"),0,1))</f>
        <v/>
      </c>
      <c r="AL326">
        <f>IF($AI326=1,IFERROR(IF(VALUE($C326)&lt;100000000,VALUE($C326),1000000000),IFERROR(IF(VALUE(MID($C326,2,20))&lt;100000000,VALUE(MID($C326,2,20)),1000000000),1000000000))+ROW()/100000,"")</f>
        <v/>
      </c>
    </row>
    <row r="327">
      <c r="J327" s="7" t="n"/>
      <c r="K327" s="7" t="n"/>
      <c r="R327" s="7">
        <f>IF($C327="","",Q327*AC327/100)</f>
        <v/>
      </c>
      <c r="S327" s="11" t="n"/>
      <c r="U327" s="11" t="n"/>
      <c r="AA327" s="7" t="n"/>
      <c r="AC327" s="7" t="n"/>
      <c r="AE327">
        <f>IF($C327="","",IF($AK327=1,Settings!$C$6,Settings!$C$7)*1)</f>
        <v/>
      </c>
      <c r="AF327" s="7">
        <f>IF($C327="","",AE327*AC327)</f>
        <v/>
      </c>
      <c r="AG327" s="7">
        <f>IF($C327="","",AC327-AF327)</f>
        <v/>
      </c>
      <c r="AH327" s="7">
        <f>IF($C327="","",AG327-R327)</f>
        <v/>
      </c>
      <c r="AI327">
        <f>IF($C327="","",IF(COUNTIF($C$2:$C327,$C327)=1,1,0))</f>
        <v/>
      </c>
      <c r="AJ327">
        <f>IF($AI327=1,SUMPRODUCT(--($AL$2:$AL$1501&lt;$AL327))+1,"")</f>
        <v/>
      </c>
      <c r="AK327">
        <f>IF($C327="","",IF(OR($AD327=TRUE(),$AD327="TRUE"),0,1))</f>
        <v/>
      </c>
      <c r="AL327">
        <f>IF($AI327=1,IFERROR(IF(VALUE($C327)&lt;100000000,VALUE($C327),1000000000),IFERROR(IF(VALUE(MID($C327,2,20))&lt;100000000,VALUE(MID($C327,2,20)),1000000000),1000000000))+ROW()/100000,"")</f>
        <v/>
      </c>
    </row>
    <row r="328">
      <c r="J328" s="7" t="n"/>
      <c r="K328" s="7" t="n"/>
      <c r="R328" s="7">
        <f>IF($C328="","",Q328*AC328/100)</f>
        <v/>
      </c>
      <c r="S328" s="11" t="n"/>
      <c r="U328" s="11" t="n"/>
      <c r="AA328" s="7" t="n"/>
      <c r="AC328" s="7" t="n"/>
      <c r="AE328">
        <f>IF($C328="","",IF($AK328=1,Settings!$C$6,Settings!$C$7)*1)</f>
        <v/>
      </c>
      <c r="AF328" s="7">
        <f>IF($C328="","",AE328*AC328)</f>
        <v/>
      </c>
      <c r="AG328" s="7">
        <f>IF($C328="","",AC328-AF328)</f>
        <v/>
      </c>
      <c r="AH328" s="7">
        <f>IF($C328="","",AG328-R328)</f>
        <v/>
      </c>
      <c r="AI328">
        <f>IF($C328="","",IF(COUNTIF($C$2:$C328,$C328)=1,1,0))</f>
        <v/>
      </c>
      <c r="AJ328">
        <f>IF($AI328=1,SUMPRODUCT(--($AL$2:$AL$1501&lt;$AL328))+1,"")</f>
        <v/>
      </c>
      <c r="AK328">
        <f>IF($C328="","",IF(OR($AD328=TRUE(),$AD328="TRUE"),0,1))</f>
        <v/>
      </c>
      <c r="AL328">
        <f>IF($AI328=1,IFERROR(IF(VALUE($C328)&lt;100000000,VALUE($C328),1000000000),IFERROR(IF(VALUE(MID($C328,2,20))&lt;100000000,VALUE(MID($C328,2,20)),1000000000),1000000000))+ROW()/100000,"")</f>
        <v/>
      </c>
    </row>
    <row r="329">
      <c r="J329" s="7" t="n"/>
      <c r="K329" s="7" t="n"/>
      <c r="R329" s="7">
        <f>IF($C329="","",Q329*AC329/100)</f>
        <v/>
      </c>
      <c r="S329" s="11" t="n"/>
      <c r="U329" s="11" t="n"/>
      <c r="AA329" s="7" t="n"/>
      <c r="AC329" s="7" t="n"/>
      <c r="AE329">
        <f>IF($C329="","",IF($AK329=1,Settings!$C$6,Settings!$C$7)*1)</f>
        <v/>
      </c>
      <c r="AF329" s="7">
        <f>IF($C329="","",AE329*AC329)</f>
        <v/>
      </c>
      <c r="AG329" s="7">
        <f>IF($C329="","",AC329-AF329)</f>
        <v/>
      </c>
      <c r="AH329" s="7">
        <f>IF($C329="","",AG329-R329)</f>
        <v/>
      </c>
      <c r="AI329">
        <f>IF($C329="","",IF(COUNTIF($C$2:$C329,$C329)=1,1,0))</f>
        <v/>
      </c>
      <c r="AJ329">
        <f>IF($AI329=1,SUMPRODUCT(--($AL$2:$AL$1501&lt;$AL329))+1,"")</f>
        <v/>
      </c>
      <c r="AK329">
        <f>IF($C329="","",IF(OR($AD329=TRUE(),$AD329="TRUE"),0,1))</f>
        <v/>
      </c>
      <c r="AL329">
        <f>IF($AI329=1,IFERROR(IF(VALUE($C329)&lt;100000000,VALUE($C329),1000000000),IFERROR(IF(VALUE(MID($C329,2,20))&lt;100000000,VALUE(MID($C329,2,20)),1000000000),1000000000))+ROW()/100000,"")</f>
        <v/>
      </c>
    </row>
    <row r="330">
      <c r="J330" s="7" t="n"/>
      <c r="K330" s="7" t="n"/>
      <c r="R330" s="7">
        <f>IF($C330="","",Q330*AC330/100)</f>
        <v/>
      </c>
      <c r="S330" s="11" t="n"/>
      <c r="U330" s="11" t="n"/>
      <c r="AA330" s="7" t="n"/>
      <c r="AC330" s="7" t="n"/>
      <c r="AE330">
        <f>IF($C330="","",IF($AK330=1,Settings!$C$6,Settings!$C$7)*1)</f>
        <v/>
      </c>
      <c r="AF330" s="7">
        <f>IF($C330="","",AE330*AC330)</f>
        <v/>
      </c>
      <c r="AG330" s="7">
        <f>IF($C330="","",AC330-AF330)</f>
        <v/>
      </c>
      <c r="AH330" s="7">
        <f>IF($C330="","",AG330-R330)</f>
        <v/>
      </c>
      <c r="AI330">
        <f>IF($C330="","",IF(COUNTIF($C$2:$C330,$C330)=1,1,0))</f>
        <v/>
      </c>
      <c r="AJ330">
        <f>IF($AI330=1,SUMPRODUCT(--($AL$2:$AL$1501&lt;$AL330))+1,"")</f>
        <v/>
      </c>
      <c r="AK330">
        <f>IF($C330="","",IF(OR($AD330=TRUE(),$AD330="TRUE"),0,1))</f>
        <v/>
      </c>
      <c r="AL330">
        <f>IF($AI330=1,IFERROR(IF(VALUE($C330)&lt;100000000,VALUE($C330),1000000000),IFERROR(IF(VALUE(MID($C330,2,20))&lt;100000000,VALUE(MID($C330,2,20)),1000000000),1000000000))+ROW()/100000,"")</f>
        <v/>
      </c>
    </row>
    <row r="331">
      <c r="J331" s="7" t="n"/>
      <c r="K331" s="7" t="n"/>
      <c r="R331" s="7">
        <f>IF($C331="","",Q331*AC331/100)</f>
        <v/>
      </c>
      <c r="S331" s="11" t="n"/>
      <c r="U331" s="11" t="n"/>
      <c r="AA331" s="7" t="n"/>
      <c r="AC331" s="7" t="n"/>
      <c r="AE331">
        <f>IF($C331="","",IF($AK331=1,Settings!$C$6,Settings!$C$7)*1)</f>
        <v/>
      </c>
      <c r="AF331" s="7">
        <f>IF($C331="","",AE331*AC331)</f>
        <v/>
      </c>
      <c r="AG331" s="7">
        <f>IF($C331="","",AC331-AF331)</f>
        <v/>
      </c>
      <c r="AH331" s="7">
        <f>IF($C331="","",AG331-R331)</f>
        <v/>
      </c>
      <c r="AI331">
        <f>IF($C331="","",IF(COUNTIF($C$2:$C331,$C331)=1,1,0))</f>
        <v/>
      </c>
      <c r="AJ331">
        <f>IF($AI331=1,SUMPRODUCT(--($AL$2:$AL$1501&lt;$AL331))+1,"")</f>
        <v/>
      </c>
      <c r="AK331">
        <f>IF($C331="","",IF(OR($AD331=TRUE(),$AD331="TRUE"),0,1))</f>
        <v/>
      </c>
      <c r="AL331">
        <f>IF($AI331=1,IFERROR(IF(VALUE($C331)&lt;100000000,VALUE($C331),1000000000),IFERROR(IF(VALUE(MID($C331,2,20))&lt;100000000,VALUE(MID($C331,2,20)),1000000000),1000000000))+ROW()/100000,"")</f>
        <v/>
      </c>
    </row>
    <row r="332">
      <c r="J332" s="7" t="n"/>
      <c r="K332" s="7" t="n"/>
      <c r="R332" s="7">
        <f>IF($C332="","",Q332*AC332/100)</f>
        <v/>
      </c>
      <c r="S332" s="11" t="n"/>
      <c r="U332" s="11" t="n"/>
      <c r="AA332" s="7" t="n"/>
      <c r="AC332" s="7" t="n"/>
      <c r="AE332">
        <f>IF($C332="","",IF($AK332=1,Settings!$C$6,Settings!$C$7)*1)</f>
        <v/>
      </c>
      <c r="AF332" s="7">
        <f>IF($C332="","",AE332*AC332)</f>
        <v/>
      </c>
      <c r="AG332" s="7">
        <f>IF($C332="","",AC332-AF332)</f>
        <v/>
      </c>
      <c r="AH332" s="7">
        <f>IF($C332="","",AG332-R332)</f>
        <v/>
      </c>
      <c r="AI332">
        <f>IF($C332="","",IF(COUNTIF($C$2:$C332,$C332)=1,1,0))</f>
        <v/>
      </c>
      <c r="AJ332">
        <f>IF($AI332=1,SUMPRODUCT(--($AL$2:$AL$1501&lt;$AL332))+1,"")</f>
        <v/>
      </c>
      <c r="AK332">
        <f>IF($C332="","",IF(OR($AD332=TRUE(),$AD332="TRUE"),0,1))</f>
        <v/>
      </c>
      <c r="AL332">
        <f>IF($AI332=1,IFERROR(IF(VALUE($C332)&lt;100000000,VALUE($C332),1000000000),IFERROR(IF(VALUE(MID($C332,2,20))&lt;100000000,VALUE(MID($C332,2,20)),1000000000),1000000000))+ROW()/100000,"")</f>
        <v/>
      </c>
    </row>
    <row r="333">
      <c r="J333" s="7" t="n"/>
      <c r="K333" s="7" t="n"/>
      <c r="R333" s="7">
        <f>IF($C333="","",Q333*AC333/100)</f>
        <v/>
      </c>
      <c r="S333" s="11" t="n"/>
      <c r="U333" s="11" t="n"/>
      <c r="AA333" s="7" t="n"/>
      <c r="AC333" s="7" t="n"/>
      <c r="AE333">
        <f>IF($C333="","",IF($AK333=1,Settings!$C$6,Settings!$C$7)*1)</f>
        <v/>
      </c>
      <c r="AF333" s="7">
        <f>IF($C333="","",AE333*AC333)</f>
        <v/>
      </c>
      <c r="AG333" s="7">
        <f>IF($C333="","",AC333-AF333)</f>
        <v/>
      </c>
      <c r="AH333" s="7">
        <f>IF($C333="","",AG333-R333)</f>
        <v/>
      </c>
      <c r="AI333">
        <f>IF($C333="","",IF(COUNTIF($C$2:$C333,$C333)=1,1,0))</f>
        <v/>
      </c>
      <c r="AJ333">
        <f>IF($AI333=1,SUMPRODUCT(--($AL$2:$AL$1501&lt;$AL333))+1,"")</f>
        <v/>
      </c>
      <c r="AK333">
        <f>IF($C333="","",IF(OR($AD333=TRUE(),$AD333="TRUE"),0,1))</f>
        <v/>
      </c>
      <c r="AL333">
        <f>IF($AI333=1,IFERROR(IF(VALUE($C333)&lt;100000000,VALUE($C333),1000000000),IFERROR(IF(VALUE(MID($C333,2,20))&lt;100000000,VALUE(MID($C333,2,20)),1000000000),1000000000))+ROW()/100000,"")</f>
        <v/>
      </c>
    </row>
    <row r="334">
      <c r="J334" s="7" t="n"/>
      <c r="K334" s="7" t="n"/>
      <c r="R334" s="7">
        <f>IF($C334="","",Q334*AC334/100)</f>
        <v/>
      </c>
      <c r="S334" s="11" t="n"/>
      <c r="U334" s="11" t="n"/>
      <c r="AA334" s="7" t="n"/>
      <c r="AC334" s="7" t="n"/>
      <c r="AE334">
        <f>IF($C334="","",IF($AK334=1,Settings!$C$6,Settings!$C$7)*1)</f>
        <v/>
      </c>
      <c r="AF334" s="7">
        <f>IF($C334="","",AE334*AC334)</f>
        <v/>
      </c>
      <c r="AG334" s="7">
        <f>IF($C334="","",AC334-AF334)</f>
        <v/>
      </c>
      <c r="AH334" s="7">
        <f>IF($C334="","",AG334-R334)</f>
        <v/>
      </c>
      <c r="AI334">
        <f>IF($C334="","",IF(COUNTIF($C$2:$C334,$C334)=1,1,0))</f>
        <v/>
      </c>
      <c r="AJ334">
        <f>IF($AI334=1,SUMPRODUCT(--($AL$2:$AL$1501&lt;$AL334))+1,"")</f>
        <v/>
      </c>
      <c r="AK334">
        <f>IF($C334="","",IF(OR($AD334=TRUE(),$AD334="TRUE"),0,1))</f>
        <v/>
      </c>
      <c r="AL334">
        <f>IF($AI334=1,IFERROR(IF(VALUE($C334)&lt;100000000,VALUE($C334),1000000000),IFERROR(IF(VALUE(MID($C334,2,20))&lt;100000000,VALUE(MID($C334,2,20)),1000000000),1000000000))+ROW()/100000,"")</f>
        <v/>
      </c>
    </row>
    <row r="335">
      <c r="J335" s="7" t="n"/>
      <c r="K335" s="7" t="n"/>
      <c r="R335" s="7">
        <f>IF($C335="","",Q335*AC335/100)</f>
        <v/>
      </c>
      <c r="S335" s="11" t="n"/>
      <c r="U335" s="11" t="n"/>
      <c r="AA335" s="7" t="n"/>
      <c r="AC335" s="7" t="n"/>
      <c r="AE335">
        <f>IF($C335="","",IF($AK335=1,Settings!$C$6,Settings!$C$7)*1)</f>
        <v/>
      </c>
      <c r="AF335" s="7">
        <f>IF($C335="","",AE335*AC335)</f>
        <v/>
      </c>
      <c r="AG335" s="7">
        <f>IF($C335="","",AC335-AF335)</f>
        <v/>
      </c>
      <c r="AH335" s="7">
        <f>IF($C335="","",AG335-R335)</f>
        <v/>
      </c>
      <c r="AI335">
        <f>IF($C335="","",IF(COUNTIF($C$2:$C335,$C335)=1,1,0))</f>
        <v/>
      </c>
      <c r="AJ335">
        <f>IF($AI335=1,SUMPRODUCT(--($AL$2:$AL$1501&lt;$AL335))+1,"")</f>
        <v/>
      </c>
      <c r="AK335">
        <f>IF($C335="","",IF(OR($AD335=TRUE(),$AD335="TRUE"),0,1))</f>
        <v/>
      </c>
      <c r="AL335">
        <f>IF($AI335=1,IFERROR(IF(VALUE($C335)&lt;100000000,VALUE($C335),1000000000),IFERROR(IF(VALUE(MID($C335,2,20))&lt;100000000,VALUE(MID($C335,2,20)),1000000000),1000000000))+ROW()/100000,"")</f>
        <v/>
      </c>
    </row>
    <row r="336">
      <c r="J336" s="7" t="n"/>
      <c r="K336" s="7" t="n"/>
      <c r="R336" s="7">
        <f>IF($C336="","",Q336*AC336/100)</f>
        <v/>
      </c>
      <c r="S336" s="11" t="n"/>
      <c r="U336" s="11" t="n"/>
      <c r="AA336" s="7" t="n"/>
      <c r="AC336" s="7" t="n"/>
      <c r="AE336">
        <f>IF($C336="","",IF($AK336=1,Settings!$C$6,Settings!$C$7)*1)</f>
        <v/>
      </c>
      <c r="AF336" s="7">
        <f>IF($C336="","",AE336*AC336)</f>
        <v/>
      </c>
      <c r="AG336" s="7">
        <f>IF($C336="","",AC336-AF336)</f>
        <v/>
      </c>
      <c r="AH336" s="7">
        <f>IF($C336="","",AG336-R336)</f>
        <v/>
      </c>
      <c r="AI336">
        <f>IF($C336="","",IF(COUNTIF($C$2:$C336,$C336)=1,1,0))</f>
        <v/>
      </c>
      <c r="AJ336">
        <f>IF($AI336=1,SUMPRODUCT(--($AL$2:$AL$1501&lt;$AL336))+1,"")</f>
        <v/>
      </c>
      <c r="AK336">
        <f>IF($C336="","",IF(OR($AD336=TRUE(),$AD336="TRUE"),0,1))</f>
        <v/>
      </c>
      <c r="AL336">
        <f>IF($AI336=1,IFERROR(IF(VALUE($C336)&lt;100000000,VALUE($C336),1000000000),IFERROR(IF(VALUE(MID($C336,2,20))&lt;100000000,VALUE(MID($C336,2,20)),1000000000),1000000000))+ROW()/100000,"")</f>
        <v/>
      </c>
    </row>
    <row r="337">
      <c r="J337" s="7" t="n"/>
      <c r="K337" s="7" t="n"/>
      <c r="R337" s="7">
        <f>IF($C337="","",Q337*AC337/100)</f>
        <v/>
      </c>
      <c r="S337" s="11" t="n"/>
      <c r="U337" s="11" t="n"/>
      <c r="AA337" s="7" t="n"/>
      <c r="AC337" s="7" t="n"/>
      <c r="AE337">
        <f>IF($C337="","",IF($AK337=1,Settings!$C$6,Settings!$C$7)*1)</f>
        <v/>
      </c>
      <c r="AF337" s="7">
        <f>IF($C337="","",AE337*AC337)</f>
        <v/>
      </c>
      <c r="AG337" s="7">
        <f>IF($C337="","",AC337-AF337)</f>
        <v/>
      </c>
      <c r="AH337" s="7">
        <f>IF($C337="","",AG337-R337)</f>
        <v/>
      </c>
      <c r="AI337">
        <f>IF($C337="","",IF(COUNTIF($C$2:$C337,$C337)=1,1,0))</f>
        <v/>
      </c>
      <c r="AJ337">
        <f>IF($AI337=1,SUMPRODUCT(--($AL$2:$AL$1501&lt;$AL337))+1,"")</f>
        <v/>
      </c>
      <c r="AK337">
        <f>IF($C337="","",IF(OR($AD337=TRUE(),$AD337="TRUE"),0,1))</f>
        <v/>
      </c>
      <c r="AL337">
        <f>IF($AI337=1,IFERROR(IF(VALUE($C337)&lt;100000000,VALUE($C337),1000000000),IFERROR(IF(VALUE(MID($C337,2,20))&lt;100000000,VALUE(MID($C337,2,20)),1000000000),1000000000))+ROW()/100000,"")</f>
        <v/>
      </c>
    </row>
    <row r="338">
      <c r="J338" s="7" t="n"/>
      <c r="K338" s="7" t="n"/>
      <c r="R338" s="7">
        <f>IF($C338="","",Q338*AC338/100)</f>
        <v/>
      </c>
      <c r="S338" s="11" t="n"/>
      <c r="U338" s="11" t="n"/>
      <c r="AA338" s="7" t="n"/>
      <c r="AC338" s="7" t="n"/>
      <c r="AE338">
        <f>IF($C338="","",IF($AK338=1,Settings!$C$6,Settings!$C$7)*1)</f>
        <v/>
      </c>
      <c r="AF338" s="7">
        <f>IF($C338="","",AE338*AC338)</f>
        <v/>
      </c>
      <c r="AG338" s="7">
        <f>IF($C338="","",AC338-AF338)</f>
        <v/>
      </c>
      <c r="AH338" s="7">
        <f>IF($C338="","",AG338-R338)</f>
        <v/>
      </c>
      <c r="AI338">
        <f>IF($C338="","",IF(COUNTIF($C$2:$C338,$C338)=1,1,0))</f>
        <v/>
      </c>
      <c r="AJ338">
        <f>IF($AI338=1,SUMPRODUCT(--($AL$2:$AL$1501&lt;$AL338))+1,"")</f>
        <v/>
      </c>
      <c r="AK338">
        <f>IF($C338="","",IF(OR($AD338=TRUE(),$AD338="TRUE"),0,1))</f>
        <v/>
      </c>
      <c r="AL338">
        <f>IF($AI338=1,IFERROR(IF(VALUE($C338)&lt;100000000,VALUE($C338),1000000000),IFERROR(IF(VALUE(MID($C338,2,20))&lt;100000000,VALUE(MID($C338,2,20)),1000000000),1000000000))+ROW()/100000,"")</f>
        <v/>
      </c>
    </row>
    <row r="339">
      <c r="J339" s="7" t="n"/>
      <c r="K339" s="7" t="n"/>
      <c r="R339" s="7">
        <f>IF($C339="","",Q339*AC339/100)</f>
        <v/>
      </c>
      <c r="S339" s="11" t="n"/>
      <c r="U339" s="11" t="n"/>
      <c r="AA339" s="7" t="n"/>
      <c r="AC339" s="7" t="n"/>
      <c r="AE339">
        <f>IF($C339="","",IF($AK339=1,Settings!$C$6,Settings!$C$7)*1)</f>
        <v/>
      </c>
      <c r="AF339" s="7">
        <f>IF($C339="","",AE339*AC339)</f>
        <v/>
      </c>
      <c r="AG339" s="7">
        <f>IF($C339="","",AC339-AF339)</f>
        <v/>
      </c>
      <c r="AH339" s="7">
        <f>IF($C339="","",AG339-R339)</f>
        <v/>
      </c>
      <c r="AI339">
        <f>IF($C339="","",IF(COUNTIF($C$2:$C339,$C339)=1,1,0))</f>
        <v/>
      </c>
      <c r="AJ339">
        <f>IF($AI339=1,SUMPRODUCT(--($AL$2:$AL$1501&lt;$AL339))+1,"")</f>
        <v/>
      </c>
      <c r="AK339">
        <f>IF($C339="","",IF(OR($AD339=TRUE(),$AD339="TRUE"),0,1))</f>
        <v/>
      </c>
      <c r="AL339">
        <f>IF($AI339=1,IFERROR(IF(VALUE($C339)&lt;100000000,VALUE($C339),1000000000),IFERROR(IF(VALUE(MID($C339,2,20))&lt;100000000,VALUE(MID($C339,2,20)),1000000000),1000000000))+ROW()/100000,"")</f>
        <v/>
      </c>
    </row>
    <row r="340">
      <c r="J340" s="7" t="n"/>
      <c r="K340" s="7" t="n"/>
      <c r="R340" s="7">
        <f>IF($C340="","",Q340*AC340/100)</f>
        <v/>
      </c>
      <c r="S340" s="11" t="n"/>
      <c r="U340" s="11" t="n"/>
      <c r="AA340" s="7" t="n"/>
      <c r="AC340" s="7" t="n"/>
      <c r="AE340">
        <f>IF($C340="","",IF($AK340=1,Settings!$C$6,Settings!$C$7)*1)</f>
        <v/>
      </c>
      <c r="AF340" s="7">
        <f>IF($C340="","",AE340*AC340)</f>
        <v/>
      </c>
      <c r="AG340" s="7">
        <f>IF($C340="","",AC340-AF340)</f>
        <v/>
      </c>
      <c r="AH340" s="7">
        <f>IF($C340="","",AG340-R340)</f>
        <v/>
      </c>
      <c r="AI340">
        <f>IF($C340="","",IF(COUNTIF($C$2:$C340,$C340)=1,1,0))</f>
        <v/>
      </c>
      <c r="AJ340">
        <f>IF($AI340=1,SUMPRODUCT(--($AL$2:$AL$1501&lt;$AL340))+1,"")</f>
        <v/>
      </c>
      <c r="AK340">
        <f>IF($C340="","",IF(OR($AD340=TRUE(),$AD340="TRUE"),0,1))</f>
        <v/>
      </c>
      <c r="AL340">
        <f>IF($AI340=1,IFERROR(IF(VALUE($C340)&lt;100000000,VALUE($C340),1000000000),IFERROR(IF(VALUE(MID($C340,2,20))&lt;100000000,VALUE(MID($C340,2,20)),1000000000),1000000000))+ROW()/100000,"")</f>
        <v/>
      </c>
    </row>
    <row r="341">
      <c r="J341" s="7" t="n"/>
      <c r="K341" s="7" t="n"/>
      <c r="R341" s="7">
        <f>IF($C341="","",Q341*AC341/100)</f>
        <v/>
      </c>
      <c r="S341" s="11" t="n"/>
      <c r="U341" s="11" t="n"/>
      <c r="AA341" s="7" t="n"/>
      <c r="AC341" s="7" t="n"/>
      <c r="AE341">
        <f>IF($C341="","",IF($AK341=1,Settings!$C$6,Settings!$C$7)*1)</f>
        <v/>
      </c>
      <c r="AF341" s="7">
        <f>IF($C341="","",AE341*AC341)</f>
        <v/>
      </c>
      <c r="AG341" s="7">
        <f>IF($C341="","",AC341-AF341)</f>
        <v/>
      </c>
      <c r="AH341" s="7">
        <f>IF($C341="","",AG341-R341)</f>
        <v/>
      </c>
      <c r="AI341">
        <f>IF($C341="","",IF(COUNTIF($C$2:$C341,$C341)=1,1,0))</f>
        <v/>
      </c>
      <c r="AJ341">
        <f>IF($AI341=1,SUMPRODUCT(--($AL$2:$AL$1501&lt;$AL341))+1,"")</f>
        <v/>
      </c>
      <c r="AK341">
        <f>IF($C341="","",IF(OR($AD341=TRUE(),$AD341="TRUE"),0,1))</f>
        <v/>
      </c>
      <c r="AL341">
        <f>IF($AI341=1,IFERROR(IF(VALUE($C341)&lt;100000000,VALUE($C341),1000000000),IFERROR(IF(VALUE(MID($C341,2,20))&lt;100000000,VALUE(MID($C341,2,20)),1000000000),1000000000))+ROW()/100000,"")</f>
        <v/>
      </c>
    </row>
    <row r="342">
      <c r="J342" s="7" t="n"/>
      <c r="K342" s="7" t="n"/>
      <c r="R342" s="7">
        <f>IF($C342="","",Q342*AC342/100)</f>
        <v/>
      </c>
      <c r="S342" s="11" t="n"/>
      <c r="U342" s="11" t="n"/>
      <c r="AA342" s="7" t="n"/>
      <c r="AC342" s="7" t="n"/>
      <c r="AE342">
        <f>IF($C342="","",IF($AK342=1,Settings!$C$6,Settings!$C$7)*1)</f>
        <v/>
      </c>
      <c r="AF342" s="7">
        <f>IF($C342="","",AE342*AC342)</f>
        <v/>
      </c>
      <c r="AG342" s="7">
        <f>IF($C342="","",AC342-AF342)</f>
        <v/>
      </c>
      <c r="AH342" s="7">
        <f>IF($C342="","",AG342-R342)</f>
        <v/>
      </c>
      <c r="AI342">
        <f>IF($C342="","",IF(COUNTIF($C$2:$C342,$C342)=1,1,0))</f>
        <v/>
      </c>
      <c r="AJ342">
        <f>IF($AI342=1,SUMPRODUCT(--($AL$2:$AL$1501&lt;$AL342))+1,"")</f>
        <v/>
      </c>
      <c r="AK342">
        <f>IF($C342="","",IF(OR($AD342=TRUE(),$AD342="TRUE"),0,1))</f>
        <v/>
      </c>
      <c r="AL342">
        <f>IF($AI342=1,IFERROR(IF(VALUE($C342)&lt;100000000,VALUE($C342),1000000000),IFERROR(IF(VALUE(MID($C342,2,20))&lt;100000000,VALUE(MID($C342,2,20)),1000000000),1000000000))+ROW()/100000,"")</f>
        <v/>
      </c>
    </row>
    <row r="343">
      <c r="J343" s="7" t="n"/>
      <c r="K343" s="7" t="n"/>
      <c r="R343" s="7">
        <f>IF($C343="","",Q343*AC343/100)</f>
        <v/>
      </c>
      <c r="S343" s="11" t="n"/>
      <c r="U343" s="11" t="n"/>
      <c r="AA343" s="7" t="n"/>
      <c r="AC343" s="7" t="n"/>
      <c r="AE343">
        <f>IF($C343="","",IF($AK343=1,Settings!$C$6,Settings!$C$7)*1)</f>
        <v/>
      </c>
      <c r="AF343" s="7">
        <f>IF($C343="","",AE343*AC343)</f>
        <v/>
      </c>
      <c r="AG343" s="7">
        <f>IF($C343="","",AC343-AF343)</f>
        <v/>
      </c>
      <c r="AH343" s="7">
        <f>IF($C343="","",AG343-R343)</f>
        <v/>
      </c>
      <c r="AI343">
        <f>IF($C343="","",IF(COUNTIF($C$2:$C343,$C343)=1,1,0))</f>
        <v/>
      </c>
      <c r="AJ343">
        <f>IF($AI343=1,SUMPRODUCT(--($AL$2:$AL$1501&lt;$AL343))+1,"")</f>
        <v/>
      </c>
      <c r="AK343">
        <f>IF($C343="","",IF(OR($AD343=TRUE(),$AD343="TRUE"),0,1))</f>
        <v/>
      </c>
      <c r="AL343">
        <f>IF($AI343=1,IFERROR(IF(VALUE($C343)&lt;100000000,VALUE($C343),1000000000),IFERROR(IF(VALUE(MID($C343,2,20))&lt;100000000,VALUE(MID($C343,2,20)),1000000000),1000000000))+ROW()/100000,"")</f>
        <v/>
      </c>
    </row>
    <row r="344">
      <c r="J344" s="7" t="n"/>
      <c r="K344" s="7" t="n"/>
      <c r="R344" s="7">
        <f>IF($C344="","",Q344*AC344/100)</f>
        <v/>
      </c>
      <c r="S344" s="11" t="n"/>
      <c r="U344" s="11" t="n"/>
      <c r="AA344" s="7" t="n"/>
      <c r="AC344" s="7" t="n"/>
      <c r="AE344">
        <f>IF($C344="","",IF($AK344=1,Settings!$C$6,Settings!$C$7)*1)</f>
        <v/>
      </c>
      <c r="AF344" s="7">
        <f>IF($C344="","",AE344*AC344)</f>
        <v/>
      </c>
      <c r="AG344" s="7">
        <f>IF($C344="","",AC344-AF344)</f>
        <v/>
      </c>
      <c r="AH344" s="7">
        <f>IF($C344="","",AG344-R344)</f>
        <v/>
      </c>
      <c r="AI344">
        <f>IF($C344="","",IF(COUNTIF($C$2:$C344,$C344)=1,1,0))</f>
        <v/>
      </c>
      <c r="AJ344">
        <f>IF($AI344=1,SUMPRODUCT(--($AL$2:$AL$1501&lt;$AL344))+1,"")</f>
        <v/>
      </c>
      <c r="AK344">
        <f>IF($C344="","",IF(OR($AD344=TRUE(),$AD344="TRUE"),0,1))</f>
        <v/>
      </c>
      <c r="AL344">
        <f>IF($AI344=1,IFERROR(IF(VALUE($C344)&lt;100000000,VALUE($C344),1000000000),IFERROR(IF(VALUE(MID($C344,2,20))&lt;100000000,VALUE(MID($C344,2,20)),1000000000),1000000000))+ROW()/100000,"")</f>
        <v/>
      </c>
    </row>
    <row r="345">
      <c r="J345" s="7" t="n"/>
      <c r="K345" s="7" t="n"/>
      <c r="R345" s="7">
        <f>IF($C345="","",Q345*AC345/100)</f>
        <v/>
      </c>
      <c r="S345" s="11" t="n"/>
      <c r="U345" s="11" t="n"/>
      <c r="AA345" s="7" t="n"/>
      <c r="AC345" s="7" t="n"/>
      <c r="AE345">
        <f>IF($C345="","",IF($AK345=1,Settings!$C$6,Settings!$C$7)*1)</f>
        <v/>
      </c>
      <c r="AF345" s="7">
        <f>IF($C345="","",AE345*AC345)</f>
        <v/>
      </c>
      <c r="AG345" s="7">
        <f>IF($C345="","",AC345-AF345)</f>
        <v/>
      </c>
      <c r="AH345" s="7">
        <f>IF($C345="","",AG345-R345)</f>
        <v/>
      </c>
      <c r="AI345">
        <f>IF($C345="","",IF(COUNTIF($C$2:$C345,$C345)=1,1,0))</f>
        <v/>
      </c>
      <c r="AJ345">
        <f>IF($AI345=1,SUMPRODUCT(--($AL$2:$AL$1501&lt;$AL345))+1,"")</f>
        <v/>
      </c>
      <c r="AK345">
        <f>IF($C345="","",IF(OR($AD345=TRUE(),$AD345="TRUE"),0,1))</f>
        <v/>
      </c>
      <c r="AL345">
        <f>IF($AI345=1,IFERROR(IF(VALUE($C345)&lt;100000000,VALUE($C345),1000000000),IFERROR(IF(VALUE(MID($C345,2,20))&lt;100000000,VALUE(MID($C345,2,20)),1000000000),1000000000))+ROW()/100000,"")</f>
        <v/>
      </c>
    </row>
    <row r="346">
      <c r="J346" s="7" t="n"/>
      <c r="K346" s="7" t="n"/>
      <c r="R346" s="7">
        <f>IF($C346="","",Q346*AC346/100)</f>
        <v/>
      </c>
      <c r="S346" s="11" t="n"/>
      <c r="U346" s="11" t="n"/>
      <c r="AA346" s="7" t="n"/>
      <c r="AC346" s="7" t="n"/>
      <c r="AE346">
        <f>IF($C346="","",IF($AK346=1,Settings!$C$6,Settings!$C$7)*1)</f>
        <v/>
      </c>
      <c r="AF346" s="7">
        <f>IF($C346="","",AE346*AC346)</f>
        <v/>
      </c>
      <c r="AG346" s="7">
        <f>IF($C346="","",AC346-AF346)</f>
        <v/>
      </c>
      <c r="AH346" s="7">
        <f>IF($C346="","",AG346-R346)</f>
        <v/>
      </c>
      <c r="AI346">
        <f>IF($C346="","",IF(COUNTIF($C$2:$C346,$C346)=1,1,0))</f>
        <v/>
      </c>
      <c r="AJ346">
        <f>IF($AI346=1,SUMPRODUCT(--($AL$2:$AL$1501&lt;$AL346))+1,"")</f>
        <v/>
      </c>
      <c r="AK346">
        <f>IF($C346="","",IF(OR($AD346=TRUE(),$AD346="TRUE"),0,1))</f>
        <v/>
      </c>
      <c r="AL346">
        <f>IF($AI346=1,IFERROR(IF(VALUE($C346)&lt;100000000,VALUE($C346),1000000000),IFERROR(IF(VALUE(MID($C346,2,20))&lt;100000000,VALUE(MID($C346,2,20)),1000000000),1000000000))+ROW()/100000,"")</f>
        <v/>
      </c>
    </row>
    <row r="347">
      <c r="J347" s="7" t="n"/>
      <c r="K347" s="7" t="n"/>
      <c r="R347" s="7">
        <f>IF($C347="","",Q347*AC347/100)</f>
        <v/>
      </c>
      <c r="S347" s="11" t="n"/>
      <c r="U347" s="11" t="n"/>
      <c r="AA347" s="7" t="n"/>
      <c r="AC347" s="7" t="n"/>
      <c r="AE347">
        <f>IF($C347="","",IF($AK347=1,Settings!$C$6,Settings!$C$7)*1)</f>
        <v/>
      </c>
      <c r="AF347" s="7">
        <f>IF($C347="","",AE347*AC347)</f>
        <v/>
      </c>
      <c r="AG347" s="7">
        <f>IF($C347="","",AC347-AF347)</f>
        <v/>
      </c>
      <c r="AH347" s="7">
        <f>IF($C347="","",AG347-R347)</f>
        <v/>
      </c>
      <c r="AI347">
        <f>IF($C347="","",IF(COUNTIF($C$2:$C347,$C347)=1,1,0))</f>
        <v/>
      </c>
      <c r="AJ347">
        <f>IF($AI347=1,SUMPRODUCT(--($AL$2:$AL$1501&lt;$AL347))+1,"")</f>
        <v/>
      </c>
      <c r="AK347">
        <f>IF($C347="","",IF(OR($AD347=TRUE(),$AD347="TRUE"),0,1))</f>
        <v/>
      </c>
      <c r="AL347">
        <f>IF($AI347=1,IFERROR(IF(VALUE($C347)&lt;100000000,VALUE($C347),1000000000),IFERROR(IF(VALUE(MID($C347,2,20))&lt;100000000,VALUE(MID($C347,2,20)),1000000000),1000000000))+ROW()/100000,"")</f>
        <v/>
      </c>
    </row>
    <row r="348">
      <c r="J348" s="7" t="n"/>
      <c r="K348" s="7" t="n"/>
      <c r="R348" s="7">
        <f>IF($C348="","",Q348*AC348/100)</f>
        <v/>
      </c>
      <c r="S348" s="11" t="n"/>
      <c r="U348" s="11" t="n"/>
      <c r="AA348" s="7" t="n"/>
      <c r="AC348" s="7" t="n"/>
      <c r="AE348">
        <f>IF($C348="","",IF($AK348=1,Settings!$C$6,Settings!$C$7)*1)</f>
        <v/>
      </c>
      <c r="AF348" s="7">
        <f>IF($C348="","",AE348*AC348)</f>
        <v/>
      </c>
      <c r="AG348" s="7">
        <f>IF($C348="","",AC348-AF348)</f>
        <v/>
      </c>
      <c r="AH348" s="7">
        <f>IF($C348="","",AG348-R348)</f>
        <v/>
      </c>
      <c r="AI348">
        <f>IF($C348="","",IF(COUNTIF($C$2:$C348,$C348)=1,1,0))</f>
        <v/>
      </c>
      <c r="AJ348">
        <f>IF($AI348=1,SUMPRODUCT(--($AL$2:$AL$1501&lt;$AL348))+1,"")</f>
        <v/>
      </c>
      <c r="AK348">
        <f>IF($C348="","",IF(OR($AD348=TRUE(),$AD348="TRUE"),0,1))</f>
        <v/>
      </c>
      <c r="AL348">
        <f>IF($AI348=1,IFERROR(IF(VALUE($C348)&lt;100000000,VALUE($C348),1000000000),IFERROR(IF(VALUE(MID($C348,2,20))&lt;100000000,VALUE(MID($C348,2,20)),1000000000),1000000000))+ROW()/100000,"")</f>
        <v/>
      </c>
    </row>
    <row r="349">
      <c r="J349" s="7" t="n"/>
      <c r="K349" s="7" t="n"/>
      <c r="R349" s="7">
        <f>IF($C349="","",Q349*AC349/100)</f>
        <v/>
      </c>
      <c r="S349" s="11" t="n"/>
      <c r="U349" s="11" t="n"/>
      <c r="AA349" s="7" t="n"/>
      <c r="AC349" s="7" t="n"/>
      <c r="AE349">
        <f>IF($C349="","",IF($AK349=1,Settings!$C$6,Settings!$C$7)*1)</f>
        <v/>
      </c>
      <c r="AF349" s="7">
        <f>IF($C349="","",AE349*AC349)</f>
        <v/>
      </c>
      <c r="AG349" s="7">
        <f>IF($C349="","",AC349-AF349)</f>
        <v/>
      </c>
      <c r="AH349" s="7">
        <f>IF($C349="","",AG349-R349)</f>
        <v/>
      </c>
      <c r="AI349">
        <f>IF($C349="","",IF(COUNTIF($C$2:$C349,$C349)=1,1,0))</f>
        <v/>
      </c>
      <c r="AJ349">
        <f>IF($AI349=1,SUMPRODUCT(--($AL$2:$AL$1501&lt;$AL349))+1,"")</f>
        <v/>
      </c>
      <c r="AK349">
        <f>IF($C349="","",IF(OR($AD349=TRUE(),$AD349="TRUE"),0,1))</f>
        <v/>
      </c>
      <c r="AL349">
        <f>IF($AI349=1,IFERROR(IF(VALUE($C349)&lt;100000000,VALUE($C349),1000000000),IFERROR(IF(VALUE(MID($C349,2,20))&lt;100000000,VALUE(MID($C349,2,20)),1000000000),1000000000))+ROW()/100000,"")</f>
        <v/>
      </c>
    </row>
    <row r="350">
      <c r="J350" s="7" t="n"/>
      <c r="K350" s="7" t="n"/>
      <c r="R350" s="7">
        <f>IF($C350="","",Q350*AC350/100)</f>
        <v/>
      </c>
      <c r="S350" s="11" t="n"/>
      <c r="U350" s="11" t="n"/>
      <c r="AA350" s="7" t="n"/>
      <c r="AC350" s="7" t="n"/>
      <c r="AE350">
        <f>IF($C350="","",IF($AK350=1,Settings!$C$6,Settings!$C$7)*1)</f>
        <v/>
      </c>
      <c r="AF350" s="7">
        <f>IF($C350="","",AE350*AC350)</f>
        <v/>
      </c>
      <c r="AG350" s="7">
        <f>IF($C350="","",AC350-AF350)</f>
        <v/>
      </c>
      <c r="AH350" s="7">
        <f>IF($C350="","",AG350-R350)</f>
        <v/>
      </c>
      <c r="AI350">
        <f>IF($C350="","",IF(COUNTIF($C$2:$C350,$C350)=1,1,0))</f>
        <v/>
      </c>
      <c r="AJ350">
        <f>IF($AI350=1,SUMPRODUCT(--($AL$2:$AL$1501&lt;$AL350))+1,"")</f>
        <v/>
      </c>
      <c r="AK350">
        <f>IF($C350="","",IF(OR($AD350=TRUE(),$AD350="TRUE"),0,1))</f>
        <v/>
      </c>
      <c r="AL350">
        <f>IF($AI350=1,IFERROR(IF(VALUE($C350)&lt;100000000,VALUE($C350),1000000000),IFERROR(IF(VALUE(MID($C350,2,20))&lt;100000000,VALUE(MID($C350,2,20)),1000000000),1000000000))+ROW()/100000,"")</f>
        <v/>
      </c>
    </row>
    <row r="351">
      <c r="J351" s="7" t="n"/>
      <c r="K351" s="7" t="n"/>
      <c r="R351" s="7">
        <f>IF($C351="","",Q351*AC351/100)</f>
        <v/>
      </c>
      <c r="S351" s="11" t="n"/>
      <c r="U351" s="11" t="n"/>
      <c r="AA351" s="7" t="n"/>
      <c r="AC351" s="7" t="n"/>
      <c r="AE351">
        <f>IF($C351="","",IF($AK351=1,Settings!$C$6,Settings!$C$7)*1)</f>
        <v/>
      </c>
      <c r="AF351" s="7">
        <f>IF($C351="","",AE351*AC351)</f>
        <v/>
      </c>
      <c r="AG351" s="7">
        <f>IF($C351="","",AC351-AF351)</f>
        <v/>
      </c>
      <c r="AH351" s="7">
        <f>IF($C351="","",AG351-R351)</f>
        <v/>
      </c>
      <c r="AI351">
        <f>IF($C351="","",IF(COUNTIF($C$2:$C351,$C351)=1,1,0))</f>
        <v/>
      </c>
      <c r="AJ351">
        <f>IF($AI351=1,SUMPRODUCT(--($AL$2:$AL$1501&lt;$AL351))+1,"")</f>
        <v/>
      </c>
      <c r="AK351">
        <f>IF($C351="","",IF(OR($AD351=TRUE(),$AD351="TRUE"),0,1))</f>
        <v/>
      </c>
      <c r="AL351">
        <f>IF($AI351=1,IFERROR(IF(VALUE($C351)&lt;100000000,VALUE($C351),1000000000),IFERROR(IF(VALUE(MID($C351,2,20))&lt;100000000,VALUE(MID($C351,2,20)),1000000000),1000000000))+ROW()/100000,"")</f>
        <v/>
      </c>
    </row>
    <row r="352">
      <c r="J352" s="7" t="n"/>
      <c r="K352" s="7" t="n"/>
      <c r="R352" s="7">
        <f>IF($C352="","",Q352*AC352/100)</f>
        <v/>
      </c>
      <c r="S352" s="11" t="n"/>
      <c r="U352" s="11" t="n"/>
      <c r="AA352" s="7" t="n"/>
      <c r="AC352" s="7" t="n"/>
      <c r="AE352">
        <f>IF($C352="","",IF($AK352=1,Settings!$C$6,Settings!$C$7)*1)</f>
        <v/>
      </c>
      <c r="AF352" s="7">
        <f>IF($C352="","",AE352*AC352)</f>
        <v/>
      </c>
      <c r="AG352" s="7">
        <f>IF($C352="","",AC352-AF352)</f>
        <v/>
      </c>
      <c r="AH352" s="7">
        <f>IF($C352="","",AG352-R352)</f>
        <v/>
      </c>
      <c r="AI352">
        <f>IF($C352="","",IF(COUNTIF($C$2:$C352,$C352)=1,1,0))</f>
        <v/>
      </c>
      <c r="AJ352">
        <f>IF($AI352=1,SUMPRODUCT(--($AL$2:$AL$1501&lt;$AL352))+1,"")</f>
        <v/>
      </c>
      <c r="AK352">
        <f>IF($C352="","",IF(OR($AD352=TRUE(),$AD352="TRUE"),0,1))</f>
        <v/>
      </c>
      <c r="AL352">
        <f>IF($AI352=1,IFERROR(IF(VALUE($C352)&lt;100000000,VALUE($C352),1000000000),IFERROR(IF(VALUE(MID($C352,2,20))&lt;100000000,VALUE(MID($C352,2,20)),1000000000),1000000000))+ROW()/100000,"")</f>
        <v/>
      </c>
    </row>
    <row r="353">
      <c r="J353" s="7" t="n"/>
      <c r="K353" s="7" t="n"/>
      <c r="R353" s="7">
        <f>IF($C353="","",Q353*AC353/100)</f>
        <v/>
      </c>
      <c r="S353" s="11" t="n"/>
      <c r="U353" s="11" t="n"/>
      <c r="AA353" s="7" t="n"/>
      <c r="AC353" s="7" t="n"/>
      <c r="AE353">
        <f>IF($C353="","",IF($AK353=1,Settings!$C$6,Settings!$C$7)*1)</f>
        <v/>
      </c>
      <c r="AF353" s="7">
        <f>IF($C353="","",AE353*AC353)</f>
        <v/>
      </c>
      <c r="AG353" s="7">
        <f>IF($C353="","",AC353-AF353)</f>
        <v/>
      </c>
      <c r="AH353" s="7">
        <f>IF($C353="","",AG353-R353)</f>
        <v/>
      </c>
      <c r="AI353">
        <f>IF($C353="","",IF(COUNTIF($C$2:$C353,$C353)=1,1,0))</f>
        <v/>
      </c>
      <c r="AJ353">
        <f>IF($AI353=1,SUMPRODUCT(--($AL$2:$AL$1501&lt;$AL353))+1,"")</f>
        <v/>
      </c>
      <c r="AK353">
        <f>IF($C353="","",IF(OR($AD353=TRUE(),$AD353="TRUE"),0,1))</f>
        <v/>
      </c>
      <c r="AL353">
        <f>IF($AI353=1,IFERROR(IF(VALUE($C353)&lt;100000000,VALUE($C353),1000000000),IFERROR(IF(VALUE(MID($C353,2,20))&lt;100000000,VALUE(MID($C353,2,20)),1000000000),1000000000))+ROW()/100000,"")</f>
        <v/>
      </c>
    </row>
    <row r="354">
      <c r="J354" s="7" t="n"/>
      <c r="K354" s="7" t="n"/>
      <c r="R354" s="7">
        <f>IF($C354="","",Q354*AC354/100)</f>
        <v/>
      </c>
      <c r="S354" s="11" t="n"/>
      <c r="U354" s="11" t="n"/>
      <c r="AA354" s="7" t="n"/>
      <c r="AC354" s="7" t="n"/>
      <c r="AE354">
        <f>IF($C354="","",IF($AK354=1,Settings!$C$6,Settings!$C$7)*1)</f>
        <v/>
      </c>
      <c r="AF354" s="7">
        <f>IF($C354="","",AE354*AC354)</f>
        <v/>
      </c>
      <c r="AG354" s="7">
        <f>IF($C354="","",AC354-AF354)</f>
        <v/>
      </c>
      <c r="AH354" s="7">
        <f>IF($C354="","",AG354-R354)</f>
        <v/>
      </c>
      <c r="AI354">
        <f>IF($C354="","",IF(COUNTIF($C$2:$C354,$C354)=1,1,0))</f>
        <v/>
      </c>
      <c r="AJ354">
        <f>IF($AI354=1,SUMPRODUCT(--($AL$2:$AL$1501&lt;$AL354))+1,"")</f>
        <v/>
      </c>
      <c r="AK354">
        <f>IF($C354="","",IF(OR($AD354=TRUE(),$AD354="TRUE"),0,1))</f>
        <v/>
      </c>
      <c r="AL354">
        <f>IF($AI354=1,IFERROR(IF(VALUE($C354)&lt;100000000,VALUE($C354),1000000000),IFERROR(IF(VALUE(MID($C354,2,20))&lt;100000000,VALUE(MID($C354,2,20)),1000000000),1000000000))+ROW()/100000,"")</f>
        <v/>
      </c>
    </row>
    <row r="355">
      <c r="J355" s="7" t="n"/>
      <c r="K355" s="7" t="n"/>
      <c r="R355" s="7">
        <f>IF($C355="","",Q355*AC355/100)</f>
        <v/>
      </c>
      <c r="S355" s="11" t="n"/>
      <c r="U355" s="11" t="n"/>
      <c r="AA355" s="7" t="n"/>
      <c r="AC355" s="7" t="n"/>
      <c r="AE355">
        <f>IF($C355="","",IF($AK355=1,Settings!$C$6,Settings!$C$7)*1)</f>
        <v/>
      </c>
      <c r="AF355" s="7">
        <f>IF($C355="","",AE355*AC355)</f>
        <v/>
      </c>
      <c r="AG355" s="7">
        <f>IF($C355="","",AC355-AF355)</f>
        <v/>
      </c>
      <c r="AH355" s="7">
        <f>IF($C355="","",AG355-R355)</f>
        <v/>
      </c>
      <c r="AI355">
        <f>IF($C355="","",IF(COUNTIF($C$2:$C355,$C355)=1,1,0))</f>
        <v/>
      </c>
      <c r="AJ355">
        <f>IF($AI355=1,SUMPRODUCT(--($AL$2:$AL$1501&lt;$AL355))+1,"")</f>
        <v/>
      </c>
      <c r="AK355">
        <f>IF($C355="","",IF(OR($AD355=TRUE(),$AD355="TRUE"),0,1))</f>
        <v/>
      </c>
      <c r="AL355">
        <f>IF($AI355=1,IFERROR(IF(VALUE($C355)&lt;100000000,VALUE($C355),1000000000),IFERROR(IF(VALUE(MID($C355,2,20))&lt;100000000,VALUE(MID($C355,2,20)),1000000000),1000000000))+ROW()/100000,"")</f>
        <v/>
      </c>
    </row>
    <row r="356">
      <c r="J356" s="7" t="n"/>
      <c r="K356" s="7" t="n"/>
      <c r="R356" s="7">
        <f>IF($C356="","",Q356*AC356/100)</f>
        <v/>
      </c>
      <c r="S356" s="11" t="n"/>
      <c r="U356" s="11" t="n"/>
      <c r="AA356" s="7" t="n"/>
      <c r="AC356" s="7" t="n"/>
      <c r="AE356">
        <f>IF($C356="","",IF($AK356=1,Settings!$C$6,Settings!$C$7)*1)</f>
        <v/>
      </c>
      <c r="AF356" s="7">
        <f>IF($C356="","",AE356*AC356)</f>
        <v/>
      </c>
      <c r="AG356" s="7">
        <f>IF($C356="","",AC356-AF356)</f>
        <v/>
      </c>
      <c r="AH356" s="7">
        <f>IF($C356="","",AG356-R356)</f>
        <v/>
      </c>
      <c r="AI356">
        <f>IF($C356="","",IF(COUNTIF($C$2:$C356,$C356)=1,1,0))</f>
        <v/>
      </c>
      <c r="AJ356">
        <f>IF($AI356=1,SUMPRODUCT(--($AL$2:$AL$1501&lt;$AL356))+1,"")</f>
        <v/>
      </c>
      <c r="AK356">
        <f>IF($C356="","",IF(OR($AD356=TRUE(),$AD356="TRUE"),0,1))</f>
        <v/>
      </c>
      <c r="AL356">
        <f>IF($AI356=1,IFERROR(IF(VALUE($C356)&lt;100000000,VALUE($C356),1000000000),IFERROR(IF(VALUE(MID($C356,2,20))&lt;100000000,VALUE(MID($C356,2,20)),1000000000),1000000000))+ROW()/100000,"")</f>
        <v/>
      </c>
    </row>
    <row r="357">
      <c r="J357" s="7" t="n"/>
      <c r="K357" s="7" t="n"/>
      <c r="R357" s="7">
        <f>IF($C357="","",Q357*AC357/100)</f>
        <v/>
      </c>
      <c r="S357" s="11" t="n"/>
      <c r="U357" s="11" t="n"/>
      <c r="AA357" s="7" t="n"/>
      <c r="AC357" s="7" t="n"/>
      <c r="AE357">
        <f>IF($C357="","",IF($AK357=1,Settings!$C$6,Settings!$C$7)*1)</f>
        <v/>
      </c>
      <c r="AF357" s="7">
        <f>IF($C357="","",AE357*AC357)</f>
        <v/>
      </c>
      <c r="AG357" s="7">
        <f>IF($C357="","",AC357-AF357)</f>
        <v/>
      </c>
      <c r="AH357" s="7">
        <f>IF($C357="","",AG357-R357)</f>
        <v/>
      </c>
      <c r="AI357">
        <f>IF($C357="","",IF(COUNTIF($C$2:$C357,$C357)=1,1,0))</f>
        <v/>
      </c>
      <c r="AJ357">
        <f>IF($AI357=1,SUMPRODUCT(--($AL$2:$AL$1501&lt;$AL357))+1,"")</f>
        <v/>
      </c>
      <c r="AK357">
        <f>IF($C357="","",IF(OR($AD357=TRUE(),$AD357="TRUE"),0,1))</f>
        <v/>
      </c>
      <c r="AL357">
        <f>IF($AI357=1,IFERROR(IF(VALUE($C357)&lt;100000000,VALUE($C357),1000000000),IFERROR(IF(VALUE(MID($C357,2,20))&lt;100000000,VALUE(MID($C357,2,20)),1000000000),1000000000))+ROW()/100000,"")</f>
        <v/>
      </c>
    </row>
    <row r="358">
      <c r="J358" s="7" t="n"/>
      <c r="K358" s="7" t="n"/>
      <c r="R358" s="7">
        <f>IF($C358="","",Q358*AC358/100)</f>
        <v/>
      </c>
      <c r="S358" s="11" t="n"/>
      <c r="U358" s="11" t="n"/>
      <c r="AA358" s="7" t="n"/>
      <c r="AC358" s="7" t="n"/>
      <c r="AE358">
        <f>IF($C358="","",IF($AK358=1,Settings!$C$6,Settings!$C$7)*1)</f>
        <v/>
      </c>
      <c r="AF358" s="7">
        <f>IF($C358="","",AE358*AC358)</f>
        <v/>
      </c>
      <c r="AG358" s="7">
        <f>IF($C358="","",AC358-AF358)</f>
        <v/>
      </c>
      <c r="AH358" s="7">
        <f>IF($C358="","",AG358-R358)</f>
        <v/>
      </c>
      <c r="AI358">
        <f>IF($C358="","",IF(COUNTIF($C$2:$C358,$C358)=1,1,0))</f>
        <v/>
      </c>
      <c r="AJ358">
        <f>IF($AI358=1,SUMPRODUCT(--($AL$2:$AL$1501&lt;$AL358))+1,"")</f>
        <v/>
      </c>
      <c r="AK358">
        <f>IF($C358="","",IF(OR($AD358=TRUE(),$AD358="TRUE"),0,1))</f>
        <v/>
      </c>
      <c r="AL358">
        <f>IF($AI358=1,IFERROR(IF(VALUE($C358)&lt;100000000,VALUE($C358),1000000000),IFERROR(IF(VALUE(MID($C358,2,20))&lt;100000000,VALUE(MID($C358,2,20)),1000000000),1000000000))+ROW()/100000,"")</f>
        <v/>
      </c>
    </row>
    <row r="359">
      <c r="J359" s="7" t="n"/>
      <c r="K359" s="7" t="n"/>
      <c r="R359" s="7">
        <f>IF($C359="","",Q359*AC359/100)</f>
        <v/>
      </c>
      <c r="S359" s="11" t="n"/>
      <c r="U359" s="11" t="n"/>
      <c r="AA359" s="7" t="n"/>
      <c r="AC359" s="7" t="n"/>
      <c r="AE359">
        <f>IF($C359="","",IF($AK359=1,Settings!$C$6,Settings!$C$7)*1)</f>
        <v/>
      </c>
      <c r="AF359" s="7">
        <f>IF($C359="","",AE359*AC359)</f>
        <v/>
      </c>
      <c r="AG359" s="7">
        <f>IF($C359="","",AC359-AF359)</f>
        <v/>
      </c>
      <c r="AH359" s="7">
        <f>IF($C359="","",AG359-R359)</f>
        <v/>
      </c>
      <c r="AI359">
        <f>IF($C359="","",IF(COUNTIF($C$2:$C359,$C359)=1,1,0))</f>
        <v/>
      </c>
      <c r="AJ359">
        <f>IF($AI359=1,SUMPRODUCT(--($AL$2:$AL$1501&lt;$AL359))+1,"")</f>
        <v/>
      </c>
      <c r="AK359">
        <f>IF($C359="","",IF(OR($AD359=TRUE(),$AD359="TRUE"),0,1))</f>
        <v/>
      </c>
      <c r="AL359">
        <f>IF($AI359=1,IFERROR(IF(VALUE($C359)&lt;100000000,VALUE($C359),1000000000),IFERROR(IF(VALUE(MID($C359,2,20))&lt;100000000,VALUE(MID($C359,2,20)),1000000000),1000000000))+ROW()/100000,"")</f>
        <v/>
      </c>
    </row>
    <row r="360">
      <c r="J360" s="7" t="n"/>
      <c r="K360" s="7" t="n"/>
      <c r="R360" s="7">
        <f>IF($C360="","",Q360*AC360/100)</f>
        <v/>
      </c>
      <c r="S360" s="11" t="n"/>
      <c r="U360" s="11" t="n"/>
      <c r="AA360" s="7" t="n"/>
      <c r="AC360" s="7" t="n"/>
      <c r="AE360">
        <f>IF($C360="","",IF($AK360=1,Settings!$C$6,Settings!$C$7)*1)</f>
        <v/>
      </c>
      <c r="AF360" s="7">
        <f>IF($C360="","",AE360*AC360)</f>
        <v/>
      </c>
      <c r="AG360" s="7">
        <f>IF($C360="","",AC360-AF360)</f>
        <v/>
      </c>
      <c r="AH360" s="7">
        <f>IF($C360="","",AG360-R360)</f>
        <v/>
      </c>
      <c r="AI360">
        <f>IF($C360="","",IF(COUNTIF($C$2:$C360,$C360)=1,1,0))</f>
        <v/>
      </c>
      <c r="AJ360">
        <f>IF($AI360=1,SUMPRODUCT(--($AL$2:$AL$1501&lt;$AL360))+1,"")</f>
        <v/>
      </c>
      <c r="AK360">
        <f>IF($C360="","",IF(OR($AD360=TRUE(),$AD360="TRUE"),0,1))</f>
        <v/>
      </c>
      <c r="AL360">
        <f>IF($AI360=1,IFERROR(IF(VALUE($C360)&lt;100000000,VALUE($C360),1000000000),IFERROR(IF(VALUE(MID($C360,2,20))&lt;100000000,VALUE(MID($C360,2,20)),1000000000),1000000000))+ROW()/100000,"")</f>
        <v/>
      </c>
    </row>
    <row r="361">
      <c r="J361" s="7" t="n"/>
      <c r="K361" s="7" t="n"/>
      <c r="R361" s="7">
        <f>IF($C361="","",Q361*AC361/100)</f>
        <v/>
      </c>
      <c r="S361" s="11" t="n"/>
      <c r="U361" s="11" t="n"/>
      <c r="AA361" s="7" t="n"/>
      <c r="AC361" s="7" t="n"/>
      <c r="AE361">
        <f>IF($C361="","",IF($AK361=1,Settings!$C$6,Settings!$C$7)*1)</f>
        <v/>
      </c>
      <c r="AF361" s="7">
        <f>IF($C361="","",AE361*AC361)</f>
        <v/>
      </c>
      <c r="AG361" s="7">
        <f>IF($C361="","",AC361-AF361)</f>
        <v/>
      </c>
      <c r="AH361" s="7">
        <f>IF($C361="","",AG361-R361)</f>
        <v/>
      </c>
      <c r="AI361">
        <f>IF($C361="","",IF(COUNTIF($C$2:$C361,$C361)=1,1,0))</f>
        <v/>
      </c>
      <c r="AJ361">
        <f>IF($AI361=1,SUMPRODUCT(--($AL$2:$AL$1501&lt;$AL361))+1,"")</f>
        <v/>
      </c>
      <c r="AK361">
        <f>IF($C361="","",IF(OR($AD361=TRUE(),$AD361="TRUE"),0,1))</f>
        <v/>
      </c>
      <c r="AL361">
        <f>IF($AI361=1,IFERROR(IF(VALUE($C361)&lt;100000000,VALUE($C361),1000000000),IFERROR(IF(VALUE(MID($C361,2,20))&lt;100000000,VALUE(MID($C361,2,20)),1000000000),1000000000))+ROW()/100000,"")</f>
        <v/>
      </c>
    </row>
    <row r="362">
      <c r="J362" s="7" t="n"/>
      <c r="K362" s="7" t="n"/>
      <c r="R362" s="7">
        <f>IF($C362="","",Q362*AC362/100)</f>
        <v/>
      </c>
      <c r="S362" s="11" t="n"/>
      <c r="U362" s="11" t="n"/>
      <c r="AA362" s="7" t="n"/>
      <c r="AC362" s="7" t="n"/>
      <c r="AE362">
        <f>IF($C362="","",IF($AK362=1,Settings!$C$6,Settings!$C$7)*1)</f>
        <v/>
      </c>
      <c r="AF362" s="7">
        <f>IF($C362="","",AE362*AC362)</f>
        <v/>
      </c>
      <c r="AG362" s="7">
        <f>IF($C362="","",AC362-AF362)</f>
        <v/>
      </c>
      <c r="AH362" s="7">
        <f>IF($C362="","",AG362-R362)</f>
        <v/>
      </c>
      <c r="AI362">
        <f>IF($C362="","",IF(COUNTIF($C$2:$C362,$C362)=1,1,0))</f>
        <v/>
      </c>
      <c r="AJ362">
        <f>IF($AI362=1,SUMPRODUCT(--($AL$2:$AL$1501&lt;$AL362))+1,"")</f>
        <v/>
      </c>
      <c r="AK362">
        <f>IF($C362="","",IF(OR($AD362=TRUE(),$AD362="TRUE"),0,1))</f>
        <v/>
      </c>
      <c r="AL362">
        <f>IF($AI362=1,IFERROR(IF(VALUE($C362)&lt;100000000,VALUE($C362),1000000000),IFERROR(IF(VALUE(MID($C362,2,20))&lt;100000000,VALUE(MID($C362,2,20)),1000000000),1000000000))+ROW()/100000,"")</f>
        <v/>
      </c>
    </row>
    <row r="363">
      <c r="J363" s="7" t="n"/>
      <c r="K363" s="7" t="n"/>
      <c r="R363" s="7">
        <f>IF($C363="","",Q363*AC363/100)</f>
        <v/>
      </c>
      <c r="S363" s="11" t="n"/>
      <c r="U363" s="11" t="n"/>
      <c r="AA363" s="7" t="n"/>
      <c r="AC363" s="7" t="n"/>
      <c r="AE363">
        <f>IF($C363="","",IF($AK363=1,Settings!$C$6,Settings!$C$7)*1)</f>
        <v/>
      </c>
      <c r="AF363" s="7">
        <f>IF($C363="","",AE363*AC363)</f>
        <v/>
      </c>
      <c r="AG363" s="7">
        <f>IF($C363="","",AC363-AF363)</f>
        <v/>
      </c>
      <c r="AH363" s="7">
        <f>IF($C363="","",AG363-R363)</f>
        <v/>
      </c>
      <c r="AI363">
        <f>IF($C363="","",IF(COUNTIF($C$2:$C363,$C363)=1,1,0))</f>
        <v/>
      </c>
      <c r="AJ363">
        <f>IF($AI363=1,SUMPRODUCT(--($AL$2:$AL$1501&lt;$AL363))+1,"")</f>
        <v/>
      </c>
      <c r="AK363">
        <f>IF($C363="","",IF(OR($AD363=TRUE(),$AD363="TRUE"),0,1))</f>
        <v/>
      </c>
      <c r="AL363">
        <f>IF($AI363=1,IFERROR(IF(VALUE($C363)&lt;100000000,VALUE($C363),1000000000),IFERROR(IF(VALUE(MID($C363,2,20))&lt;100000000,VALUE(MID($C363,2,20)),1000000000),1000000000))+ROW()/100000,"")</f>
        <v/>
      </c>
    </row>
    <row r="364">
      <c r="J364" s="7" t="n"/>
      <c r="K364" s="7" t="n"/>
      <c r="R364" s="7">
        <f>IF($C364="","",Q364*AC364/100)</f>
        <v/>
      </c>
      <c r="S364" s="11" t="n"/>
      <c r="U364" s="11" t="n"/>
      <c r="AA364" s="7" t="n"/>
      <c r="AC364" s="7" t="n"/>
      <c r="AE364">
        <f>IF($C364="","",IF($AK364=1,Settings!$C$6,Settings!$C$7)*1)</f>
        <v/>
      </c>
      <c r="AF364" s="7">
        <f>IF($C364="","",AE364*AC364)</f>
        <v/>
      </c>
      <c r="AG364" s="7">
        <f>IF($C364="","",AC364-AF364)</f>
        <v/>
      </c>
      <c r="AH364" s="7">
        <f>IF($C364="","",AG364-R364)</f>
        <v/>
      </c>
      <c r="AI364">
        <f>IF($C364="","",IF(COUNTIF($C$2:$C364,$C364)=1,1,0))</f>
        <v/>
      </c>
      <c r="AJ364">
        <f>IF($AI364=1,SUMPRODUCT(--($AL$2:$AL$1501&lt;$AL364))+1,"")</f>
        <v/>
      </c>
      <c r="AK364">
        <f>IF($C364="","",IF(OR($AD364=TRUE(),$AD364="TRUE"),0,1))</f>
        <v/>
      </c>
      <c r="AL364">
        <f>IF($AI364=1,IFERROR(IF(VALUE($C364)&lt;100000000,VALUE($C364),1000000000),IFERROR(IF(VALUE(MID($C364,2,20))&lt;100000000,VALUE(MID($C364,2,20)),1000000000),1000000000))+ROW()/100000,"")</f>
        <v/>
      </c>
    </row>
    <row r="365">
      <c r="J365" s="7" t="n"/>
      <c r="K365" s="7" t="n"/>
      <c r="R365" s="7">
        <f>IF($C365="","",Q365*AC365/100)</f>
        <v/>
      </c>
      <c r="S365" s="11" t="n"/>
      <c r="U365" s="11" t="n"/>
      <c r="AA365" s="7" t="n"/>
      <c r="AC365" s="7" t="n"/>
      <c r="AE365">
        <f>IF($C365="","",IF($AK365=1,Settings!$C$6,Settings!$C$7)*1)</f>
        <v/>
      </c>
      <c r="AF365" s="7">
        <f>IF($C365="","",AE365*AC365)</f>
        <v/>
      </c>
      <c r="AG365" s="7">
        <f>IF($C365="","",AC365-AF365)</f>
        <v/>
      </c>
      <c r="AH365" s="7">
        <f>IF($C365="","",AG365-R365)</f>
        <v/>
      </c>
      <c r="AI365">
        <f>IF($C365="","",IF(COUNTIF($C$2:$C365,$C365)=1,1,0))</f>
        <v/>
      </c>
      <c r="AJ365">
        <f>IF($AI365=1,SUMPRODUCT(--($AL$2:$AL$1501&lt;$AL365))+1,"")</f>
        <v/>
      </c>
      <c r="AK365">
        <f>IF($C365="","",IF(OR($AD365=TRUE(),$AD365="TRUE"),0,1))</f>
        <v/>
      </c>
      <c r="AL365">
        <f>IF($AI365=1,IFERROR(IF(VALUE($C365)&lt;100000000,VALUE($C365),1000000000),IFERROR(IF(VALUE(MID($C365,2,20))&lt;100000000,VALUE(MID($C365,2,20)),1000000000),1000000000))+ROW()/100000,"")</f>
        <v/>
      </c>
    </row>
    <row r="366">
      <c r="J366" s="7" t="n"/>
      <c r="K366" s="7" t="n"/>
      <c r="R366" s="7">
        <f>IF($C366="","",Q366*AC366/100)</f>
        <v/>
      </c>
      <c r="S366" s="11" t="n"/>
      <c r="U366" s="11" t="n"/>
      <c r="AA366" s="7" t="n"/>
      <c r="AC366" s="7" t="n"/>
      <c r="AE366">
        <f>IF($C366="","",IF($AK366=1,Settings!$C$6,Settings!$C$7)*1)</f>
        <v/>
      </c>
      <c r="AF366" s="7">
        <f>IF($C366="","",AE366*AC366)</f>
        <v/>
      </c>
      <c r="AG366" s="7">
        <f>IF($C366="","",AC366-AF366)</f>
        <v/>
      </c>
      <c r="AH366" s="7">
        <f>IF($C366="","",AG366-R366)</f>
        <v/>
      </c>
      <c r="AI366">
        <f>IF($C366="","",IF(COUNTIF($C$2:$C366,$C366)=1,1,0))</f>
        <v/>
      </c>
      <c r="AJ366">
        <f>IF($AI366=1,SUMPRODUCT(--($AL$2:$AL$1501&lt;$AL366))+1,"")</f>
        <v/>
      </c>
      <c r="AK366">
        <f>IF($C366="","",IF(OR($AD366=TRUE(),$AD366="TRUE"),0,1))</f>
        <v/>
      </c>
      <c r="AL366">
        <f>IF($AI366=1,IFERROR(IF(VALUE($C366)&lt;100000000,VALUE($C366),1000000000),IFERROR(IF(VALUE(MID($C366,2,20))&lt;100000000,VALUE(MID($C366,2,20)),1000000000),1000000000))+ROW()/100000,"")</f>
        <v/>
      </c>
    </row>
    <row r="367">
      <c r="J367" s="7" t="n"/>
      <c r="K367" s="7" t="n"/>
      <c r="R367" s="7">
        <f>IF($C367="","",Q367*AC367/100)</f>
        <v/>
      </c>
      <c r="S367" s="11" t="n"/>
      <c r="U367" s="11" t="n"/>
      <c r="AA367" s="7" t="n"/>
      <c r="AC367" s="7" t="n"/>
      <c r="AE367">
        <f>IF($C367="","",IF($AK367=1,Settings!$C$6,Settings!$C$7)*1)</f>
        <v/>
      </c>
      <c r="AF367" s="7">
        <f>IF($C367="","",AE367*AC367)</f>
        <v/>
      </c>
      <c r="AG367" s="7">
        <f>IF($C367="","",AC367-AF367)</f>
        <v/>
      </c>
      <c r="AH367" s="7">
        <f>IF($C367="","",AG367-R367)</f>
        <v/>
      </c>
      <c r="AI367">
        <f>IF($C367="","",IF(COUNTIF($C$2:$C367,$C367)=1,1,0))</f>
        <v/>
      </c>
      <c r="AJ367">
        <f>IF($AI367=1,SUMPRODUCT(--($AL$2:$AL$1501&lt;$AL367))+1,"")</f>
        <v/>
      </c>
      <c r="AK367">
        <f>IF($C367="","",IF(OR($AD367=TRUE(),$AD367="TRUE"),0,1))</f>
        <v/>
      </c>
      <c r="AL367">
        <f>IF($AI367=1,IFERROR(IF(VALUE($C367)&lt;100000000,VALUE($C367),1000000000),IFERROR(IF(VALUE(MID($C367,2,20))&lt;100000000,VALUE(MID($C367,2,20)),1000000000),1000000000))+ROW()/100000,"")</f>
        <v/>
      </c>
    </row>
    <row r="368">
      <c r="J368" s="7" t="n"/>
      <c r="K368" s="7" t="n"/>
      <c r="R368" s="7">
        <f>IF($C368="","",Q368*AC368/100)</f>
        <v/>
      </c>
      <c r="S368" s="11" t="n"/>
      <c r="U368" s="11" t="n"/>
      <c r="AA368" s="7" t="n"/>
      <c r="AC368" s="7" t="n"/>
      <c r="AE368">
        <f>IF($C368="","",IF($AK368=1,Settings!$C$6,Settings!$C$7)*1)</f>
        <v/>
      </c>
      <c r="AF368" s="7">
        <f>IF($C368="","",AE368*AC368)</f>
        <v/>
      </c>
      <c r="AG368" s="7">
        <f>IF($C368="","",AC368-AF368)</f>
        <v/>
      </c>
      <c r="AH368" s="7">
        <f>IF($C368="","",AG368-R368)</f>
        <v/>
      </c>
      <c r="AI368">
        <f>IF($C368="","",IF(COUNTIF($C$2:$C368,$C368)=1,1,0))</f>
        <v/>
      </c>
      <c r="AJ368">
        <f>IF($AI368=1,SUMPRODUCT(--($AL$2:$AL$1501&lt;$AL368))+1,"")</f>
        <v/>
      </c>
      <c r="AK368">
        <f>IF($C368="","",IF(OR($AD368=TRUE(),$AD368="TRUE"),0,1))</f>
        <v/>
      </c>
      <c r="AL368">
        <f>IF($AI368=1,IFERROR(IF(VALUE($C368)&lt;100000000,VALUE($C368),1000000000),IFERROR(IF(VALUE(MID($C368,2,20))&lt;100000000,VALUE(MID($C368,2,20)),1000000000),1000000000))+ROW()/100000,"")</f>
        <v/>
      </c>
    </row>
    <row r="369">
      <c r="J369" s="7" t="n"/>
      <c r="K369" s="7" t="n"/>
      <c r="R369" s="7">
        <f>IF($C369="","",Q369*AC369/100)</f>
        <v/>
      </c>
      <c r="S369" s="11" t="n"/>
      <c r="U369" s="11" t="n"/>
      <c r="AA369" s="7" t="n"/>
      <c r="AC369" s="7" t="n"/>
      <c r="AE369">
        <f>IF($C369="","",IF($AK369=1,Settings!$C$6,Settings!$C$7)*1)</f>
        <v/>
      </c>
      <c r="AF369" s="7">
        <f>IF($C369="","",AE369*AC369)</f>
        <v/>
      </c>
      <c r="AG369" s="7">
        <f>IF($C369="","",AC369-AF369)</f>
        <v/>
      </c>
      <c r="AH369" s="7">
        <f>IF($C369="","",AG369-R369)</f>
        <v/>
      </c>
      <c r="AI369">
        <f>IF($C369="","",IF(COUNTIF($C$2:$C369,$C369)=1,1,0))</f>
        <v/>
      </c>
      <c r="AJ369">
        <f>IF($AI369=1,SUMPRODUCT(--($AL$2:$AL$1501&lt;$AL369))+1,"")</f>
        <v/>
      </c>
      <c r="AK369">
        <f>IF($C369="","",IF(OR($AD369=TRUE(),$AD369="TRUE"),0,1))</f>
        <v/>
      </c>
      <c r="AL369">
        <f>IF($AI369=1,IFERROR(IF(VALUE($C369)&lt;100000000,VALUE($C369),1000000000),IFERROR(IF(VALUE(MID($C369,2,20))&lt;100000000,VALUE(MID($C369,2,20)),1000000000),1000000000))+ROW()/100000,"")</f>
        <v/>
      </c>
    </row>
    <row r="370">
      <c r="J370" s="7" t="n"/>
      <c r="K370" s="7" t="n"/>
      <c r="R370" s="7">
        <f>IF($C370="","",Q370*AC370/100)</f>
        <v/>
      </c>
      <c r="S370" s="11" t="n"/>
      <c r="U370" s="11" t="n"/>
      <c r="AA370" s="7" t="n"/>
      <c r="AC370" s="7" t="n"/>
      <c r="AE370">
        <f>IF($C370="","",IF($AK370=1,Settings!$C$6,Settings!$C$7)*1)</f>
        <v/>
      </c>
      <c r="AF370" s="7">
        <f>IF($C370="","",AE370*AC370)</f>
        <v/>
      </c>
      <c r="AG370" s="7">
        <f>IF($C370="","",AC370-AF370)</f>
        <v/>
      </c>
      <c r="AH370" s="7">
        <f>IF($C370="","",AG370-R370)</f>
        <v/>
      </c>
      <c r="AI370">
        <f>IF($C370="","",IF(COUNTIF($C$2:$C370,$C370)=1,1,0))</f>
        <v/>
      </c>
      <c r="AJ370">
        <f>IF($AI370=1,SUMPRODUCT(--($AL$2:$AL$1501&lt;$AL370))+1,"")</f>
        <v/>
      </c>
      <c r="AK370">
        <f>IF($C370="","",IF(OR($AD370=TRUE(),$AD370="TRUE"),0,1))</f>
        <v/>
      </c>
      <c r="AL370">
        <f>IF($AI370=1,IFERROR(IF(VALUE($C370)&lt;100000000,VALUE($C370),1000000000),IFERROR(IF(VALUE(MID($C370,2,20))&lt;100000000,VALUE(MID($C370,2,20)),1000000000),1000000000))+ROW()/100000,"")</f>
        <v/>
      </c>
    </row>
    <row r="371">
      <c r="J371" s="7" t="n"/>
      <c r="K371" s="7" t="n"/>
      <c r="R371" s="7">
        <f>IF($C371="","",Q371*AC371/100)</f>
        <v/>
      </c>
      <c r="S371" s="11" t="n"/>
      <c r="U371" s="11" t="n"/>
      <c r="AA371" s="7" t="n"/>
      <c r="AC371" s="7" t="n"/>
      <c r="AE371">
        <f>IF($C371="","",IF($AK371=1,Settings!$C$6,Settings!$C$7)*1)</f>
        <v/>
      </c>
      <c r="AF371" s="7">
        <f>IF($C371="","",AE371*AC371)</f>
        <v/>
      </c>
      <c r="AG371" s="7">
        <f>IF($C371="","",AC371-AF371)</f>
        <v/>
      </c>
      <c r="AH371" s="7">
        <f>IF($C371="","",AG371-R371)</f>
        <v/>
      </c>
      <c r="AI371">
        <f>IF($C371="","",IF(COUNTIF($C$2:$C371,$C371)=1,1,0))</f>
        <v/>
      </c>
      <c r="AJ371">
        <f>IF($AI371=1,SUMPRODUCT(--($AL$2:$AL$1501&lt;$AL371))+1,"")</f>
        <v/>
      </c>
      <c r="AK371">
        <f>IF($C371="","",IF(OR($AD371=TRUE(),$AD371="TRUE"),0,1))</f>
        <v/>
      </c>
      <c r="AL371">
        <f>IF($AI371=1,IFERROR(IF(VALUE($C371)&lt;100000000,VALUE($C371),1000000000),IFERROR(IF(VALUE(MID($C371,2,20))&lt;100000000,VALUE(MID($C371,2,20)),1000000000),1000000000))+ROW()/100000,"")</f>
        <v/>
      </c>
    </row>
    <row r="372">
      <c r="J372" s="7" t="n"/>
      <c r="K372" s="7" t="n"/>
      <c r="R372" s="7">
        <f>IF($C372="","",Q372*AC372/100)</f>
        <v/>
      </c>
      <c r="S372" s="11" t="n"/>
      <c r="U372" s="11" t="n"/>
      <c r="AA372" s="7" t="n"/>
      <c r="AC372" s="7" t="n"/>
      <c r="AE372">
        <f>IF($C372="","",IF($AK372=1,Settings!$C$6,Settings!$C$7)*1)</f>
        <v/>
      </c>
      <c r="AF372" s="7">
        <f>IF($C372="","",AE372*AC372)</f>
        <v/>
      </c>
      <c r="AG372" s="7">
        <f>IF($C372="","",AC372-AF372)</f>
        <v/>
      </c>
      <c r="AH372" s="7">
        <f>IF($C372="","",AG372-R372)</f>
        <v/>
      </c>
      <c r="AI372">
        <f>IF($C372="","",IF(COUNTIF($C$2:$C372,$C372)=1,1,0))</f>
        <v/>
      </c>
      <c r="AJ372">
        <f>IF($AI372=1,SUMPRODUCT(--($AL$2:$AL$1501&lt;$AL372))+1,"")</f>
        <v/>
      </c>
      <c r="AK372">
        <f>IF($C372="","",IF(OR($AD372=TRUE(),$AD372="TRUE"),0,1))</f>
        <v/>
      </c>
      <c r="AL372">
        <f>IF($AI372=1,IFERROR(IF(VALUE($C372)&lt;100000000,VALUE($C372),1000000000),IFERROR(IF(VALUE(MID($C372,2,20))&lt;100000000,VALUE(MID($C372,2,20)),1000000000),1000000000))+ROW()/100000,"")</f>
        <v/>
      </c>
    </row>
    <row r="373">
      <c r="J373" s="7" t="n"/>
      <c r="K373" s="7" t="n"/>
      <c r="R373" s="7">
        <f>IF($C373="","",Q373*AC373/100)</f>
        <v/>
      </c>
      <c r="S373" s="11" t="n"/>
      <c r="U373" s="11" t="n"/>
      <c r="AA373" s="7" t="n"/>
      <c r="AC373" s="7" t="n"/>
      <c r="AE373">
        <f>IF($C373="","",IF($AK373=1,Settings!$C$6,Settings!$C$7)*1)</f>
        <v/>
      </c>
      <c r="AF373" s="7">
        <f>IF($C373="","",AE373*AC373)</f>
        <v/>
      </c>
      <c r="AG373" s="7">
        <f>IF($C373="","",AC373-AF373)</f>
        <v/>
      </c>
      <c r="AH373" s="7">
        <f>IF($C373="","",AG373-R373)</f>
        <v/>
      </c>
      <c r="AI373">
        <f>IF($C373="","",IF(COUNTIF($C$2:$C373,$C373)=1,1,0))</f>
        <v/>
      </c>
      <c r="AJ373">
        <f>IF($AI373=1,SUMPRODUCT(--($AL$2:$AL$1501&lt;$AL373))+1,"")</f>
        <v/>
      </c>
      <c r="AK373">
        <f>IF($C373="","",IF(OR($AD373=TRUE(),$AD373="TRUE"),0,1))</f>
        <v/>
      </c>
      <c r="AL373">
        <f>IF($AI373=1,IFERROR(IF(VALUE($C373)&lt;100000000,VALUE($C373),1000000000),IFERROR(IF(VALUE(MID($C373,2,20))&lt;100000000,VALUE(MID($C373,2,20)),1000000000),1000000000))+ROW()/100000,"")</f>
        <v/>
      </c>
    </row>
    <row r="374">
      <c r="J374" s="7" t="n"/>
      <c r="K374" s="7" t="n"/>
      <c r="R374" s="7">
        <f>IF($C374="","",Q374*AC374/100)</f>
        <v/>
      </c>
      <c r="S374" s="11" t="n"/>
      <c r="U374" s="11" t="n"/>
      <c r="AA374" s="7" t="n"/>
      <c r="AC374" s="7" t="n"/>
      <c r="AE374">
        <f>IF($C374="","",IF($AK374=1,Settings!$C$6,Settings!$C$7)*1)</f>
        <v/>
      </c>
      <c r="AF374" s="7">
        <f>IF($C374="","",AE374*AC374)</f>
        <v/>
      </c>
      <c r="AG374" s="7">
        <f>IF($C374="","",AC374-AF374)</f>
        <v/>
      </c>
      <c r="AH374" s="7">
        <f>IF($C374="","",AG374-R374)</f>
        <v/>
      </c>
      <c r="AI374">
        <f>IF($C374="","",IF(COUNTIF($C$2:$C374,$C374)=1,1,0))</f>
        <v/>
      </c>
      <c r="AJ374">
        <f>IF($AI374=1,SUMPRODUCT(--($AL$2:$AL$1501&lt;$AL374))+1,"")</f>
        <v/>
      </c>
      <c r="AK374">
        <f>IF($C374="","",IF(OR($AD374=TRUE(),$AD374="TRUE"),0,1))</f>
        <v/>
      </c>
      <c r="AL374">
        <f>IF($AI374=1,IFERROR(IF(VALUE($C374)&lt;100000000,VALUE($C374),1000000000),IFERROR(IF(VALUE(MID($C374,2,20))&lt;100000000,VALUE(MID($C374,2,20)),1000000000),1000000000))+ROW()/100000,"")</f>
        <v/>
      </c>
    </row>
    <row r="375">
      <c r="J375" s="7" t="n"/>
      <c r="K375" s="7" t="n"/>
      <c r="R375" s="7">
        <f>IF($C375="","",Q375*AC375/100)</f>
        <v/>
      </c>
      <c r="S375" s="11" t="n"/>
      <c r="U375" s="11" t="n"/>
      <c r="AA375" s="7" t="n"/>
      <c r="AC375" s="7" t="n"/>
      <c r="AE375">
        <f>IF($C375="","",IF($AK375=1,Settings!$C$6,Settings!$C$7)*1)</f>
        <v/>
      </c>
      <c r="AF375" s="7">
        <f>IF($C375="","",AE375*AC375)</f>
        <v/>
      </c>
      <c r="AG375" s="7">
        <f>IF($C375="","",AC375-AF375)</f>
        <v/>
      </c>
      <c r="AH375" s="7">
        <f>IF($C375="","",AG375-R375)</f>
        <v/>
      </c>
      <c r="AI375">
        <f>IF($C375="","",IF(COUNTIF($C$2:$C375,$C375)=1,1,0))</f>
        <v/>
      </c>
      <c r="AJ375">
        <f>IF($AI375=1,SUMPRODUCT(--($AL$2:$AL$1501&lt;$AL375))+1,"")</f>
        <v/>
      </c>
      <c r="AK375">
        <f>IF($C375="","",IF(OR($AD375=TRUE(),$AD375="TRUE"),0,1))</f>
        <v/>
      </c>
      <c r="AL375">
        <f>IF($AI375=1,IFERROR(IF(VALUE($C375)&lt;100000000,VALUE($C375),1000000000),IFERROR(IF(VALUE(MID($C375,2,20))&lt;100000000,VALUE(MID($C375,2,20)),1000000000),1000000000))+ROW()/100000,"")</f>
        <v/>
      </c>
    </row>
    <row r="376">
      <c r="J376" s="7" t="n"/>
      <c r="K376" s="7" t="n"/>
      <c r="R376" s="7">
        <f>IF($C376="","",Q376*AC376/100)</f>
        <v/>
      </c>
      <c r="S376" s="11" t="n"/>
      <c r="U376" s="11" t="n"/>
      <c r="AA376" s="7" t="n"/>
      <c r="AC376" s="7" t="n"/>
      <c r="AE376">
        <f>IF($C376="","",IF($AK376=1,Settings!$C$6,Settings!$C$7)*1)</f>
        <v/>
      </c>
      <c r="AF376" s="7">
        <f>IF($C376="","",AE376*AC376)</f>
        <v/>
      </c>
      <c r="AG376" s="7">
        <f>IF($C376="","",AC376-AF376)</f>
        <v/>
      </c>
      <c r="AH376" s="7">
        <f>IF($C376="","",AG376-R376)</f>
        <v/>
      </c>
      <c r="AI376">
        <f>IF($C376="","",IF(COUNTIF($C$2:$C376,$C376)=1,1,0))</f>
        <v/>
      </c>
      <c r="AJ376">
        <f>IF($AI376=1,SUMPRODUCT(--($AL$2:$AL$1501&lt;$AL376))+1,"")</f>
        <v/>
      </c>
      <c r="AK376">
        <f>IF($C376="","",IF(OR($AD376=TRUE(),$AD376="TRUE"),0,1))</f>
        <v/>
      </c>
      <c r="AL376">
        <f>IF($AI376=1,IFERROR(IF(VALUE($C376)&lt;100000000,VALUE($C376),1000000000),IFERROR(IF(VALUE(MID($C376,2,20))&lt;100000000,VALUE(MID($C376,2,20)),1000000000),1000000000))+ROW()/100000,"")</f>
        <v/>
      </c>
    </row>
    <row r="377">
      <c r="J377" s="7" t="n"/>
      <c r="K377" s="7" t="n"/>
      <c r="R377" s="7">
        <f>IF($C377="","",Q377*AC377/100)</f>
        <v/>
      </c>
      <c r="S377" s="11" t="n"/>
      <c r="U377" s="11" t="n"/>
      <c r="AA377" s="7" t="n"/>
      <c r="AC377" s="7" t="n"/>
      <c r="AE377">
        <f>IF($C377="","",IF($AK377=1,Settings!$C$6,Settings!$C$7)*1)</f>
        <v/>
      </c>
      <c r="AF377" s="7">
        <f>IF($C377="","",AE377*AC377)</f>
        <v/>
      </c>
      <c r="AG377" s="7">
        <f>IF($C377="","",AC377-AF377)</f>
        <v/>
      </c>
      <c r="AH377" s="7">
        <f>IF($C377="","",AG377-R377)</f>
        <v/>
      </c>
      <c r="AI377">
        <f>IF($C377="","",IF(COUNTIF($C$2:$C377,$C377)=1,1,0))</f>
        <v/>
      </c>
      <c r="AJ377">
        <f>IF($AI377=1,SUMPRODUCT(--($AL$2:$AL$1501&lt;$AL377))+1,"")</f>
        <v/>
      </c>
      <c r="AK377">
        <f>IF($C377="","",IF(OR($AD377=TRUE(),$AD377="TRUE"),0,1))</f>
        <v/>
      </c>
      <c r="AL377">
        <f>IF($AI377=1,IFERROR(IF(VALUE($C377)&lt;100000000,VALUE($C377),1000000000),IFERROR(IF(VALUE(MID($C377,2,20))&lt;100000000,VALUE(MID($C377,2,20)),1000000000),1000000000))+ROW()/100000,"")</f>
        <v/>
      </c>
    </row>
    <row r="378">
      <c r="J378" s="7" t="n"/>
      <c r="K378" s="7" t="n"/>
      <c r="R378" s="7">
        <f>IF($C378="","",Q378*AC378/100)</f>
        <v/>
      </c>
      <c r="S378" s="11" t="n"/>
      <c r="U378" s="11" t="n"/>
      <c r="AA378" s="7" t="n"/>
      <c r="AC378" s="7" t="n"/>
      <c r="AE378">
        <f>IF($C378="","",IF($AK378=1,Settings!$C$6,Settings!$C$7)*1)</f>
        <v/>
      </c>
      <c r="AF378" s="7">
        <f>IF($C378="","",AE378*AC378)</f>
        <v/>
      </c>
      <c r="AG378" s="7">
        <f>IF($C378="","",AC378-AF378)</f>
        <v/>
      </c>
      <c r="AH378" s="7">
        <f>IF($C378="","",AG378-R378)</f>
        <v/>
      </c>
      <c r="AI378">
        <f>IF($C378="","",IF(COUNTIF($C$2:$C378,$C378)=1,1,0))</f>
        <v/>
      </c>
      <c r="AJ378">
        <f>IF($AI378=1,SUMPRODUCT(--($AL$2:$AL$1501&lt;$AL378))+1,"")</f>
        <v/>
      </c>
      <c r="AK378">
        <f>IF($C378="","",IF(OR($AD378=TRUE(),$AD378="TRUE"),0,1))</f>
        <v/>
      </c>
      <c r="AL378">
        <f>IF($AI378=1,IFERROR(IF(VALUE($C378)&lt;100000000,VALUE($C378),1000000000),IFERROR(IF(VALUE(MID($C378,2,20))&lt;100000000,VALUE(MID($C378,2,20)),1000000000),1000000000))+ROW()/100000,"")</f>
        <v/>
      </c>
    </row>
    <row r="379">
      <c r="J379" s="7" t="n"/>
      <c r="K379" s="7" t="n"/>
      <c r="R379" s="7">
        <f>IF($C379="","",Q379*AC379/100)</f>
        <v/>
      </c>
      <c r="S379" s="11" t="n"/>
      <c r="U379" s="11" t="n"/>
      <c r="AA379" s="7" t="n"/>
      <c r="AC379" s="7" t="n"/>
      <c r="AE379">
        <f>IF($C379="","",IF($AK379=1,Settings!$C$6,Settings!$C$7)*1)</f>
        <v/>
      </c>
      <c r="AF379" s="7">
        <f>IF($C379="","",AE379*AC379)</f>
        <v/>
      </c>
      <c r="AG379" s="7">
        <f>IF($C379="","",AC379-AF379)</f>
        <v/>
      </c>
      <c r="AH379" s="7">
        <f>IF($C379="","",AG379-R379)</f>
        <v/>
      </c>
      <c r="AI379">
        <f>IF($C379="","",IF(COUNTIF($C$2:$C379,$C379)=1,1,0))</f>
        <v/>
      </c>
      <c r="AJ379">
        <f>IF($AI379=1,SUMPRODUCT(--($AL$2:$AL$1501&lt;$AL379))+1,"")</f>
        <v/>
      </c>
      <c r="AK379">
        <f>IF($C379="","",IF(OR($AD379=TRUE(),$AD379="TRUE"),0,1))</f>
        <v/>
      </c>
      <c r="AL379">
        <f>IF($AI379=1,IFERROR(IF(VALUE($C379)&lt;100000000,VALUE($C379),1000000000),IFERROR(IF(VALUE(MID($C379,2,20))&lt;100000000,VALUE(MID($C379,2,20)),1000000000),1000000000))+ROW()/100000,"")</f>
        <v/>
      </c>
    </row>
    <row r="380">
      <c r="J380" s="7" t="n"/>
      <c r="K380" s="7" t="n"/>
      <c r="R380" s="7">
        <f>IF($C380="","",Q380*AC380/100)</f>
        <v/>
      </c>
      <c r="S380" s="11" t="n"/>
      <c r="U380" s="11" t="n"/>
      <c r="AA380" s="7" t="n"/>
      <c r="AC380" s="7" t="n"/>
      <c r="AE380">
        <f>IF($C380="","",IF($AK380=1,Settings!$C$6,Settings!$C$7)*1)</f>
        <v/>
      </c>
      <c r="AF380" s="7">
        <f>IF($C380="","",AE380*AC380)</f>
        <v/>
      </c>
      <c r="AG380" s="7">
        <f>IF($C380="","",AC380-AF380)</f>
        <v/>
      </c>
      <c r="AH380" s="7">
        <f>IF($C380="","",AG380-R380)</f>
        <v/>
      </c>
      <c r="AI380">
        <f>IF($C380="","",IF(COUNTIF($C$2:$C380,$C380)=1,1,0))</f>
        <v/>
      </c>
      <c r="AJ380">
        <f>IF($AI380=1,SUMPRODUCT(--($AL$2:$AL$1501&lt;$AL380))+1,"")</f>
        <v/>
      </c>
      <c r="AK380">
        <f>IF($C380="","",IF(OR($AD380=TRUE(),$AD380="TRUE"),0,1))</f>
        <v/>
      </c>
      <c r="AL380">
        <f>IF($AI380=1,IFERROR(IF(VALUE($C380)&lt;100000000,VALUE($C380),1000000000),IFERROR(IF(VALUE(MID($C380,2,20))&lt;100000000,VALUE(MID($C380,2,20)),1000000000),1000000000))+ROW()/100000,"")</f>
        <v/>
      </c>
    </row>
    <row r="381">
      <c r="J381" s="7" t="n"/>
      <c r="K381" s="7" t="n"/>
      <c r="R381" s="7">
        <f>IF($C381="","",Q381*AC381/100)</f>
        <v/>
      </c>
      <c r="S381" s="11" t="n"/>
      <c r="U381" s="11" t="n"/>
      <c r="AA381" s="7" t="n"/>
      <c r="AC381" s="7" t="n"/>
      <c r="AE381">
        <f>IF($C381="","",IF($AK381=1,Settings!$C$6,Settings!$C$7)*1)</f>
        <v/>
      </c>
      <c r="AF381" s="7">
        <f>IF($C381="","",AE381*AC381)</f>
        <v/>
      </c>
      <c r="AG381" s="7">
        <f>IF($C381="","",AC381-AF381)</f>
        <v/>
      </c>
      <c r="AH381" s="7">
        <f>IF($C381="","",AG381-R381)</f>
        <v/>
      </c>
      <c r="AI381">
        <f>IF($C381="","",IF(COUNTIF($C$2:$C381,$C381)=1,1,0))</f>
        <v/>
      </c>
      <c r="AJ381">
        <f>IF($AI381=1,SUMPRODUCT(--($AL$2:$AL$1501&lt;$AL381))+1,"")</f>
        <v/>
      </c>
      <c r="AK381">
        <f>IF($C381="","",IF(OR($AD381=TRUE(),$AD381="TRUE"),0,1))</f>
        <v/>
      </c>
      <c r="AL381">
        <f>IF($AI381=1,IFERROR(IF(VALUE($C381)&lt;100000000,VALUE($C381),1000000000),IFERROR(IF(VALUE(MID($C381,2,20))&lt;100000000,VALUE(MID($C381,2,20)),1000000000),1000000000))+ROW()/100000,"")</f>
        <v/>
      </c>
    </row>
    <row r="382">
      <c r="J382" s="7" t="n"/>
      <c r="K382" s="7" t="n"/>
      <c r="R382" s="7">
        <f>IF($C382="","",Q382*AC382/100)</f>
        <v/>
      </c>
      <c r="S382" s="11" t="n"/>
      <c r="U382" s="11" t="n"/>
      <c r="AA382" s="7" t="n"/>
      <c r="AC382" s="7" t="n"/>
      <c r="AE382">
        <f>IF($C382="","",IF($AK382=1,Settings!$C$6,Settings!$C$7)*1)</f>
        <v/>
      </c>
      <c r="AF382" s="7">
        <f>IF($C382="","",AE382*AC382)</f>
        <v/>
      </c>
      <c r="AG382" s="7">
        <f>IF($C382="","",AC382-AF382)</f>
        <v/>
      </c>
      <c r="AH382" s="7">
        <f>IF($C382="","",AG382-R382)</f>
        <v/>
      </c>
      <c r="AI382">
        <f>IF($C382="","",IF(COUNTIF($C$2:$C382,$C382)=1,1,0))</f>
        <v/>
      </c>
      <c r="AJ382">
        <f>IF($AI382=1,SUMPRODUCT(--($AL$2:$AL$1501&lt;$AL382))+1,"")</f>
        <v/>
      </c>
      <c r="AK382">
        <f>IF($C382="","",IF(OR($AD382=TRUE(),$AD382="TRUE"),0,1))</f>
        <v/>
      </c>
      <c r="AL382">
        <f>IF($AI382=1,IFERROR(IF(VALUE($C382)&lt;100000000,VALUE($C382),1000000000),IFERROR(IF(VALUE(MID($C382,2,20))&lt;100000000,VALUE(MID($C382,2,20)),1000000000),1000000000))+ROW()/100000,"")</f>
        <v/>
      </c>
    </row>
    <row r="383">
      <c r="J383" s="7" t="n"/>
      <c r="K383" s="7" t="n"/>
      <c r="R383" s="7">
        <f>IF($C383="","",Q383*AC383/100)</f>
        <v/>
      </c>
      <c r="S383" s="11" t="n"/>
      <c r="U383" s="11" t="n"/>
      <c r="AA383" s="7" t="n"/>
      <c r="AC383" s="7" t="n"/>
      <c r="AE383">
        <f>IF($C383="","",IF($AK383=1,Settings!$C$6,Settings!$C$7)*1)</f>
        <v/>
      </c>
      <c r="AF383" s="7">
        <f>IF($C383="","",AE383*AC383)</f>
        <v/>
      </c>
      <c r="AG383" s="7">
        <f>IF($C383="","",AC383-AF383)</f>
        <v/>
      </c>
      <c r="AH383" s="7">
        <f>IF($C383="","",AG383-R383)</f>
        <v/>
      </c>
      <c r="AI383">
        <f>IF($C383="","",IF(COUNTIF($C$2:$C383,$C383)=1,1,0))</f>
        <v/>
      </c>
      <c r="AJ383">
        <f>IF($AI383=1,SUMPRODUCT(--($AL$2:$AL$1501&lt;$AL383))+1,"")</f>
        <v/>
      </c>
      <c r="AK383">
        <f>IF($C383="","",IF(OR($AD383=TRUE(),$AD383="TRUE"),0,1))</f>
        <v/>
      </c>
      <c r="AL383">
        <f>IF($AI383=1,IFERROR(IF(VALUE($C383)&lt;100000000,VALUE($C383),1000000000),IFERROR(IF(VALUE(MID($C383,2,20))&lt;100000000,VALUE(MID($C383,2,20)),1000000000),1000000000))+ROW()/100000,"")</f>
        <v/>
      </c>
    </row>
    <row r="384">
      <c r="J384" s="7" t="n"/>
      <c r="K384" s="7" t="n"/>
      <c r="R384" s="7">
        <f>IF($C384="","",Q384*AC384/100)</f>
        <v/>
      </c>
      <c r="S384" s="11" t="n"/>
      <c r="U384" s="11" t="n"/>
      <c r="AA384" s="7" t="n"/>
      <c r="AC384" s="7" t="n"/>
      <c r="AE384">
        <f>IF($C384="","",IF($AK384=1,Settings!$C$6,Settings!$C$7)*1)</f>
        <v/>
      </c>
      <c r="AF384" s="7">
        <f>IF($C384="","",AE384*AC384)</f>
        <v/>
      </c>
      <c r="AG384" s="7">
        <f>IF($C384="","",AC384-AF384)</f>
        <v/>
      </c>
      <c r="AH384" s="7">
        <f>IF($C384="","",AG384-R384)</f>
        <v/>
      </c>
      <c r="AI384">
        <f>IF($C384="","",IF(COUNTIF($C$2:$C384,$C384)=1,1,0))</f>
        <v/>
      </c>
      <c r="AJ384">
        <f>IF($AI384=1,SUMPRODUCT(--($AL$2:$AL$1501&lt;$AL384))+1,"")</f>
        <v/>
      </c>
      <c r="AK384">
        <f>IF($C384="","",IF(OR($AD384=TRUE(),$AD384="TRUE"),0,1))</f>
        <v/>
      </c>
      <c r="AL384">
        <f>IF($AI384=1,IFERROR(IF(VALUE($C384)&lt;100000000,VALUE($C384),1000000000),IFERROR(IF(VALUE(MID($C384,2,20))&lt;100000000,VALUE(MID($C384,2,20)),1000000000),1000000000))+ROW()/100000,"")</f>
        <v/>
      </c>
    </row>
    <row r="385">
      <c r="J385" s="7" t="n"/>
      <c r="K385" s="7" t="n"/>
      <c r="R385" s="7">
        <f>IF($C385="","",Q385*AC385/100)</f>
        <v/>
      </c>
      <c r="S385" s="11" t="n"/>
      <c r="U385" s="11" t="n"/>
      <c r="AA385" s="7" t="n"/>
      <c r="AC385" s="7" t="n"/>
      <c r="AE385">
        <f>IF($C385="","",IF($AK385=1,Settings!$C$6,Settings!$C$7)*1)</f>
        <v/>
      </c>
      <c r="AF385" s="7">
        <f>IF($C385="","",AE385*AC385)</f>
        <v/>
      </c>
      <c r="AG385" s="7">
        <f>IF($C385="","",AC385-AF385)</f>
        <v/>
      </c>
      <c r="AH385" s="7">
        <f>IF($C385="","",AG385-R385)</f>
        <v/>
      </c>
      <c r="AI385">
        <f>IF($C385="","",IF(COUNTIF($C$2:$C385,$C385)=1,1,0))</f>
        <v/>
      </c>
      <c r="AJ385">
        <f>IF($AI385=1,SUMPRODUCT(--($AL$2:$AL$1501&lt;$AL385))+1,"")</f>
        <v/>
      </c>
      <c r="AK385">
        <f>IF($C385="","",IF(OR($AD385=TRUE(),$AD385="TRUE"),0,1))</f>
        <v/>
      </c>
      <c r="AL385">
        <f>IF($AI385=1,IFERROR(IF(VALUE($C385)&lt;100000000,VALUE($C385),1000000000),IFERROR(IF(VALUE(MID($C385,2,20))&lt;100000000,VALUE(MID($C385,2,20)),1000000000),1000000000))+ROW()/100000,"")</f>
        <v/>
      </c>
    </row>
    <row r="386">
      <c r="J386" s="7" t="n"/>
      <c r="K386" s="7" t="n"/>
      <c r="R386" s="7">
        <f>IF($C386="","",Q386*AC386/100)</f>
        <v/>
      </c>
      <c r="S386" s="11" t="n"/>
      <c r="U386" s="11" t="n"/>
      <c r="AA386" s="7" t="n"/>
      <c r="AC386" s="7" t="n"/>
      <c r="AE386">
        <f>IF($C386="","",IF($AK386=1,Settings!$C$6,Settings!$C$7)*1)</f>
        <v/>
      </c>
      <c r="AF386" s="7">
        <f>IF($C386="","",AE386*AC386)</f>
        <v/>
      </c>
      <c r="AG386" s="7">
        <f>IF($C386="","",AC386-AF386)</f>
        <v/>
      </c>
      <c r="AH386" s="7">
        <f>IF($C386="","",AG386-R386)</f>
        <v/>
      </c>
      <c r="AI386">
        <f>IF($C386="","",IF(COUNTIF($C$2:$C386,$C386)=1,1,0))</f>
        <v/>
      </c>
      <c r="AJ386">
        <f>IF($AI386=1,SUMPRODUCT(--($AL$2:$AL$1501&lt;$AL386))+1,"")</f>
        <v/>
      </c>
      <c r="AK386">
        <f>IF($C386="","",IF(OR($AD386=TRUE(),$AD386="TRUE"),0,1))</f>
        <v/>
      </c>
      <c r="AL386">
        <f>IF($AI386=1,IFERROR(IF(VALUE($C386)&lt;100000000,VALUE($C386),1000000000),IFERROR(IF(VALUE(MID($C386,2,20))&lt;100000000,VALUE(MID($C386,2,20)),1000000000),1000000000))+ROW()/100000,"")</f>
        <v/>
      </c>
    </row>
    <row r="387">
      <c r="J387" s="7" t="n"/>
      <c r="K387" s="7" t="n"/>
      <c r="R387" s="7">
        <f>IF($C387="","",Q387*AC387/100)</f>
        <v/>
      </c>
      <c r="S387" s="11" t="n"/>
      <c r="U387" s="11" t="n"/>
      <c r="AA387" s="7" t="n"/>
      <c r="AC387" s="7" t="n"/>
      <c r="AE387">
        <f>IF($C387="","",IF($AK387=1,Settings!$C$6,Settings!$C$7)*1)</f>
        <v/>
      </c>
      <c r="AF387" s="7">
        <f>IF($C387="","",AE387*AC387)</f>
        <v/>
      </c>
      <c r="AG387" s="7">
        <f>IF($C387="","",AC387-AF387)</f>
        <v/>
      </c>
      <c r="AH387" s="7">
        <f>IF($C387="","",AG387-R387)</f>
        <v/>
      </c>
      <c r="AI387">
        <f>IF($C387="","",IF(COUNTIF($C$2:$C387,$C387)=1,1,0))</f>
        <v/>
      </c>
      <c r="AJ387">
        <f>IF($AI387=1,SUMPRODUCT(--($AL$2:$AL$1501&lt;$AL387))+1,"")</f>
        <v/>
      </c>
      <c r="AK387">
        <f>IF($C387="","",IF(OR($AD387=TRUE(),$AD387="TRUE"),0,1))</f>
        <v/>
      </c>
      <c r="AL387">
        <f>IF($AI387=1,IFERROR(IF(VALUE($C387)&lt;100000000,VALUE($C387),1000000000),IFERROR(IF(VALUE(MID($C387,2,20))&lt;100000000,VALUE(MID($C387,2,20)),1000000000),1000000000))+ROW()/100000,"")</f>
        <v/>
      </c>
    </row>
    <row r="388">
      <c r="J388" s="7" t="n"/>
      <c r="K388" s="7" t="n"/>
      <c r="R388" s="7">
        <f>IF($C388="","",Q388*AC388/100)</f>
        <v/>
      </c>
      <c r="S388" s="11" t="n"/>
      <c r="U388" s="11" t="n"/>
      <c r="AA388" s="7" t="n"/>
      <c r="AC388" s="7" t="n"/>
      <c r="AE388">
        <f>IF($C388="","",IF($AK388=1,Settings!$C$6,Settings!$C$7)*1)</f>
        <v/>
      </c>
      <c r="AF388" s="7">
        <f>IF($C388="","",AE388*AC388)</f>
        <v/>
      </c>
      <c r="AG388" s="7">
        <f>IF($C388="","",AC388-AF388)</f>
        <v/>
      </c>
      <c r="AH388" s="7">
        <f>IF($C388="","",AG388-R388)</f>
        <v/>
      </c>
      <c r="AI388">
        <f>IF($C388="","",IF(COUNTIF($C$2:$C388,$C388)=1,1,0))</f>
        <v/>
      </c>
      <c r="AJ388">
        <f>IF($AI388=1,SUMPRODUCT(--($AL$2:$AL$1501&lt;$AL388))+1,"")</f>
        <v/>
      </c>
      <c r="AK388">
        <f>IF($C388="","",IF(OR($AD388=TRUE(),$AD388="TRUE"),0,1))</f>
        <v/>
      </c>
      <c r="AL388">
        <f>IF($AI388=1,IFERROR(IF(VALUE($C388)&lt;100000000,VALUE($C388),1000000000),IFERROR(IF(VALUE(MID($C388,2,20))&lt;100000000,VALUE(MID($C388,2,20)),1000000000),1000000000))+ROW()/100000,"")</f>
        <v/>
      </c>
    </row>
    <row r="389">
      <c r="J389" s="7" t="n"/>
      <c r="K389" s="7" t="n"/>
      <c r="R389" s="7">
        <f>IF($C389="","",Q389*AC389/100)</f>
        <v/>
      </c>
      <c r="S389" s="11" t="n"/>
      <c r="U389" s="11" t="n"/>
      <c r="AA389" s="7" t="n"/>
      <c r="AC389" s="7" t="n"/>
      <c r="AE389">
        <f>IF($C389="","",IF($AK389=1,Settings!$C$6,Settings!$C$7)*1)</f>
        <v/>
      </c>
      <c r="AF389" s="7">
        <f>IF($C389="","",AE389*AC389)</f>
        <v/>
      </c>
      <c r="AG389" s="7">
        <f>IF($C389="","",AC389-AF389)</f>
        <v/>
      </c>
      <c r="AH389" s="7">
        <f>IF($C389="","",AG389-R389)</f>
        <v/>
      </c>
      <c r="AI389">
        <f>IF($C389="","",IF(COUNTIF($C$2:$C389,$C389)=1,1,0))</f>
        <v/>
      </c>
      <c r="AJ389">
        <f>IF($AI389=1,SUMPRODUCT(--($AL$2:$AL$1501&lt;$AL389))+1,"")</f>
        <v/>
      </c>
      <c r="AK389">
        <f>IF($C389="","",IF(OR($AD389=TRUE(),$AD389="TRUE"),0,1))</f>
        <v/>
      </c>
      <c r="AL389">
        <f>IF($AI389=1,IFERROR(IF(VALUE($C389)&lt;100000000,VALUE($C389),1000000000),IFERROR(IF(VALUE(MID($C389,2,20))&lt;100000000,VALUE(MID($C389,2,20)),1000000000),1000000000))+ROW()/100000,"")</f>
        <v/>
      </c>
    </row>
    <row r="390">
      <c r="J390" s="7" t="n"/>
      <c r="K390" s="7" t="n"/>
      <c r="R390" s="7">
        <f>IF($C390="","",Q390*AC390/100)</f>
        <v/>
      </c>
      <c r="S390" s="11" t="n"/>
      <c r="U390" s="11" t="n"/>
      <c r="AA390" s="7" t="n"/>
      <c r="AC390" s="7" t="n"/>
      <c r="AE390">
        <f>IF($C390="","",IF($AK390=1,Settings!$C$6,Settings!$C$7)*1)</f>
        <v/>
      </c>
      <c r="AF390" s="7">
        <f>IF($C390="","",AE390*AC390)</f>
        <v/>
      </c>
      <c r="AG390" s="7">
        <f>IF($C390="","",AC390-AF390)</f>
        <v/>
      </c>
      <c r="AH390" s="7">
        <f>IF($C390="","",AG390-R390)</f>
        <v/>
      </c>
      <c r="AI390">
        <f>IF($C390="","",IF(COUNTIF($C$2:$C390,$C390)=1,1,0))</f>
        <v/>
      </c>
      <c r="AJ390">
        <f>IF($AI390=1,SUMPRODUCT(--($AL$2:$AL$1501&lt;$AL390))+1,"")</f>
        <v/>
      </c>
      <c r="AK390">
        <f>IF($C390="","",IF(OR($AD390=TRUE(),$AD390="TRUE"),0,1))</f>
        <v/>
      </c>
      <c r="AL390">
        <f>IF($AI390=1,IFERROR(IF(VALUE($C390)&lt;100000000,VALUE($C390),1000000000),IFERROR(IF(VALUE(MID($C390,2,20))&lt;100000000,VALUE(MID($C390,2,20)),1000000000),1000000000))+ROW()/100000,"")</f>
        <v/>
      </c>
    </row>
    <row r="391">
      <c r="J391" s="7" t="n"/>
      <c r="K391" s="7" t="n"/>
      <c r="R391" s="7">
        <f>IF($C391="","",Q391*AC391/100)</f>
        <v/>
      </c>
      <c r="S391" s="11" t="n"/>
      <c r="U391" s="11" t="n"/>
      <c r="AA391" s="7" t="n"/>
      <c r="AC391" s="7" t="n"/>
      <c r="AE391">
        <f>IF($C391="","",IF($AK391=1,Settings!$C$6,Settings!$C$7)*1)</f>
        <v/>
      </c>
      <c r="AF391" s="7">
        <f>IF($C391="","",AE391*AC391)</f>
        <v/>
      </c>
      <c r="AG391" s="7">
        <f>IF($C391="","",AC391-AF391)</f>
        <v/>
      </c>
      <c r="AH391" s="7">
        <f>IF($C391="","",AG391-R391)</f>
        <v/>
      </c>
      <c r="AI391">
        <f>IF($C391="","",IF(COUNTIF($C$2:$C391,$C391)=1,1,0))</f>
        <v/>
      </c>
      <c r="AJ391">
        <f>IF($AI391=1,SUMPRODUCT(--($AL$2:$AL$1501&lt;$AL391))+1,"")</f>
        <v/>
      </c>
      <c r="AK391">
        <f>IF($C391="","",IF(OR($AD391=TRUE(),$AD391="TRUE"),0,1))</f>
        <v/>
      </c>
      <c r="AL391">
        <f>IF($AI391=1,IFERROR(IF(VALUE($C391)&lt;100000000,VALUE($C391),1000000000),IFERROR(IF(VALUE(MID($C391,2,20))&lt;100000000,VALUE(MID($C391,2,20)),1000000000),1000000000))+ROW()/100000,"")</f>
        <v/>
      </c>
    </row>
    <row r="392">
      <c r="J392" s="7" t="n"/>
      <c r="K392" s="7" t="n"/>
      <c r="R392" s="7">
        <f>IF($C392="","",Q392*AC392/100)</f>
        <v/>
      </c>
      <c r="S392" s="11" t="n"/>
      <c r="U392" s="11" t="n"/>
      <c r="AA392" s="7" t="n"/>
      <c r="AC392" s="7" t="n"/>
      <c r="AE392">
        <f>IF($C392="","",IF($AK392=1,Settings!$C$6,Settings!$C$7)*1)</f>
        <v/>
      </c>
      <c r="AF392" s="7">
        <f>IF($C392="","",AE392*AC392)</f>
        <v/>
      </c>
      <c r="AG392" s="7">
        <f>IF($C392="","",AC392-AF392)</f>
        <v/>
      </c>
      <c r="AH392" s="7">
        <f>IF($C392="","",AG392-R392)</f>
        <v/>
      </c>
      <c r="AI392">
        <f>IF($C392="","",IF(COUNTIF($C$2:$C392,$C392)=1,1,0))</f>
        <v/>
      </c>
      <c r="AJ392">
        <f>IF($AI392=1,SUMPRODUCT(--($AL$2:$AL$1501&lt;$AL392))+1,"")</f>
        <v/>
      </c>
      <c r="AK392">
        <f>IF($C392="","",IF(OR($AD392=TRUE(),$AD392="TRUE"),0,1))</f>
        <v/>
      </c>
      <c r="AL392">
        <f>IF($AI392=1,IFERROR(IF(VALUE($C392)&lt;100000000,VALUE($C392),1000000000),IFERROR(IF(VALUE(MID($C392,2,20))&lt;100000000,VALUE(MID($C392,2,20)),1000000000),1000000000))+ROW()/100000,"")</f>
        <v/>
      </c>
    </row>
    <row r="393">
      <c r="J393" s="7" t="n"/>
      <c r="K393" s="7" t="n"/>
      <c r="R393" s="7">
        <f>IF($C393="","",Q393*AC393/100)</f>
        <v/>
      </c>
      <c r="S393" s="11" t="n"/>
      <c r="U393" s="11" t="n"/>
      <c r="AA393" s="7" t="n"/>
      <c r="AC393" s="7" t="n"/>
      <c r="AE393">
        <f>IF($C393="","",IF($AK393=1,Settings!$C$6,Settings!$C$7)*1)</f>
        <v/>
      </c>
      <c r="AF393" s="7">
        <f>IF($C393="","",AE393*AC393)</f>
        <v/>
      </c>
      <c r="AG393" s="7">
        <f>IF($C393="","",AC393-AF393)</f>
        <v/>
      </c>
      <c r="AH393" s="7">
        <f>IF($C393="","",AG393-R393)</f>
        <v/>
      </c>
      <c r="AI393">
        <f>IF($C393="","",IF(COUNTIF($C$2:$C393,$C393)=1,1,0))</f>
        <v/>
      </c>
      <c r="AJ393">
        <f>IF($AI393=1,SUMPRODUCT(--($AL$2:$AL$1501&lt;$AL393))+1,"")</f>
        <v/>
      </c>
      <c r="AK393">
        <f>IF($C393="","",IF(OR($AD393=TRUE(),$AD393="TRUE"),0,1))</f>
        <v/>
      </c>
      <c r="AL393">
        <f>IF($AI393=1,IFERROR(IF(VALUE($C393)&lt;100000000,VALUE($C393),1000000000),IFERROR(IF(VALUE(MID($C393,2,20))&lt;100000000,VALUE(MID($C393,2,20)),1000000000),1000000000))+ROW()/100000,"")</f>
        <v/>
      </c>
    </row>
    <row r="394">
      <c r="J394" s="7" t="n"/>
      <c r="K394" s="7" t="n"/>
      <c r="R394" s="7">
        <f>IF($C394="","",Q394*AC394/100)</f>
        <v/>
      </c>
      <c r="S394" s="11" t="n"/>
      <c r="U394" s="11" t="n"/>
      <c r="AA394" s="7" t="n"/>
      <c r="AC394" s="7" t="n"/>
      <c r="AE394">
        <f>IF($C394="","",IF($AK394=1,Settings!$C$6,Settings!$C$7)*1)</f>
        <v/>
      </c>
      <c r="AF394" s="7">
        <f>IF($C394="","",AE394*AC394)</f>
        <v/>
      </c>
      <c r="AG394" s="7">
        <f>IF($C394="","",AC394-AF394)</f>
        <v/>
      </c>
      <c r="AH394" s="7">
        <f>IF($C394="","",AG394-R394)</f>
        <v/>
      </c>
      <c r="AI394">
        <f>IF($C394="","",IF(COUNTIF($C$2:$C394,$C394)=1,1,0))</f>
        <v/>
      </c>
      <c r="AJ394">
        <f>IF($AI394=1,SUMPRODUCT(--($AL$2:$AL$1501&lt;$AL394))+1,"")</f>
        <v/>
      </c>
      <c r="AK394">
        <f>IF($C394="","",IF(OR($AD394=TRUE(),$AD394="TRUE"),0,1))</f>
        <v/>
      </c>
      <c r="AL394">
        <f>IF($AI394=1,IFERROR(IF(VALUE($C394)&lt;100000000,VALUE($C394),1000000000),IFERROR(IF(VALUE(MID($C394,2,20))&lt;100000000,VALUE(MID($C394,2,20)),1000000000),1000000000))+ROW()/100000,"")</f>
        <v/>
      </c>
    </row>
    <row r="395">
      <c r="J395" s="7" t="n"/>
      <c r="K395" s="7" t="n"/>
      <c r="R395" s="7">
        <f>IF($C395="","",Q395*AC395/100)</f>
        <v/>
      </c>
      <c r="S395" s="11" t="n"/>
      <c r="U395" s="11" t="n"/>
      <c r="AA395" s="7" t="n"/>
      <c r="AC395" s="7" t="n"/>
      <c r="AE395">
        <f>IF($C395="","",IF($AK395=1,Settings!$C$6,Settings!$C$7)*1)</f>
        <v/>
      </c>
      <c r="AF395" s="7">
        <f>IF($C395="","",AE395*AC395)</f>
        <v/>
      </c>
      <c r="AG395" s="7">
        <f>IF($C395="","",AC395-AF395)</f>
        <v/>
      </c>
      <c r="AH395" s="7">
        <f>IF($C395="","",AG395-R395)</f>
        <v/>
      </c>
      <c r="AI395">
        <f>IF($C395="","",IF(COUNTIF($C$2:$C395,$C395)=1,1,0))</f>
        <v/>
      </c>
      <c r="AJ395">
        <f>IF($AI395=1,SUMPRODUCT(--($AL$2:$AL$1501&lt;$AL395))+1,"")</f>
        <v/>
      </c>
      <c r="AK395">
        <f>IF($C395="","",IF(OR($AD395=TRUE(),$AD395="TRUE"),0,1))</f>
        <v/>
      </c>
      <c r="AL395">
        <f>IF($AI395=1,IFERROR(IF(VALUE($C395)&lt;100000000,VALUE($C395),1000000000),IFERROR(IF(VALUE(MID($C395,2,20))&lt;100000000,VALUE(MID($C395,2,20)),1000000000),1000000000))+ROW()/100000,"")</f>
        <v/>
      </c>
    </row>
    <row r="396">
      <c r="J396" s="7" t="n"/>
      <c r="K396" s="7" t="n"/>
      <c r="R396" s="7">
        <f>IF($C396="","",Q396*AC396/100)</f>
        <v/>
      </c>
      <c r="S396" s="11" t="n"/>
      <c r="U396" s="11" t="n"/>
      <c r="AA396" s="7" t="n"/>
      <c r="AC396" s="7" t="n"/>
      <c r="AE396">
        <f>IF($C396="","",IF($AK396=1,Settings!$C$6,Settings!$C$7)*1)</f>
        <v/>
      </c>
      <c r="AF396" s="7">
        <f>IF($C396="","",AE396*AC396)</f>
        <v/>
      </c>
      <c r="AG396" s="7">
        <f>IF($C396="","",AC396-AF396)</f>
        <v/>
      </c>
      <c r="AH396" s="7">
        <f>IF($C396="","",AG396-R396)</f>
        <v/>
      </c>
      <c r="AI396">
        <f>IF($C396="","",IF(COUNTIF($C$2:$C396,$C396)=1,1,0))</f>
        <v/>
      </c>
      <c r="AJ396">
        <f>IF($AI396=1,SUMPRODUCT(--($AL$2:$AL$1501&lt;$AL396))+1,"")</f>
        <v/>
      </c>
      <c r="AK396">
        <f>IF($C396="","",IF(OR($AD396=TRUE(),$AD396="TRUE"),0,1))</f>
        <v/>
      </c>
      <c r="AL396">
        <f>IF($AI396=1,IFERROR(IF(VALUE($C396)&lt;100000000,VALUE($C396),1000000000),IFERROR(IF(VALUE(MID($C396,2,20))&lt;100000000,VALUE(MID($C396,2,20)),1000000000),1000000000))+ROW()/100000,"")</f>
        <v/>
      </c>
    </row>
    <row r="397">
      <c r="J397" s="7" t="n"/>
      <c r="K397" s="7" t="n"/>
      <c r="R397" s="7">
        <f>IF($C397="","",Q397*AC397/100)</f>
        <v/>
      </c>
      <c r="S397" s="11" t="n"/>
      <c r="U397" s="11" t="n"/>
      <c r="AA397" s="7" t="n"/>
      <c r="AC397" s="7" t="n"/>
      <c r="AE397">
        <f>IF($C397="","",IF($AK397=1,Settings!$C$6,Settings!$C$7)*1)</f>
        <v/>
      </c>
      <c r="AF397" s="7">
        <f>IF($C397="","",AE397*AC397)</f>
        <v/>
      </c>
      <c r="AG397" s="7">
        <f>IF($C397="","",AC397-AF397)</f>
        <v/>
      </c>
      <c r="AH397" s="7">
        <f>IF($C397="","",AG397-R397)</f>
        <v/>
      </c>
      <c r="AI397">
        <f>IF($C397="","",IF(COUNTIF($C$2:$C397,$C397)=1,1,0))</f>
        <v/>
      </c>
      <c r="AJ397">
        <f>IF($AI397=1,SUMPRODUCT(--($AL$2:$AL$1501&lt;$AL397))+1,"")</f>
        <v/>
      </c>
      <c r="AK397">
        <f>IF($C397="","",IF(OR($AD397=TRUE(),$AD397="TRUE"),0,1))</f>
        <v/>
      </c>
      <c r="AL397">
        <f>IF($AI397=1,IFERROR(IF(VALUE($C397)&lt;100000000,VALUE($C397),1000000000),IFERROR(IF(VALUE(MID($C397,2,20))&lt;100000000,VALUE(MID($C397,2,20)),1000000000),1000000000))+ROW()/100000,"")</f>
        <v/>
      </c>
    </row>
    <row r="398">
      <c r="J398" s="7" t="n"/>
      <c r="K398" s="7" t="n"/>
      <c r="R398" s="7">
        <f>IF($C398="","",Q398*AC398/100)</f>
        <v/>
      </c>
      <c r="S398" s="11" t="n"/>
      <c r="U398" s="11" t="n"/>
      <c r="AA398" s="7" t="n"/>
      <c r="AC398" s="7" t="n"/>
      <c r="AE398">
        <f>IF($C398="","",IF($AK398=1,Settings!$C$6,Settings!$C$7)*1)</f>
        <v/>
      </c>
      <c r="AF398" s="7">
        <f>IF($C398="","",AE398*AC398)</f>
        <v/>
      </c>
      <c r="AG398" s="7">
        <f>IF($C398="","",AC398-AF398)</f>
        <v/>
      </c>
      <c r="AH398" s="7">
        <f>IF($C398="","",AG398-R398)</f>
        <v/>
      </c>
      <c r="AI398">
        <f>IF($C398="","",IF(COUNTIF($C$2:$C398,$C398)=1,1,0))</f>
        <v/>
      </c>
      <c r="AJ398">
        <f>IF($AI398=1,SUMPRODUCT(--($AL$2:$AL$1501&lt;$AL398))+1,"")</f>
        <v/>
      </c>
      <c r="AK398">
        <f>IF($C398="","",IF(OR($AD398=TRUE(),$AD398="TRUE"),0,1))</f>
        <v/>
      </c>
      <c r="AL398">
        <f>IF($AI398=1,IFERROR(IF(VALUE($C398)&lt;100000000,VALUE($C398),1000000000),IFERROR(IF(VALUE(MID($C398,2,20))&lt;100000000,VALUE(MID($C398,2,20)),1000000000),1000000000))+ROW()/100000,"")</f>
        <v/>
      </c>
    </row>
    <row r="399">
      <c r="J399" s="7" t="n"/>
      <c r="K399" s="7" t="n"/>
      <c r="R399" s="7">
        <f>IF($C399="","",Q399*AC399/100)</f>
        <v/>
      </c>
      <c r="S399" s="11" t="n"/>
      <c r="U399" s="11" t="n"/>
      <c r="AA399" s="7" t="n"/>
      <c r="AC399" s="7" t="n"/>
      <c r="AE399">
        <f>IF($C399="","",IF($AK399=1,Settings!$C$6,Settings!$C$7)*1)</f>
        <v/>
      </c>
      <c r="AF399" s="7">
        <f>IF($C399="","",AE399*AC399)</f>
        <v/>
      </c>
      <c r="AG399" s="7">
        <f>IF($C399="","",AC399-AF399)</f>
        <v/>
      </c>
      <c r="AH399" s="7">
        <f>IF($C399="","",AG399-R399)</f>
        <v/>
      </c>
      <c r="AI399">
        <f>IF($C399="","",IF(COUNTIF($C$2:$C399,$C399)=1,1,0))</f>
        <v/>
      </c>
      <c r="AJ399">
        <f>IF($AI399=1,SUMPRODUCT(--($AL$2:$AL$1501&lt;$AL399))+1,"")</f>
        <v/>
      </c>
      <c r="AK399">
        <f>IF($C399="","",IF(OR($AD399=TRUE(),$AD399="TRUE"),0,1))</f>
        <v/>
      </c>
      <c r="AL399">
        <f>IF($AI399=1,IFERROR(IF(VALUE($C399)&lt;100000000,VALUE($C399),1000000000),IFERROR(IF(VALUE(MID($C399,2,20))&lt;100000000,VALUE(MID($C399,2,20)),1000000000),1000000000))+ROW()/100000,"")</f>
        <v/>
      </c>
    </row>
    <row r="400">
      <c r="J400" s="7" t="n"/>
      <c r="K400" s="7" t="n"/>
      <c r="R400" s="7">
        <f>IF($C400="","",Q400*AC400/100)</f>
        <v/>
      </c>
      <c r="S400" s="11" t="n"/>
      <c r="U400" s="11" t="n"/>
      <c r="AA400" s="7" t="n"/>
      <c r="AC400" s="7" t="n"/>
      <c r="AE400">
        <f>IF($C400="","",IF($AK400=1,Settings!$C$6,Settings!$C$7)*1)</f>
        <v/>
      </c>
      <c r="AF400" s="7">
        <f>IF($C400="","",AE400*AC400)</f>
        <v/>
      </c>
      <c r="AG400" s="7">
        <f>IF($C400="","",AC400-AF400)</f>
        <v/>
      </c>
      <c r="AH400" s="7">
        <f>IF($C400="","",AG400-R400)</f>
        <v/>
      </c>
      <c r="AI400">
        <f>IF($C400="","",IF(COUNTIF($C$2:$C400,$C400)=1,1,0))</f>
        <v/>
      </c>
      <c r="AJ400">
        <f>IF($AI400=1,SUMPRODUCT(--($AL$2:$AL$1501&lt;$AL400))+1,"")</f>
        <v/>
      </c>
      <c r="AK400">
        <f>IF($C400="","",IF(OR($AD400=TRUE(),$AD400="TRUE"),0,1))</f>
        <v/>
      </c>
      <c r="AL400">
        <f>IF($AI400=1,IFERROR(IF(VALUE($C400)&lt;100000000,VALUE($C400),1000000000),IFERROR(IF(VALUE(MID($C400,2,20))&lt;100000000,VALUE(MID($C400,2,20)),1000000000),1000000000))+ROW()/100000,"")</f>
        <v/>
      </c>
    </row>
    <row r="401">
      <c r="J401" s="7" t="n"/>
      <c r="K401" s="7" t="n"/>
      <c r="R401" s="7">
        <f>IF($C401="","",Q401*AC401/100)</f>
        <v/>
      </c>
      <c r="S401" s="11" t="n"/>
      <c r="U401" s="11" t="n"/>
      <c r="AA401" s="7" t="n"/>
      <c r="AC401" s="7" t="n"/>
      <c r="AE401">
        <f>IF($C401="","",IF($AK401=1,Settings!$C$6,Settings!$C$7)*1)</f>
        <v/>
      </c>
      <c r="AF401" s="7">
        <f>IF($C401="","",AE401*AC401)</f>
        <v/>
      </c>
      <c r="AG401" s="7">
        <f>IF($C401="","",AC401-AF401)</f>
        <v/>
      </c>
      <c r="AH401" s="7">
        <f>IF($C401="","",AG401-R401)</f>
        <v/>
      </c>
      <c r="AI401">
        <f>IF($C401="","",IF(COUNTIF($C$2:$C401,$C401)=1,1,0))</f>
        <v/>
      </c>
      <c r="AJ401">
        <f>IF($AI401=1,SUMPRODUCT(--($AL$2:$AL$1501&lt;$AL401))+1,"")</f>
        <v/>
      </c>
      <c r="AK401">
        <f>IF($C401="","",IF(OR($AD401=TRUE(),$AD401="TRUE"),0,1))</f>
        <v/>
      </c>
      <c r="AL401">
        <f>IF($AI401=1,IFERROR(IF(VALUE($C401)&lt;100000000,VALUE($C401),1000000000),IFERROR(IF(VALUE(MID($C401,2,20))&lt;100000000,VALUE(MID($C401,2,20)),1000000000),1000000000))+ROW()/100000,"")</f>
        <v/>
      </c>
    </row>
    <row r="402">
      <c r="J402" s="7" t="n"/>
      <c r="K402" s="7" t="n"/>
      <c r="R402" s="7">
        <f>IF($C402="","",Q402*AC402/100)</f>
        <v/>
      </c>
      <c r="S402" s="11" t="n"/>
      <c r="U402" s="11" t="n"/>
      <c r="AA402" s="7" t="n"/>
      <c r="AC402" s="7" t="n"/>
      <c r="AE402">
        <f>IF($C402="","",IF($AK402=1,Settings!$C$6,Settings!$C$7)*1)</f>
        <v/>
      </c>
      <c r="AF402" s="7">
        <f>IF($C402="","",AE402*AC402)</f>
        <v/>
      </c>
      <c r="AG402" s="7">
        <f>IF($C402="","",AC402-AF402)</f>
        <v/>
      </c>
      <c r="AH402" s="7">
        <f>IF($C402="","",AG402-R402)</f>
        <v/>
      </c>
      <c r="AI402">
        <f>IF($C402="","",IF(COUNTIF($C$2:$C402,$C402)=1,1,0))</f>
        <v/>
      </c>
      <c r="AJ402">
        <f>IF($AI402=1,SUMPRODUCT(--($AL$2:$AL$1501&lt;$AL402))+1,"")</f>
        <v/>
      </c>
      <c r="AK402">
        <f>IF($C402="","",IF(OR($AD402=TRUE(),$AD402="TRUE"),0,1))</f>
        <v/>
      </c>
      <c r="AL402">
        <f>IF($AI402=1,IFERROR(IF(VALUE($C402)&lt;100000000,VALUE($C402),1000000000),IFERROR(IF(VALUE(MID($C402,2,20))&lt;100000000,VALUE(MID($C402,2,20)),1000000000),1000000000))+ROW()/100000,"")</f>
        <v/>
      </c>
    </row>
    <row r="403">
      <c r="J403" s="7" t="n"/>
      <c r="K403" s="7" t="n"/>
      <c r="R403" s="7">
        <f>IF($C403="","",Q403*AC403/100)</f>
        <v/>
      </c>
      <c r="S403" s="11" t="n"/>
      <c r="U403" s="11" t="n"/>
      <c r="AA403" s="7" t="n"/>
      <c r="AC403" s="7" t="n"/>
      <c r="AE403">
        <f>IF($C403="","",IF($AK403=1,Settings!$C$6,Settings!$C$7)*1)</f>
        <v/>
      </c>
      <c r="AF403" s="7">
        <f>IF($C403="","",AE403*AC403)</f>
        <v/>
      </c>
      <c r="AG403" s="7">
        <f>IF($C403="","",AC403-AF403)</f>
        <v/>
      </c>
      <c r="AH403" s="7">
        <f>IF($C403="","",AG403-R403)</f>
        <v/>
      </c>
      <c r="AI403">
        <f>IF($C403="","",IF(COUNTIF($C$2:$C403,$C403)=1,1,0))</f>
        <v/>
      </c>
      <c r="AJ403">
        <f>IF($AI403=1,SUMPRODUCT(--($AL$2:$AL$1501&lt;$AL403))+1,"")</f>
        <v/>
      </c>
      <c r="AK403">
        <f>IF($C403="","",IF(OR($AD403=TRUE(),$AD403="TRUE"),0,1))</f>
        <v/>
      </c>
      <c r="AL403">
        <f>IF($AI403=1,IFERROR(IF(VALUE($C403)&lt;100000000,VALUE($C403),1000000000),IFERROR(IF(VALUE(MID($C403,2,20))&lt;100000000,VALUE(MID($C403,2,20)),1000000000),1000000000))+ROW()/100000,"")</f>
        <v/>
      </c>
    </row>
    <row r="404">
      <c r="J404" s="7" t="n"/>
      <c r="K404" s="7" t="n"/>
      <c r="R404" s="7">
        <f>IF($C404="","",Q404*AC404/100)</f>
        <v/>
      </c>
      <c r="S404" s="11" t="n"/>
      <c r="U404" s="11" t="n"/>
      <c r="AA404" s="7" t="n"/>
      <c r="AC404" s="7" t="n"/>
      <c r="AE404">
        <f>IF($C404="","",IF($AK404=1,Settings!$C$6,Settings!$C$7)*1)</f>
        <v/>
      </c>
      <c r="AF404" s="7">
        <f>IF($C404="","",AE404*AC404)</f>
        <v/>
      </c>
      <c r="AG404" s="7">
        <f>IF($C404="","",AC404-AF404)</f>
        <v/>
      </c>
      <c r="AH404" s="7">
        <f>IF($C404="","",AG404-R404)</f>
        <v/>
      </c>
      <c r="AI404">
        <f>IF($C404="","",IF(COUNTIF($C$2:$C404,$C404)=1,1,0))</f>
        <v/>
      </c>
      <c r="AJ404">
        <f>IF($AI404=1,SUMPRODUCT(--($AL$2:$AL$1501&lt;$AL404))+1,"")</f>
        <v/>
      </c>
      <c r="AK404">
        <f>IF($C404="","",IF(OR($AD404=TRUE(),$AD404="TRUE"),0,1))</f>
        <v/>
      </c>
      <c r="AL404">
        <f>IF($AI404=1,IFERROR(IF(VALUE($C404)&lt;100000000,VALUE($C404),1000000000),IFERROR(IF(VALUE(MID($C404,2,20))&lt;100000000,VALUE(MID($C404,2,20)),1000000000),1000000000))+ROW()/100000,"")</f>
        <v/>
      </c>
    </row>
    <row r="405">
      <c r="J405" s="7" t="n"/>
      <c r="K405" s="7" t="n"/>
      <c r="R405" s="7">
        <f>IF($C405="","",Q405*AC405/100)</f>
        <v/>
      </c>
      <c r="S405" s="11" t="n"/>
      <c r="U405" s="11" t="n"/>
      <c r="AA405" s="7" t="n"/>
      <c r="AC405" s="7" t="n"/>
      <c r="AE405">
        <f>IF($C405="","",IF($AK405=1,Settings!$C$6,Settings!$C$7)*1)</f>
        <v/>
      </c>
      <c r="AF405" s="7">
        <f>IF($C405="","",AE405*AC405)</f>
        <v/>
      </c>
      <c r="AG405" s="7">
        <f>IF($C405="","",AC405-AF405)</f>
        <v/>
      </c>
      <c r="AH405" s="7">
        <f>IF($C405="","",AG405-R405)</f>
        <v/>
      </c>
      <c r="AI405">
        <f>IF($C405="","",IF(COUNTIF($C$2:$C405,$C405)=1,1,0))</f>
        <v/>
      </c>
      <c r="AJ405">
        <f>IF($AI405=1,SUMPRODUCT(--($AL$2:$AL$1501&lt;$AL405))+1,"")</f>
        <v/>
      </c>
      <c r="AK405">
        <f>IF($C405="","",IF(OR($AD405=TRUE(),$AD405="TRUE"),0,1))</f>
        <v/>
      </c>
      <c r="AL405">
        <f>IF($AI405=1,IFERROR(IF(VALUE($C405)&lt;100000000,VALUE($C405),1000000000),IFERROR(IF(VALUE(MID($C405,2,20))&lt;100000000,VALUE(MID($C405,2,20)),1000000000),1000000000))+ROW()/100000,"")</f>
        <v/>
      </c>
    </row>
    <row r="406">
      <c r="J406" s="7" t="n"/>
      <c r="K406" s="7" t="n"/>
      <c r="R406" s="7">
        <f>IF($C406="","",Q406*AC406/100)</f>
        <v/>
      </c>
      <c r="S406" s="11" t="n"/>
      <c r="U406" s="11" t="n"/>
      <c r="AA406" s="7" t="n"/>
      <c r="AC406" s="7" t="n"/>
      <c r="AE406">
        <f>IF($C406="","",IF($AK406=1,Settings!$C$6,Settings!$C$7)*1)</f>
        <v/>
      </c>
      <c r="AF406" s="7">
        <f>IF($C406="","",AE406*AC406)</f>
        <v/>
      </c>
      <c r="AG406" s="7">
        <f>IF($C406="","",AC406-AF406)</f>
        <v/>
      </c>
      <c r="AH406" s="7">
        <f>IF($C406="","",AG406-R406)</f>
        <v/>
      </c>
      <c r="AI406">
        <f>IF($C406="","",IF(COUNTIF($C$2:$C406,$C406)=1,1,0))</f>
        <v/>
      </c>
      <c r="AJ406">
        <f>IF($AI406=1,SUMPRODUCT(--($AL$2:$AL$1501&lt;$AL406))+1,"")</f>
        <v/>
      </c>
      <c r="AK406">
        <f>IF($C406="","",IF(OR($AD406=TRUE(),$AD406="TRUE"),0,1))</f>
        <v/>
      </c>
      <c r="AL406">
        <f>IF($AI406=1,IFERROR(IF(VALUE($C406)&lt;100000000,VALUE($C406),1000000000),IFERROR(IF(VALUE(MID($C406,2,20))&lt;100000000,VALUE(MID($C406,2,20)),1000000000),1000000000))+ROW()/100000,"")</f>
        <v/>
      </c>
    </row>
    <row r="407">
      <c r="J407" s="7" t="n"/>
      <c r="K407" s="7" t="n"/>
      <c r="R407" s="7">
        <f>IF($C407="","",Q407*AC407/100)</f>
        <v/>
      </c>
      <c r="S407" s="11" t="n"/>
      <c r="U407" s="11" t="n"/>
      <c r="AA407" s="7" t="n"/>
      <c r="AC407" s="7" t="n"/>
      <c r="AE407">
        <f>IF($C407="","",IF($AK407=1,Settings!$C$6,Settings!$C$7)*1)</f>
        <v/>
      </c>
      <c r="AF407" s="7">
        <f>IF($C407="","",AE407*AC407)</f>
        <v/>
      </c>
      <c r="AG407" s="7">
        <f>IF($C407="","",AC407-AF407)</f>
        <v/>
      </c>
      <c r="AH407" s="7">
        <f>IF($C407="","",AG407-R407)</f>
        <v/>
      </c>
      <c r="AI407">
        <f>IF($C407="","",IF(COUNTIF($C$2:$C407,$C407)=1,1,0))</f>
        <v/>
      </c>
      <c r="AJ407">
        <f>IF($AI407=1,SUMPRODUCT(--($AL$2:$AL$1501&lt;$AL407))+1,"")</f>
        <v/>
      </c>
      <c r="AK407">
        <f>IF($C407="","",IF(OR($AD407=TRUE(),$AD407="TRUE"),0,1))</f>
        <v/>
      </c>
      <c r="AL407">
        <f>IF($AI407=1,IFERROR(IF(VALUE($C407)&lt;100000000,VALUE($C407),1000000000),IFERROR(IF(VALUE(MID($C407,2,20))&lt;100000000,VALUE(MID($C407,2,20)),1000000000),1000000000))+ROW()/100000,"")</f>
        <v/>
      </c>
    </row>
    <row r="408">
      <c r="J408" s="7" t="n"/>
      <c r="K408" s="7" t="n"/>
      <c r="R408" s="7">
        <f>IF($C408="","",Q408*AC408/100)</f>
        <v/>
      </c>
      <c r="S408" s="11" t="n"/>
      <c r="U408" s="11" t="n"/>
      <c r="AA408" s="7" t="n"/>
      <c r="AC408" s="7" t="n"/>
      <c r="AE408">
        <f>IF($C408="","",IF($AK408=1,Settings!$C$6,Settings!$C$7)*1)</f>
        <v/>
      </c>
      <c r="AF408" s="7">
        <f>IF($C408="","",AE408*AC408)</f>
        <v/>
      </c>
      <c r="AG408" s="7">
        <f>IF($C408="","",AC408-AF408)</f>
        <v/>
      </c>
      <c r="AH408" s="7">
        <f>IF($C408="","",AG408-R408)</f>
        <v/>
      </c>
      <c r="AI408">
        <f>IF($C408="","",IF(COUNTIF($C$2:$C408,$C408)=1,1,0))</f>
        <v/>
      </c>
      <c r="AJ408">
        <f>IF($AI408=1,SUMPRODUCT(--($AL$2:$AL$1501&lt;$AL408))+1,"")</f>
        <v/>
      </c>
      <c r="AK408">
        <f>IF($C408="","",IF(OR($AD408=TRUE(),$AD408="TRUE"),0,1))</f>
        <v/>
      </c>
      <c r="AL408">
        <f>IF($AI408=1,IFERROR(IF(VALUE($C408)&lt;100000000,VALUE($C408),1000000000),IFERROR(IF(VALUE(MID($C408,2,20))&lt;100000000,VALUE(MID($C408,2,20)),1000000000),1000000000))+ROW()/100000,"")</f>
        <v/>
      </c>
    </row>
    <row r="409">
      <c r="J409" s="7" t="n"/>
      <c r="K409" s="7" t="n"/>
      <c r="R409" s="7">
        <f>IF($C409="","",Q409*AC409/100)</f>
        <v/>
      </c>
      <c r="S409" s="11" t="n"/>
      <c r="U409" s="11" t="n"/>
      <c r="AA409" s="7" t="n"/>
      <c r="AC409" s="7" t="n"/>
      <c r="AE409">
        <f>IF($C409="","",IF($AK409=1,Settings!$C$6,Settings!$C$7)*1)</f>
        <v/>
      </c>
      <c r="AF409" s="7">
        <f>IF($C409="","",AE409*AC409)</f>
        <v/>
      </c>
      <c r="AG409" s="7">
        <f>IF($C409="","",AC409-AF409)</f>
        <v/>
      </c>
      <c r="AH409" s="7">
        <f>IF($C409="","",AG409-R409)</f>
        <v/>
      </c>
      <c r="AI409">
        <f>IF($C409="","",IF(COUNTIF($C$2:$C409,$C409)=1,1,0))</f>
        <v/>
      </c>
      <c r="AJ409">
        <f>IF($AI409=1,SUMPRODUCT(--($AL$2:$AL$1501&lt;$AL409))+1,"")</f>
        <v/>
      </c>
      <c r="AK409">
        <f>IF($C409="","",IF(OR($AD409=TRUE(),$AD409="TRUE"),0,1))</f>
        <v/>
      </c>
      <c r="AL409">
        <f>IF($AI409=1,IFERROR(IF(VALUE($C409)&lt;100000000,VALUE($C409),1000000000),IFERROR(IF(VALUE(MID($C409,2,20))&lt;100000000,VALUE(MID($C409,2,20)),1000000000),1000000000))+ROW()/100000,"")</f>
        <v/>
      </c>
    </row>
    <row r="410">
      <c r="J410" s="7" t="n"/>
      <c r="K410" s="7" t="n"/>
      <c r="R410" s="7">
        <f>IF($C410="","",Q410*AC410/100)</f>
        <v/>
      </c>
      <c r="S410" s="11" t="n"/>
      <c r="U410" s="11" t="n"/>
      <c r="AA410" s="7" t="n"/>
      <c r="AC410" s="7" t="n"/>
      <c r="AE410">
        <f>IF($C410="","",IF($AK410=1,Settings!$C$6,Settings!$C$7)*1)</f>
        <v/>
      </c>
      <c r="AF410" s="7">
        <f>IF($C410="","",AE410*AC410)</f>
        <v/>
      </c>
      <c r="AG410" s="7">
        <f>IF($C410="","",AC410-AF410)</f>
        <v/>
      </c>
      <c r="AH410" s="7">
        <f>IF($C410="","",AG410-R410)</f>
        <v/>
      </c>
      <c r="AI410">
        <f>IF($C410="","",IF(COUNTIF($C$2:$C410,$C410)=1,1,0))</f>
        <v/>
      </c>
      <c r="AJ410">
        <f>IF($AI410=1,SUMPRODUCT(--($AL$2:$AL$1501&lt;$AL410))+1,"")</f>
        <v/>
      </c>
      <c r="AK410">
        <f>IF($C410="","",IF(OR($AD410=TRUE(),$AD410="TRUE"),0,1))</f>
        <v/>
      </c>
      <c r="AL410">
        <f>IF($AI410=1,IFERROR(IF(VALUE($C410)&lt;100000000,VALUE($C410),1000000000),IFERROR(IF(VALUE(MID($C410,2,20))&lt;100000000,VALUE(MID($C410,2,20)),1000000000),1000000000))+ROW()/100000,"")</f>
        <v/>
      </c>
    </row>
    <row r="411">
      <c r="J411" s="7" t="n"/>
      <c r="K411" s="7" t="n"/>
      <c r="R411" s="7">
        <f>IF($C411="","",Q411*AC411/100)</f>
        <v/>
      </c>
      <c r="S411" s="11" t="n"/>
      <c r="U411" s="11" t="n"/>
      <c r="AA411" s="7" t="n"/>
      <c r="AC411" s="7" t="n"/>
      <c r="AE411">
        <f>IF($C411="","",IF($AK411=1,Settings!$C$6,Settings!$C$7)*1)</f>
        <v/>
      </c>
      <c r="AF411" s="7">
        <f>IF($C411="","",AE411*AC411)</f>
        <v/>
      </c>
      <c r="AG411" s="7">
        <f>IF($C411="","",AC411-AF411)</f>
        <v/>
      </c>
      <c r="AH411" s="7">
        <f>IF($C411="","",AG411-R411)</f>
        <v/>
      </c>
      <c r="AI411">
        <f>IF($C411="","",IF(COUNTIF($C$2:$C411,$C411)=1,1,0))</f>
        <v/>
      </c>
      <c r="AJ411">
        <f>IF($AI411=1,SUMPRODUCT(--($AL$2:$AL$1501&lt;$AL411))+1,"")</f>
        <v/>
      </c>
      <c r="AK411">
        <f>IF($C411="","",IF(OR($AD411=TRUE(),$AD411="TRUE"),0,1))</f>
        <v/>
      </c>
      <c r="AL411">
        <f>IF($AI411=1,IFERROR(IF(VALUE($C411)&lt;100000000,VALUE($C411),1000000000),IFERROR(IF(VALUE(MID($C411,2,20))&lt;100000000,VALUE(MID($C411,2,20)),1000000000),1000000000))+ROW()/100000,"")</f>
        <v/>
      </c>
    </row>
    <row r="412">
      <c r="J412" s="7" t="n"/>
      <c r="K412" s="7" t="n"/>
      <c r="R412" s="7">
        <f>IF($C412="","",Q412*AC412/100)</f>
        <v/>
      </c>
      <c r="S412" s="11" t="n"/>
      <c r="U412" s="11" t="n"/>
      <c r="AA412" s="7" t="n"/>
      <c r="AC412" s="7" t="n"/>
      <c r="AE412">
        <f>IF($C412="","",IF($AK412=1,Settings!$C$6,Settings!$C$7)*1)</f>
        <v/>
      </c>
      <c r="AF412" s="7">
        <f>IF($C412="","",AE412*AC412)</f>
        <v/>
      </c>
      <c r="AG412" s="7">
        <f>IF($C412="","",AC412-AF412)</f>
        <v/>
      </c>
      <c r="AH412" s="7">
        <f>IF($C412="","",AG412-R412)</f>
        <v/>
      </c>
      <c r="AI412">
        <f>IF($C412="","",IF(COUNTIF($C$2:$C412,$C412)=1,1,0))</f>
        <v/>
      </c>
      <c r="AJ412">
        <f>IF($AI412=1,SUMPRODUCT(--($AL$2:$AL$1501&lt;$AL412))+1,"")</f>
        <v/>
      </c>
      <c r="AK412">
        <f>IF($C412="","",IF(OR($AD412=TRUE(),$AD412="TRUE"),0,1))</f>
        <v/>
      </c>
      <c r="AL412">
        <f>IF($AI412=1,IFERROR(IF(VALUE($C412)&lt;100000000,VALUE($C412),1000000000),IFERROR(IF(VALUE(MID($C412,2,20))&lt;100000000,VALUE(MID($C412,2,20)),1000000000),1000000000))+ROW()/100000,"")</f>
        <v/>
      </c>
    </row>
    <row r="413">
      <c r="J413" s="7" t="n"/>
      <c r="K413" s="7" t="n"/>
      <c r="R413" s="7">
        <f>IF($C413="","",Q413*AC413/100)</f>
        <v/>
      </c>
      <c r="S413" s="11" t="n"/>
      <c r="U413" s="11" t="n"/>
      <c r="AA413" s="7" t="n"/>
      <c r="AC413" s="7" t="n"/>
      <c r="AE413">
        <f>IF($C413="","",IF($AK413=1,Settings!$C$6,Settings!$C$7)*1)</f>
        <v/>
      </c>
      <c r="AF413" s="7">
        <f>IF($C413="","",AE413*AC413)</f>
        <v/>
      </c>
      <c r="AG413" s="7">
        <f>IF($C413="","",AC413-AF413)</f>
        <v/>
      </c>
      <c r="AH413" s="7">
        <f>IF($C413="","",AG413-R413)</f>
        <v/>
      </c>
      <c r="AI413">
        <f>IF($C413="","",IF(COUNTIF($C$2:$C413,$C413)=1,1,0))</f>
        <v/>
      </c>
      <c r="AJ413">
        <f>IF($AI413=1,SUMPRODUCT(--($AL$2:$AL$1501&lt;$AL413))+1,"")</f>
        <v/>
      </c>
      <c r="AK413">
        <f>IF($C413="","",IF(OR($AD413=TRUE(),$AD413="TRUE"),0,1))</f>
        <v/>
      </c>
      <c r="AL413">
        <f>IF($AI413=1,IFERROR(IF(VALUE($C413)&lt;100000000,VALUE($C413),1000000000),IFERROR(IF(VALUE(MID($C413,2,20))&lt;100000000,VALUE(MID($C413,2,20)),1000000000),1000000000))+ROW()/100000,"")</f>
        <v/>
      </c>
    </row>
    <row r="414">
      <c r="J414" s="7" t="n"/>
      <c r="K414" s="7" t="n"/>
      <c r="R414" s="7">
        <f>IF($C414="","",Q414*AC414/100)</f>
        <v/>
      </c>
      <c r="S414" s="11" t="n"/>
      <c r="U414" s="11" t="n"/>
      <c r="AA414" s="7" t="n"/>
      <c r="AC414" s="7" t="n"/>
      <c r="AE414">
        <f>IF($C414="","",IF($AK414=1,Settings!$C$6,Settings!$C$7)*1)</f>
        <v/>
      </c>
      <c r="AF414" s="7">
        <f>IF($C414="","",AE414*AC414)</f>
        <v/>
      </c>
      <c r="AG414" s="7">
        <f>IF($C414="","",AC414-AF414)</f>
        <v/>
      </c>
      <c r="AH414" s="7">
        <f>IF($C414="","",AG414-R414)</f>
        <v/>
      </c>
      <c r="AI414">
        <f>IF($C414="","",IF(COUNTIF($C$2:$C414,$C414)=1,1,0))</f>
        <v/>
      </c>
      <c r="AJ414">
        <f>IF($AI414=1,SUMPRODUCT(--($AL$2:$AL$1501&lt;$AL414))+1,"")</f>
        <v/>
      </c>
      <c r="AK414">
        <f>IF($C414="","",IF(OR($AD414=TRUE(),$AD414="TRUE"),0,1))</f>
        <v/>
      </c>
      <c r="AL414">
        <f>IF($AI414=1,IFERROR(IF(VALUE($C414)&lt;100000000,VALUE($C414),1000000000),IFERROR(IF(VALUE(MID($C414,2,20))&lt;100000000,VALUE(MID($C414,2,20)),1000000000),1000000000))+ROW()/100000,"")</f>
        <v/>
      </c>
    </row>
    <row r="415">
      <c r="J415" s="7" t="n"/>
      <c r="K415" s="7" t="n"/>
      <c r="R415" s="7">
        <f>IF($C415="","",Q415*AC415/100)</f>
        <v/>
      </c>
      <c r="S415" s="11" t="n"/>
      <c r="U415" s="11" t="n"/>
      <c r="AA415" s="7" t="n"/>
      <c r="AC415" s="7" t="n"/>
      <c r="AE415">
        <f>IF($C415="","",IF($AK415=1,Settings!$C$6,Settings!$C$7)*1)</f>
        <v/>
      </c>
      <c r="AF415" s="7">
        <f>IF($C415="","",AE415*AC415)</f>
        <v/>
      </c>
      <c r="AG415" s="7">
        <f>IF($C415="","",AC415-AF415)</f>
        <v/>
      </c>
      <c r="AH415" s="7">
        <f>IF($C415="","",AG415-R415)</f>
        <v/>
      </c>
      <c r="AI415">
        <f>IF($C415="","",IF(COUNTIF($C$2:$C415,$C415)=1,1,0))</f>
        <v/>
      </c>
      <c r="AJ415">
        <f>IF($AI415=1,SUMPRODUCT(--($AL$2:$AL$1501&lt;$AL415))+1,"")</f>
        <v/>
      </c>
      <c r="AK415">
        <f>IF($C415="","",IF(OR($AD415=TRUE(),$AD415="TRUE"),0,1))</f>
        <v/>
      </c>
      <c r="AL415">
        <f>IF($AI415=1,IFERROR(IF(VALUE($C415)&lt;100000000,VALUE($C415),1000000000),IFERROR(IF(VALUE(MID($C415,2,20))&lt;100000000,VALUE(MID($C415,2,20)),1000000000),1000000000))+ROW()/100000,"")</f>
        <v/>
      </c>
    </row>
    <row r="416">
      <c r="J416" s="7" t="n"/>
      <c r="K416" s="7" t="n"/>
      <c r="R416" s="7">
        <f>IF($C416="","",Q416*AC416/100)</f>
        <v/>
      </c>
      <c r="S416" s="11" t="n"/>
      <c r="U416" s="11" t="n"/>
      <c r="AA416" s="7" t="n"/>
      <c r="AC416" s="7" t="n"/>
      <c r="AE416">
        <f>IF($C416="","",IF($AK416=1,Settings!$C$6,Settings!$C$7)*1)</f>
        <v/>
      </c>
      <c r="AF416" s="7">
        <f>IF($C416="","",AE416*AC416)</f>
        <v/>
      </c>
      <c r="AG416" s="7">
        <f>IF($C416="","",AC416-AF416)</f>
        <v/>
      </c>
      <c r="AH416" s="7">
        <f>IF($C416="","",AG416-R416)</f>
        <v/>
      </c>
      <c r="AI416">
        <f>IF($C416="","",IF(COUNTIF($C$2:$C416,$C416)=1,1,0))</f>
        <v/>
      </c>
      <c r="AJ416">
        <f>IF($AI416=1,SUMPRODUCT(--($AL$2:$AL$1501&lt;$AL416))+1,"")</f>
        <v/>
      </c>
      <c r="AK416">
        <f>IF($C416="","",IF(OR($AD416=TRUE(),$AD416="TRUE"),0,1))</f>
        <v/>
      </c>
      <c r="AL416">
        <f>IF($AI416=1,IFERROR(IF(VALUE($C416)&lt;100000000,VALUE($C416),1000000000),IFERROR(IF(VALUE(MID($C416,2,20))&lt;100000000,VALUE(MID($C416,2,20)),1000000000),1000000000))+ROW()/100000,"")</f>
        <v/>
      </c>
    </row>
    <row r="417">
      <c r="J417" s="7" t="n"/>
      <c r="K417" s="7" t="n"/>
      <c r="R417" s="7">
        <f>IF($C417="","",Q417*AC417/100)</f>
        <v/>
      </c>
      <c r="S417" s="11" t="n"/>
      <c r="U417" s="11" t="n"/>
      <c r="AA417" s="7" t="n"/>
      <c r="AC417" s="7" t="n"/>
      <c r="AE417">
        <f>IF($C417="","",IF($AK417=1,Settings!$C$6,Settings!$C$7)*1)</f>
        <v/>
      </c>
      <c r="AF417" s="7">
        <f>IF($C417="","",AE417*AC417)</f>
        <v/>
      </c>
      <c r="AG417" s="7">
        <f>IF($C417="","",AC417-AF417)</f>
        <v/>
      </c>
      <c r="AH417" s="7">
        <f>IF($C417="","",AG417-R417)</f>
        <v/>
      </c>
      <c r="AI417">
        <f>IF($C417="","",IF(COUNTIF($C$2:$C417,$C417)=1,1,0))</f>
        <v/>
      </c>
      <c r="AJ417">
        <f>IF($AI417=1,SUMPRODUCT(--($AL$2:$AL$1501&lt;$AL417))+1,"")</f>
        <v/>
      </c>
      <c r="AK417">
        <f>IF($C417="","",IF(OR($AD417=TRUE(),$AD417="TRUE"),0,1))</f>
        <v/>
      </c>
      <c r="AL417">
        <f>IF($AI417=1,IFERROR(IF(VALUE($C417)&lt;100000000,VALUE($C417),1000000000),IFERROR(IF(VALUE(MID($C417,2,20))&lt;100000000,VALUE(MID($C417,2,20)),1000000000),1000000000))+ROW()/100000,"")</f>
        <v/>
      </c>
    </row>
    <row r="418">
      <c r="J418" s="7" t="n"/>
      <c r="K418" s="7" t="n"/>
      <c r="R418" s="7">
        <f>IF($C418="","",Q418*AC418/100)</f>
        <v/>
      </c>
      <c r="S418" s="11" t="n"/>
      <c r="U418" s="11" t="n"/>
      <c r="AA418" s="7" t="n"/>
      <c r="AC418" s="7" t="n"/>
      <c r="AE418">
        <f>IF($C418="","",IF($AK418=1,Settings!$C$6,Settings!$C$7)*1)</f>
        <v/>
      </c>
      <c r="AF418" s="7">
        <f>IF($C418="","",AE418*AC418)</f>
        <v/>
      </c>
      <c r="AG418" s="7">
        <f>IF($C418="","",AC418-AF418)</f>
        <v/>
      </c>
      <c r="AH418" s="7">
        <f>IF($C418="","",AG418-R418)</f>
        <v/>
      </c>
      <c r="AI418">
        <f>IF($C418="","",IF(COUNTIF($C$2:$C418,$C418)=1,1,0))</f>
        <v/>
      </c>
      <c r="AJ418">
        <f>IF($AI418=1,SUMPRODUCT(--($AL$2:$AL$1501&lt;$AL418))+1,"")</f>
        <v/>
      </c>
      <c r="AK418">
        <f>IF($C418="","",IF(OR($AD418=TRUE(),$AD418="TRUE"),0,1))</f>
        <v/>
      </c>
      <c r="AL418">
        <f>IF($AI418=1,IFERROR(IF(VALUE($C418)&lt;100000000,VALUE($C418),1000000000),IFERROR(IF(VALUE(MID($C418,2,20))&lt;100000000,VALUE(MID($C418,2,20)),1000000000),1000000000))+ROW()/100000,"")</f>
        <v/>
      </c>
    </row>
    <row r="419">
      <c r="J419" s="7" t="n"/>
      <c r="K419" s="7" t="n"/>
      <c r="R419" s="7">
        <f>IF($C419="","",Q419*AC419/100)</f>
        <v/>
      </c>
      <c r="S419" s="11" t="n"/>
      <c r="U419" s="11" t="n"/>
      <c r="AA419" s="7" t="n"/>
      <c r="AC419" s="7" t="n"/>
      <c r="AE419">
        <f>IF($C419="","",IF($AK419=1,Settings!$C$6,Settings!$C$7)*1)</f>
        <v/>
      </c>
      <c r="AF419" s="7">
        <f>IF($C419="","",AE419*AC419)</f>
        <v/>
      </c>
      <c r="AG419" s="7">
        <f>IF($C419="","",AC419-AF419)</f>
        <v/>
      </c>
      <c r="AH419" s="7">
        <f>IF($C419="","",AG419-R419)</f>
        <v/>
      </c>
      <c r="AI419">
        <f>IF($C419="","",IF(COUNTIF($C$2:$C419,$C419)=1,1,0))</f>
        <v/>
      </c>
      <c r="AJ419">
        <f>IF($AI419=1,SUMPRODUCT(--($AL$2:$AL$1501&lt;$AL419))+1,"")</f>
        <v/>
      </c>
      <c r="AK419">
        <f>IF($C419="","",IF(OR($AD419=TRUE(),$AD419="TRUE"),0,1))</f>
        <v/>
      </c>
      <c r="AL419">
        <f>IF($AI419=1,IFERROR(IF(VALUE($C419)&lt;100000000,VALUE($C419),1000000000),IFERROR(IF(VALUE(MID($C419,2,20))&lt;100000000,VALUE(MID($C419,2,20)),1000000000),1000000000))+ROW()/100000,"")</f>
        <v/>
      </c>
    </row>
    <row r="420">
      <c r="J420" s="7" t="n"/>
      <c r="K420" s="7" t="n"/>
      <c r="R420" s="7">
        <f>IF($C420="","",Q420*AC420/100)</f>
        <v/>
      </c>
      <c r="S420" s="11" t="n"/>
      <c r="U420" s="11" t="n"/>
      <c r="AA420" s="7" t="n"/>
      <c r="AC420" s="7" t="n"/>
      <c r="AE420">
        <f>IF($C420="","",IF($AK420=1,Settings!$C$6,Settings!$C$7)*1)</f>
        <v/>
      </c>
      <c r="AF420" s="7">
        <f>IF($C420="","",AE420*AC420)</f>
        <v/>
      </c>
      <c r="AG420" s="7">
        <f>IF($C420="","",AC420-AF420)</f>
        <v/>
      </c>
      <c r="AH420" s="7">
        <f>IF($C420="","",AG420-R420)</f>
        <v/>
      </c>
      <c r="AI420">
        <f>IF($C420="","",IF(COUNTIF($C$2:$C420,$C420)=1,1,0))</f>
        <v/>
      </c>
      <c r="AJ420">
        <f>IF($AI420=1,SUMPRODUCT(--($AL$2:$AL$1501&lt;$AL420))+1,"")</f>
        <v/>
      </c>
      <c r="AK420">
        <f>IF($C420="","",IF(OR($AD420=TRUE(),$AD420="TRUE"),0,1))</f>
        <v/>
      </c>
      <c r="AL420">
        <f>IF($AI420=1,IFERROR(IF(VALUE($C420)&lt;100000000,VALUE($C420),1000000000),IFERROR(IF(VALUE(MID($C420,2,20))&lt;100000000,VALUE(MID($C420,2,20)),1000000000),1000000000))+ROW()/100000,"")</f>
        <v/>
      </c>
    </row>
    <row r="421">
      <c r="J421" s="7" t="n"/>
      <c r="K421" s="7" t="n"/>
      <c r="R421" s="7">
        <f>IF($C421="","",Q421*AC421/100)</f>
        <v/>
      </c>
      <c r="S421" s="11" t="n"/>
      <c r="U421" s="11" t="n"/>
      <c r="AA421" s="7" t="n"/>
      <c r="AC421" s="7" t="n"/>
      <c r="AE421">
        <f>IF($C421="","",IF($AK421=1,Settings!$C$6,Settings!$C$7)*1)</f>
        <v/>
      </c>
      <c r="AF421" s="7">
        <f>IF($C421="","",AE421*AC421)</f>
        <v/>
      </c>
      <c r="AG421" s="7">
        <f>IF($C421="","",AC421-AF421)</f>
        <v/>
      </c>
      <c r="AH421" s="7">
        <f>IF($C421="","",AG421-R421)</f>
        <v/>
      </c>
      <c r="AI421">
        <f>IF($C421="","",IF(COUNTIF($C$2:$C421,$C421)=1,1,0))</f>
        <v/>
      </c>
      <c r="AJ421">
        <f>IF($AI421=1,SUMPRODUCT(--($AL$2:$AL$1501&lt;$AL421))+1,"")</f>
        <v/>
      </c>
      <c r="AK421">
        <f>IF($C421="","",IF(OR($AD421=TRUE(),$AD421="TRUE"),0,1))</f>
        <v/>
      </c>
      <c r="AL421">
        <f>IF($AI421=1,IFERROR(IF(VALUE($C421)&lt;100000000,VALUE($C421),1000000000),IFERROR(IF(VALUE(MID($C421,2,20))&lt;100000000,VALUE(MID($C421,2,20)),1000000000),1000000000))+ROW()/100000,"")</f>
        <v/>
      </c>
    </row>
    <row r="422">
      <c r="J422" s="7" t="n"/>
      <c r="K422" s="7" t="n"/>
      <c r="R422" s="7">
        <f>IF($C422="","",Q422*AC422/100)</f>
        <v/>
      </c>
      <c r="S422" s="11" t="n"/>
      <c r="U422" s="11" t="n"/>
      <c r="AA422" s="7" t="n"/>
      <c r="AC422" s="7" t="n"/>
      <c r="AE422">
        <f>IF($C422="","",IF($AK422=1,Settings!$C$6,Settings!$C$7)*1)</f>
        <v/>
      </c>
      <c r="AF422" s="7">
        <f>IF($C422="","",AE422*AC422)</f>
        <v/>
      </c>
      <c r="AG422" s="7">
        <f>IF($C422="","",AC422-AF422)</f>
        <v/>
      </c>
      <c r="AH422" s="7">
        <f>IF($C422="","",AG422-R422)</f>
        <v/>
      </c>
      <c r="AI422">
        <f>IF($C422="","",IF(COUNTIF($C$2:$C422,$C422)=1,1,0))</f>
        <v/>
      </c>
      <c r="AJ422">
        <f>IF($AI422=1,SUMPRODUCT(--($AL$2:$AL$1501&lt;$AL422))+1,"")</f>
        <v/>
      </c>
      <c r="AK422">
        <f>IF($C422="","",IF(OR($AD422=TRUE(),$AD422="TRUE"),0,1))</f>
        <v/>
      </c>
      <c r="AL422">
        <f>IF($AI422=1,IFERROR(IF(VALUE($C422)&lt;100000000,VALUE($C422),1000000000),IFERROR(IF(VALUE(MID($C422,2,20))&lt;100000000,VALUE(MID($C422,2,20)),1000000000),1000000000))+ROW()/100000,"")</f>
        <v/>
      </c>
    </row>
    <row r="423">
      <c r="J423" s="7" t="n"/>
      <c r="K423" s="7" t="n"/>
      <c r="R423" s="7">
        <f>IF($C423="","",Q423*AC423/100)</f>
        <v/>
      </c>
      <c r="S423" s="11" t="n"/>
      <c r="U423" s="11" t="n"/>
      <c r="AA423" s="7" t="n"/>
      <c r="AC423" s="7" t="n"/>
      <c r="AE423">
        <f>IF($C423="","",IF($AK423=1,Settings!$C$6,Settings!$C$7)*1)</f>
        <v/>
      </c>
      <c r="AF423" s="7">
        <f>IF($C423="","",AE423*AC423)</f>
        <v/>
      </c>
      <c r="AG423" s="7">
        <f>IF($C423="","",AC423-AF423)</f>
        <v/>
      </c>
      <c r="AH423" s="7">
        <f>IF($C423="","",AG423-R423)</f>
        <v/>
      </c>
      <c r="AI423">
        <f>IF($C423="","",IF(COUNTIF($C$2:$C423,$C423)=1,1,0))</f>
        <v/>
      </c>
      <c r="AJ423">
        <f>IF($AI423=1,SUMPRODUCT(--($AL$2:$AL$1501&lt;$AL423))+1,"")</f>
        <v/>
      </c>
      <c r="AK423">
        <f>IF($C423="","",IF(OR($AD423=TRUE(),$AD423="TRUE"),0,1))</f>
        <v/>
      </c>
      <c r="AL423">
        <f>IF($AI423=1,IFERROR(IF(VALUE($C423)&lt;100000000,VALUE($C423),1000000000),IFERROR(IF(VALUE(MID($C423,2,20))&lt;100000000,VALUE(MID($C423,2,20)),1000000000),1000000000))+ROW()/100000,"")</f>
        <v/>
      </c>
    </row>
    <row r="424">
      <c r="J424" s="7" t="n"/>
      <c r="K424" s="7" t="n"/>
      <c r="R424" s="7">
        <f>IF($C424="","",Q424*AC424/100)</f>
        <v/>
      </c>
      <c r="S424" s="11" t="n"/>
      <c r="U424" s="11" t="n"/>
      <c r="AA424" s="7" t="n"/>
      <c r="AC424" s="7" t="n"/>
      <c r="AE424">
        <f>IF($C424="","",IF($AK424=1,Settings!$C$6,Settings!$C$7)*1)</f>
        <v/>
      </c>
      <c r="AF424" s="7">
        <f>IF($C424="","",AE424*AC424)</f>
        <v/>
      </c>
      <c r="AG424" s="7">
        <f>IF($C424="","",AC424-AF424)</f>
        <v/>
      </c>
      <c r="AH424" s="7">
        <f>IF($C424="","",AG424-R424)</f>
        <v/>
      </c>
      <c r="AI424">
        <f>IF($C424="","",IF(COUNTIF($C$2:$C424,$C424)=1,1,0))</f>
        <v/>
      </c>
      <c r="AJ424">
        <f>IF($AI424=1,SUMPRODUCT(--($AL$2:$AL$1501&lt;$AL424))+1,"")</f>
        <v/>
      </c>
      <c r="AK424">
        <f>IF($C424="","",IF(OR($AD424=TRUE(),$AD424="TRUE"),0,1))</f>
        <v/>
      </c>
      <c r="AL424">
        <f>IF($AI424=1,IFERROR(IF(VALUE($C424)&lt;100000000,VALUE($C424),1000000000),IFERROR(IF(VALUE(MID($C424,2,20))&lt;100000000,VALUE(MID($C424,2,20)),1000000000),1000000000))+ROW()/100000,"")</f>
        <v/>
      </c>
    </row>
    <row r="425">
      <c r="J425" s="7" t="n"/>
      <c r="K425" s="7" t="n"/>
      <c r="R425" s="7">
        <f>IF($C425="","",Q425*AC425/100)</f>
        <v/>
      </c>
      <c r="S425" s="11" t="n"/>
      <c r="U425" s="11" t="n"/>
      <c r="AA425" s="7" t="n"/>
      <c r="AC425" s="7" t="n"/>
      <c r="AE425">
        <f>IF($C425="","",IF($AK425=1,Settings!$C$6,Settings!$C$7)*1)</f>
        <v/>
      </c>
      <c r="AF425" s="7">
        <f>IF($C425="","",AE425*AC425)</f>
        <v/>
      </c>
      <c r="AG425" s="7">
        <f>IF($C425="","",AC425-AF425)</f>
        <v/>
      </c>
      <c r="AH425" s="7">
        <f>IF($C425="","",AG425-R425)</f>
        <v/>
      </c>
      <c r="AI425">
        <f>IF($C425="","",IF(COUNTIF($C$2:$C425,$C425)=1,1,0))</f>
        <v/>
      </c>
      <c r="AJ425">
        <f>IF($AI425=1,SUMPRODUCT(--($AL$2:$AL$1501&lt;$AL425))+1,"")</f>
        <v/>
      </c>
      <c r="AK425">
        <f>IF($C425="","",IF(OR($AD425=TRUE(),$AD425="TRUE"),0,1))</f>
        <v/>
      </c>
      <c r="AL425">
        <f>IF($AI425=1,IFERROR(IF(VALUE($C425)&lt;100000000,VALUE($C425),1000000000),IFERROR(IF(VALUE(MID($C425,2,20))&lt;100000000,VALUE(MID($C425,2,20)),1000000000),1000000000))+ROW()/100000,"")</f>
        <v/>
      </c>
    </row>
    <row r="426">
      <c r="J426" s="7" t="n"/>
      <c r="K426" s="7" t="n"/>
      <c r="R426" s="7">
        <f>IF($C426="","",Q426*AC426/100)</f>
        <v/>
      </c>
      <c r="S426" s="11" t="n"/>
      <c r="U426" s="11" t="n"/>
      <c r="AA426" s="7" t="n"/>
      <c r="AC426" s="7" t="n"/>
      <c r="AE426">
        <f>IF($C426="","",IF($AK426=1,Settings!$C$6,Settings!$C$7)*1)</f>
        <v/>
      </c>
      <c r="AF426" s="7">
        <f>IF($C426="","",AE426*AC426)</f>
        <v/>
      </c>
      <c r="AG426" s="7">
        <f>IF($C426="","",AC426-AF426)</f>
        <v/>
      </c>
      <c r="AH426" s="7">
        <f>IF($C426="","",AG426-R426)</f>
        <v/>
      </c>
      <c r="AI426">
        <f>IF($C426="","",IF(COUNTIF($C$2:$C426,$C426)=1,1,0))</f>
        <v/>
      </c>
      <c r="AJ426">
        <f>IF($AI426=1,SUMPRODUCT(--($AL$2:$AL$1501&lt;$AL426))+1,"")</f>
        <v/>
      </c>
      <c r="AK426">
        <f>IF($C426="","",IF(OR($AD426=TRUE(),$AD426="TRUE"),0,1))</f>
        <v/>
      </c>
      <c r="AL426">
        <f>IF($AI426=1,IFERROR(IF(VALUE($C426)&lt;100000000,VALUE($C426),1000000000),IFERROR(IF(VALUE(MID($C426,2,20))&lt;100000000,VALUE(MID($C426,2,20)),1000000000),1000000000))+ROW()/100000,"")</f>
        <v/>
      </c>
    </row>
    <row r="427">
      <c r="J427" s="7" t="n"/>
      <c r="K427" s="7" t="n"/>
      <c r="R427" s="7">
        <f>IF($C427="","",Q427*AC427/100)</f>
        <v/>
      </c>
      <c r="S427" s="11" t="n"/>
      <c r="U427" s="11" t="n"/>
      <c r="AA427" s="7" t="n"/>
      <c r="AC427" s="7" t="n"/>
      <c r="AE427">
        <f>IF($C427="","",IF($AK427=1,Settings!$C$6,Settings!$C$7)*1)</f>
        <v/>
      </c>
      <c r="AF427" s="7">
        <f>IF($C427="","",AE427*AC427)</f>
        <v/>
      </c>
      <c r="AG427" s="7">
        <f>IF($C427="","",AC427-AF427)</f>
        <v/>
      </c>
      <c r="AH427" s="7">
        <f>IF($C427="","",AG427-R427)</f>
        <v/>
      </c>
      <c r="AI427">
        <f>IF($C427="","",IF(COUNTIF($C$2:$C427,$C427)=1,1,0))</f>
        <v/>
      </c>
      <c r="AJ427">
        <f>IF($AI427=1,SUMPRODUCT(--($AL$2:$AL$1501&lt;$AL427))+1,"")</f>
        <v/>
      </c>
      <c r="AK427">
        <f>IF($C427="","",IF(OR($AD427=TRUE(),$AD427="TRUE"),0,1))</f>
        <v/>
      </c>
      <c r="AL427">
        <f>IF($AI427=1,IFERROR(IF(VALUE($C427)&lt;100000000,VALUE($C427),1000000000),IFERROR(IF(VALUE(MID($C427,2,20))&lt;100000000,VALUE(MID($C427,2,20)),1000000000),1000000000))+ROW()/100000,"")</f>
        <v/>
      </c>
    </row>
    <row r="428">
      <c r="J428" s="7" t="n"/>
      <c r="K428" s="7" t="n"/>
      <c r="R428" s="7">
        <f>IF($C428="","",Q428*AC428/100)</f>
        <v/>
      </c>
      <c r="S428" s="11" t="n"/>
      <c r="U428" s="11" t="n"/>
      <c r="AA428" s="7" t="n"/>
      <c r="AC428" s="7" t="n"/>
      <c r="AE428">
        <f>IF($C428="","",IF($AK428=1,Settings!$C$6,Settings!$C$7)*1)</f>
        <v/>
      </c>
      <c r="AF428" s="7">
        <f>IF($C428="","",AE428*AC428)</f>
        <v/>
      </c>
      <c r="AG428" s="7">
        <f>IF($C428="","",AC428-AF428)</f>
        <v/>
      </c>
      <c r="AH428" s="7">
        <f>IF($C428="","",AG428-R428)</f>
        <v/>
      </c>
      <c r="AI428">
        <f>IF($C428="","",IF(COUNTIF($C$2:$C428,$C428)=1,1,0))</f>
        <v/>
      </c>
      <c r="AJ428">
        <f>IF($AI428=1,SUMPRODUCT(--($AL$2:$AL$1501&lt;$AL428))+1,"")</f>
        <v/>
      </c>
      <c r="AK428">
        <f>IF($C428="","",IF(OR($AD428=TRUE(),$AD428="TRUE"),0,1))</f>
        <v/>
      </c>
      <c r="AL428">
        <f>IF($AI428=1,IFERROR(IF(VALUE($C428)&lt;100000000,VALUE($C428),1000000000),IFERROR(IF(VALUE(MID($C428,2,20))&lt;100000000,VALUE(MID($C428,2,20)),1000000000),1000000000))+ROW()/100000,"")</f>
        <v/>
      </c>
    </row>
    <row r="429">
      <c r="J429" s="7" t="n"/>
      <c r="K429" s="7" t="n"/>
      <c r="R429" s="7">
        <f>IF($C429="","",Q429*AC429/100)</f>
        <v/>
      </c>
      <c r="S429" s="11" t="n"/>
      <c r="U429" s="11" t="n"/>
      <c r="AA429" s="7" t="n"/>
      <c r="AC429" s="7" t="n"/>
      <c r="AE429">
        <f>IF($C429="","",IF($AK429=1,Settings!$C$6,Settings!$C$7)*1)</f>
        <v/>
      </c>
      <c r="AF429" s="7">
        <f>IF($C429="","",AE429*AC429)</f>
        <v/>
      </c>
      <c r="AG429" s="7">
        <f>IF($C429="","",AC429-AF429)</f>
        <v/>
      </c>
      <c r="AH429" s="7">
        <f>IF($C429="","",AG429-R429)</f>
        <v/>
      </c>
      <c r="AI429">
        <f>IF($C429="","",IF(COUNTIF($C$2:$C429,$C429)=1,1,0))</f>
        <v/>
      </c>
      <c r="AJ429">
        <f>IF($AI429=1,SUMPRODUCT(--($AL$2:$AL$1501&lt;$AL429))+1,"")</f>
        <v/>
      </c>
      <c r="AK429">
        <f>IF($C429="","",IF(OR($AD429=TRUE(),$AD429="TRUE"),0,1))</f>
        <v/>
      </c>
      <c r="AL429">
        <f>IF($AI429=1,IFERROR(IF(VALUE($C429)&lt;100000000,VALUE($C429),1000000000),IFERROR(IF(VALUE(MID($C429,2,20))&lt;100000000,VALUE(MID($C429,2,20)),1000000000),1000000000))+ROW()/100000,"")</f>
        <v/>
      </c>
    </row>
    <row r="430">
      <c r="J430" s="7" t="n"/>
      <c r="K430" s="7" t="n"/>
      <c r="R430" s="7">
        <f>IF($C430="","",Q430*AC430/100)</f>
        <v/>
      </c>
      <c r="S430" s="11" t="n"/>
      <c r="U430" s="11" t="n"/>
      <c r="AA430" s="7" t="n"/>
      <c r="AC430" s="7" t="n"/>
      <c r="AE430">
        <f>IF($C430="","",IF($AK430=1,Settings!$C$6,Settings!$C$7)*1)</f>
        <v/>
      </c>
      <c r="AF430" s="7">
        <f>IF($C430="","",AE430*AC430)</f>
        <v/>
      </c>
      <c r="AG430" s="7">
        <f>IF($C430="","",AC430-AF430)</f>
        <v/>
      </c>
      <c r="AH430" s="7">
        <f>IF($C430="","",AG430-R430)</f>
        <v/>
      </c>
      <c r="AI430">
        <f>IF($C430="","",IF(COUNTIF($C$2:$C430,$C430)=1,1,0))</f>
        <v/>
      </c>
      <c r="AJ430">
        <f>IF($AI430=1,SUMPRODUCT(--($AL$2:$AL$1501&lt;$AL430))+1,"")</f>
        <v/>
      </c>
      <c r="AK430">
        <f>IF($C430="","",IF(OR($AD430=TRUE(),$AD430="TRUE"),0,1))</f>
        <v/>
      </c>
      <c r="AL430">
        <f>IF($AI430=1,IFERROR(IF(VALUE($C430)&lt;100000000,VALUE($C430),1000000000),IFERROR(IF(VALUE(MID($C430,2,20))&lt;100000000,VALUE(MID($C430,2,20)),1000000000),1000000000))+ROW()/100000,"")</f>
        <v/>
      </c>
    </row>
    <row r="431">
      <c r="J431" s="7" t="n"/>
      <c r="K431" s="7" t="n"/>
      <c r="R431" s="7">
        <f>IF($C431="","",Q431*AC431/100)</f>
        <v/>
      </c>
      <c r="S431" s="11" t="n"/>
      <c r="U431" s="11" t="n"/>
      <c r="AA431" s="7" t="n"/>
      <c r="AC431" s="7" t="n"/>
      <c r="AE431">
        <f>IF($C431="","",IF($AK431=1,Settings!$C$6,Settings!$C$7)*1)</f>
        <v/>
      </c>
      <c r="AF431" s="7">
        <f>IF($C431="","",AE431*AC431)</f>
        <v/>
      </c>
      <c r="AG431" s="7">
        <f>IF($C431="","",AC431-AF431)</f>
        <v/>
      </c>
      <c r="AH431" s="7">
        <f>IF($C431="","",AG431-R431)</f>
        <v/>
      </c>
      <c r="AI431">
        <f>IF($C431="","",IF(COUNTIF($C$2:$C431,$C431)=1,1,0))</f>
        <v/>
      </c>
      <c r="AJ431">
        <f>IF($AI431=1,SUMPRODUCT(--($AL$2:$AL$1501&lt;$AL431))+1,"")</f>
        <v/>
      </c>
      <c r="AK431">
        <f>IF($C431="","",IF(OR($AD431=TRUE(),$AD431="TRUE"),0,1))</f>
        <v/>
      </c>
      <c r="AL431">
        <f>IF($AI431=1,IFERROR(IF(VALUE($C431)&lt;100000000,VALUE($C431),1000000000),IFERROR(IF(VALUE(MID($C431,2,20))&lt;100000000,VALUE(MID($C431,2,20)),1000000000),1000000000))+ROW()/100000,"")</f>
        <v/>
      </c>
    </row>
    <row r="432">
      <c r="J432" s="7" t="n"/>
      <c r="K432" s="7" t="n"/>
      <c r="R432" s="7">
        <f>IF($C432="","",Q432*AC432/100)</f>
        <v/>
      </c>
      <c r="S432" s="11" t="n"/>
      <c r="U432" s="11" t="n"/>
      <c r="AA432" s="7" t="n"/>
      <c r="AC432" s="7" t="n"/>
      <c r="AE432">
        <f>IF($C432="","",IF($AK432=1,Settings!$C$6,Settings!$C$7)*1)</f>
        <v/>
      </c>
      <c r="AF432" s="7">
        <f>IF($C432="","",AE432*AC432)</f>
        <v/>
      </c>
      <c r="AG432" s="7">
        <f>IF($C432="","",AC432-AF432)</f>
        <v/>
      </c>
      <c r="AH432" s="7">
        <f>IF($C432="","",AG432-R432)</f>
        <v/>
      </c>
      <c r="AI432">
        <f>IF($C432="","",IF(COUNTIF($C$2:$C432,$C432)=1,1,0))</f>
        <v/>
      </c>
      <c r="AJ432">
        <f>IF($AI432=1,SUMPRODUCT(--($AL$2:$AL$1501&lt;$AL432))+1,"")</f>
        <v/>
      </c>
      <c r="AK432">
        <f>IF($C432="","",IF(OR($AD432=TRUE(),$AD432="TRUE"),0,1))</f>
        <v/>
      </c>
      <c r="AL432">
        <f>IF($AI432=1,IFERROR(IF(VALUE($C432)&lt;100000000,VALUE($C432),1000000000),IFERROR(IF(VALUE(MID($C432,2,20))&lt;100000000,VALUE(MID($C432,2,20)),1000000000),1000000000))+ROW()/100000,"")</f>
        <v/>
      </c>
    </row>
    <row r="433">
      <c r="J433" s="7" t="n"/>
      <c r="K433" s="7" t="n"/>
      <c r="R433" s="7">
        <f>IF($C433="","",Q433*AC433/100)</f>
        <v/>
      </c>
      <c r="S433" s="11" t="n"/>
      <c r="U433" s="11" t="n"/>
      <c r="AA433" s="7" t="n"/>
      <c r="AC433" s="7" t="n"/>
      <c r="AE433">
        <f>IF($C433="","",IF($AK433=1,Settings!$C$6,Settings!$C$7)*1)</f>
        <v/>
      </c>
      <c r="AF433" s="7">
        <f>IF($C433="","",AE433*AC433)</f>
        <v/>
      </c>
      <c r="AG433" s="7">
        <f>IF($C433="","",AC433-AF433)</f>
        <v/>
      </c>
      <c r="AH433" s="7">
        <f>IF($C433="","",AG433-R433)</f>
        <v/>
      </c>
      <c r="AI433">
        <f>IF($C433="","",IF(COUNTIF($C$2:$C433,$C433)=1,1,0))</f>
        <v/>
      </c>
      <c r="AJ433">
        <f>IF($AI433=1,SUMPRODUCT(--($AL$2:$AL$1501&lt;$AL433))+1,"")</f>
        <v/>
      </c>
      <c r="AK433">
        <f>IF($C433="","",IF(OR($AD433=TRUE(),$AD433="TRUE"),0,1))</f>
        <v/>
      </c>
      <c r="AL433">
        <f>IF($AI433=1,IFERROR(IF(VALUE($C433)&lt;100000000,VALUE($C433),1000000000),IFERROR(IF(VALUE(MID($C433,2,20))&lt;100000000,VALUE(MID($C433,2,20)),1000000000),1000000000))+ROW()/100000,"")</f>
        <v/>
      </c>
    </row>
    <row r="434">
      <c r="J434" s="7" t="n"/>
      <c r="K434" s="7" t="n"/>
      <c r="R434" s="7">
        <f>IF($C434="","",Q434*AC434/100)</f>
        <v/>
      </c>
      <c r="S434" s="11" t="n"/>
      <c r="U434" s="11" t="n"/>
      <c r="AA434" s="7" t="n"/>
      <c r="AC434" s="7" t="n"/>
      <c r="AE434">
        <f>IF($C434="","",IF($AK434=1,Settings!$C$6,Settings!$C$7)*1)</f>
        <v/>
      </c>
      <c r="AF434" s="7">
        <f>IF($C434="","",AE434*AC434)</f>
        <v/>
      </c>
      <c r="AG434" s="7">
        <f>IF($C434="","",AC434-AF434)</f>
        <v/>
      </c>
      <c r="AH434" s="7">
        <f>IF($C434="","",AG434-R434)</f>
        <v/>
      </c>
      <c r="AI434">
        <f>IF($C434="","",IF(COUNTIF($C$2:$C434,$C434)=1,1,0))</f>
        <v/>
      </c>
      <c r="AJ434">
        <f>IF($AI434=1,SUMPRODUCT(--($AL$2:$AL$1501&lt;$AL434))+1,"")</f>
        <v/>
      </c>
      <c r="AK434">
        <f>IF($C434="","",IF(OR($AD434=TRUE(),$AD434="TRUE"),0,1))</f>
        <v/>
      </c>
      <c r="AL434">
        <f>IF($AI434=1,IFERROR(IF(VALUE($C434)&lt;100000000,VALUE($C434),1000000000),IFERROR(IF(VALUE(MID($C434,2,20))&lt;100000000,VALUE(MID($C434,2,20)),1000000000),1000000000))+ROW()/100000,"")</f>
        <v/>
      </c>
    </row>
    <row r="435">
      <c r="J435" s="7" t="n"/>
      <c r="K435" s="7" t="n"/>
      <c r="R435" s="7">
        <f>IF($C435="","",Q435*AC435/100)</f>
        <v/>
      </c>
      <c r="S435" s="11" t="n"/>
      <c r="U435" s="11" t="n"/>
      <c r="AA435" s="7" t="n"/>
      <c r="AC435" s="7" t="n"/>
      <c r="AE435">
        <f>IF($C435="","",IF($AK435=1,Settings!$C$6,Settings!$C$7)*1)</f>
        <v/>
      </c>
      <c r="AF435" s="7">
        <f>IF($C435="","",AE435*AC435)</f>
        <v/>
      </c>
      <c r="AG435" s="7">
        <f>IF($C435="","",AC435-AF435)</f>
        <v/>
      </c>
      <c r="AH435" s="7">
        <f>IF($C435="","",AG435-R435)</f>
        <v/>
      </c>
      <c r="AI435">
        <f>IF($C435="","",IF(COUNTIF($C$2:$C435,$C435)=1,1,0))</f>
        <v/>
      </c>
      <c r="AJ435">
        <f>IF($AI435=1,SUMPRODUCT(--($AL$2:$AL$1501&lt;$AL435))+1,"")</f>
        <v/>
      </c>
      <c r="AK435">
        <f>IF($C435="","",IF(OR($AD435=TRUE(),$AD435="TRUE"),0,1))</f>
        <v/>
      </c>
      <c r="AL435">
        <f>IF($AI435=1,IFERROR(IF(VALUE($C435)&lt;100000000,VALUE($C435),1000000000),IFERROR(IF(VALUE(MID($C435,2,20))&lt;100000000,VALUE(MID($C435,2,20)),1000000000),1000000000))+ROW()/100000,"")</f>
        <v/>
      </c>
    </row>
    <row r="436">
      <c r="J436" s="7" t="n"/>
      <c r="K436" s="7" t="n"/>
      <c r="R436" s="7">
        <f>IF($C436="","",Q436*AC436/100)</f>
        <v/>
      </c>
      <c r="S436" s="11" t="n"/>
      <c r="U436" s="11" t="n"/>
      <c r="AA436" s="7" t="n"/>
      <c r="AC436" s="7" t="n"/>
      <c r="AE436">
        <f>IF($C436="","",IF($AK436=1,Settings!$C$6,Settings!$C$7)*1)</f>
        <v/>
      </c>
      <c r="AF436" s="7">
        <f>IF($C436="","",AE436*AC436)</f>
        <v/>
      </c>
      <c r="AG436" s="7">
        <f>IF($C436="","",AC436-AF436)</f>
        <v/>
      </c>
      <c r="AH436" s="7">
        <f>IF($C436="","",AG436-R436)</f>
        <v/>
      </c>
      <c r="AI436">
        <f>IF($C436="","",IF(COUNTIF($C$2:$C436,$C436)=1,1,0))</f>
        <v/>
      </c>
      <c r="AJ436">
        <f>IF($AI436=1,SUMPRODUCT(--($AL$2:$AL$1501&lt;$AL436))+1,"")</f>
        <v/>
      </c>
      <c r="AK436">
        <f>IF($C436="","",IF(OR($AD436=TRUE(),$AD436="TRUE"),0,1))</f>
        <v/>
      </c>
      <c r="AL436">
        <f>IF($AI436=1,IFERROR(IF(VALUE($C436)&lt;100000000,VALUE($C436),1000000000),IFERROR(IF(VALUE(MID($C436,2,20))&lt;100000000,VALUE(MID($C436,2,20)),1000000000),1000000000))+ROW()/100000,"")</f>
        <v/>
      </c>
    </row>
    <row r="437">
      <c r="J437" s="7" t="n"/>
      <c r="K437" s="7" t="n"/>
      <c r="R437" s="7">
        <f>IF($C437="","",Q437*AC437/100)</f>
        <v/>
      </c>
      <c r="S437" s="11" t="n"/>
      <c r="U437" s="11" t="n"/>
      <c r="AA437" s="7" t="n"/>
      <c r="AC437" s="7" t="n"/>
      <c r="AE437">
        <f>IF($C437="","",IF($AK437=1,Settings!$C$6,Settings!$C$7)*1)</f>
        <v/>
      </c>
      <c r="AF437" s="7">
        <f>IF($C437="","",AE437*AC437)</f>
        <v/>
      </c>
      <c r="AG437" s="7">
        <f>IF($C437="","",AC437-AF437)</f>
        <v/>
      </c>
      <c r="AH437" s="7">
        <f>IF($C437="","",AG437-R437)</f>
        <v/>
      </c>
      <c r="AI437">
        <f>IF($C437="","",IF(COUNTIF($C$2:$C437,$C437)=1,1,0))</f>
        <v/>
      </c>
      <c r="AJ437">
        <f>IF($AI437=1,SUMPRODUCT(--($AL$2:$AL$1501&lt;$AL437))+1,"")</f>
        <v/>
      </c>
      <c r="AK437">
        <f>IF($C437="","",IF(OR($AD437=TRUE(),$AD437="TRUE"),0,1))</f>
        <v/>
      </c>
      <c r="AL437">
        <f>IF($AI437=1,IFERROR(IF(VALUE($C437)&lt;100000000,VALUE($C437),1000000000),IFERROR(IF(VALUE(MID($C437,2,20))&lt;100000000,VALUE(MID($C437,2,20)),1000000000),1000000000))+ROW()/100000,"")</f>
        <v/>
      </c>
    </row>
    <row r="438">
      <c r="J438" s="7" t="n"/>
      <c r="K438" s="7" t="n"/>
      <c r="R438" s="7">
        <f>IF($C438="","",Q438*AC438/100)</f>
        <v/>
      </c>
      <c r="S438" s="11" t="n"/>
      <c r="U438" s="11" t="n"/>
      <c r="AA438" s="7" t="n"/>
      <c r="AC438" s="7" t="n"/>
      <c r="AE438">
        <f>IF($C438="","",IF($AK438=1,Settings!$C$6,Settings!$C$7)*1)</f>
        <v/>
      </c>
      <c r="AF438" s="7">
        <f>IF($C438="","",AE438*AC438)</f>
        <v/>
      </c>
      <c r="AG438" s="7">
        <f>IF($C438="","",AC438-AF438)</f>
        <v/>
      </c>
      <c r="AH438" s="7">
        <f>IF($C438="","",AG438-R438)</f>
        <v/>
      </c>
      <c r="AI438">
        <f>IF($C438="","",IF(COUNTIF($C$2:$C438,$C438)=1,1,0))</f>
        <v/>
      </c>
      <c r="AJ438">
        <f>IF($AI438=1,SUMPRODUCT(--($AL$2:$AL$1501&lt;$AL438))+1,"")</f>
        <v/>
      </c>
      <c r="AK438">
        <f>IF($C438="","",IF(OR($AD438=TRUE(),$AD438="TRUE"),0,1))</f>
        <v/>
      </c>
      <c r="AL438">
        <f>IF($AI438=1,IFERROR(IF(VALUE($C438)&lt;100000000,VALUE($C438),1000000000),IFERROR(IF(VALUE(MID($C438,2,20))&lt;100000000,VALUE(MID($C438,2,20)),1000000000),1000000000))+ROW()/100000,"")</f>
        <v/>
      </c>
    </row>
    <row r="439">
      <c r="J439" s="7" t="n"/>
      <c r="K439" s="7" t="n"/>
      <c r="R439" s="7">
        <f>IF($C439="","",Q439*AC439/100)</f>
        <v/>
      </c>
      <c r="S439" s="11" t="n"/>
      <c r="U439" s="11" t="n"/>
      <c r="AA439" s="7" t="n"/>
      <c r="AC439" s="7" t="n"/>
      <c r="AE439">
        <f>IF($C439="","",IF($AK439=1,Settings!$C$6,Settings!$C$7)*1)</f>
        <v/>
      </c>
      <c r="AF439" s="7">
        <f>IF($C439="","",AE439*AC439)</f>
        <v/>
      </c>
      <c r="AG439" s="7">
        <f>IF($C439="","",AC439-AF439)</f>
        <v/>
      </c>
      <c r="AH439" s="7">
        <f>IF($C439="","",AG439-R439)</f>
        <v/>
      </c>
      <c r="AI439">
        <f>IF($C439="","",IF(COUNTIF($C$2:$C439,$C439)=1,1,0))</f>
        <v/>
      </c>
      <c r="AJ439">
        <f>IF($AI439=1,SUMPRODUCT(--($AL$2:$AL$1501&lt;$AL439))+1,"")</f>
        <v/>
      </c>
      <c r="AK439">
        <f>IF($C439="","",IF(OR($AD439=TRUE(),$AD439="TRUE"),0,1))</f>
        <v/>
      </c>
      <c r="AL439">
        <f>IF($AI439=1,IFERROR(IF(VALUE($C439)&lt;100000000,VALUE($C439),1000000000),IFERROR(IF(VALUE(MID($C439,2,20))&lt;100000000,VALUE(MID($C439,2,20)),1000000000),1000000000))+ROW()/100000,"")</f>
        <v/>
      </c>
    </row>
    <row r="440">
      <c r="J440" s="7" t="n"/>
      <c r="K440" s="7" t="n"/>
      <c r="R440" s="7">
        <f>IF($C440="","",Q440*AC440/100)</f>
        <v/>
      </c>
      <c r="S440" s="11" t="n"/>
      <c r="U440" s="11" t="n"/>
      <c r="AA440" s="7" t="n"/>
      <c r="AC440" s="7" t="n"/>
      <c r="AE440">
        <f>IF($C440="","",IF($AK440=1,Settings!$C$6,Settings!$C$7)*1)</f>
        <v/>
      </c>
      <c r="AF440" s="7">
        <f>IF($C440="","",AE440*AC440)</f>
        <v/>
      </c>
      <c r="AG440" s="7">
        <f>IF($C440="","",AC440-AF440)</f>
        <v/>
      </c>
      <c r="AH440" s="7">
        <f>IF($C440="","",AG440-R440)</f>
        <v/>
      </c>
      <c r="AI440">
        <f>IF($C440="","",IF(COUNTIF($C$2:$C440,$C440)=1,1,0))</f>
        <v/>
      </c>
      <c r="AJ440">
        <f>IF($AI440=1,SUMPRODUCT(--($AL$2:$AL$1501&lt;$AL440))+1,"")</f>
        <v/>
      </c>
      <c r="AK440">
        <f>IF($C440="","",IF(OR($AD440=TRUE(),$AD440="TRUE"),0,1))</f>
        <v/>
      </c>
      <c r="AL440">
        <f>IF($AI440=1,IFERROR(IF(VALUE($C440)&lt;100000000,VALUE($C440),1000000000),IFERROR(IF(VALUE(MID($C440,2,20))&lt;100000000,VALUE(MID($C440,2,20)),1000000000),1000000000))+ROW()/100000,"")</f>
        <v/>
      </c>
    </row>
    <row r="441">
      <c r="J441" s="7" t="n"/>
      <c r="K441" s="7" t="n"/>
      <c r="R441" s="7">
        <f>IF($C441="","",Q441*AC441/100)</f>
        <v/>
      </c>
      <c r="S441" s="11" t="n"/>
      <c r="U441" s="11" t="n"/>
      <c r="AA441" s="7" t="n"/>
      <c r="AC441" s="7" t="n"/>
      <c r="AE441">
        <f>IF($C441="","",IF($AK441=1,Settings!$C$6,Settings!$C$7)*1)</f>
        <v/>
      </c>
      <c r="AF441" s="7">
        <f>IF($C441="","",AE441*AC441)</f>
        <v/>
      </c>
      <c r="AG441" s="7">
        <f>IF($C441="","",AC441-AF441)</f>
        <v/>
      </c>
      <c r="AH441" s="7">
        <f>IF($C441="","",AG441-R441)</f>
        <v/>
      </c>
      <c r="AI441">
        <f>IF($C441="","",IF(COUNTIF($C$2:$C441,$C441)=1,1,0))</f>
        <v/>
      </c>
      <c r="AJ441">
        <f>IF($AI441=1,SUMPRODUCT(--($AL$2:$AL$1501&lt;$AL441))+1,"")</f>
        <v/>
      </c>
      <c r="AK441">
        <f>IF($C441="","",IF(OR($AD441=TRUE(),$AD441="TRUE"),0,1))</f>
        <v/>
      </c>
      <c r="AL441">
        <f>IF($AI441=1,IFERROR(IF(VALUE($C441)&lt;100000000,VALUE($C441),1000000000),IFERROR(IF(VALUE(MID($C441,2,20))&lt;100000000,VALUE(MID($C441,2,20)),1000000000),1000000000))+ROW()/100000,"")</f>
        <v/>
      </c>
    </row>
    <row r="442">
      <c r="J442" s="7" t="n"/>
      <c r="K442" s="7" t="n"/>
      <c r="R442" s="7">
        <f>IF($C442="","",Q442*AC442/100)</f>
        <v/>
      </c>
      <c r="S442" s="11" t="n"/>
      <c r="U442" s="11" t="n"/>
      <c r="AA442" s="7" t="n"/>
      <c r="AC442" s="7" t="n"/>
      <c r="AE442">
        <f>IF($C442="","",IF($AK442=1,Settings!$C$6,Settings!$C$7)*1)</f>
        <v/>
      </c>
      <c r="AF442" s="7">
        <f>IF($C442="","",AE442*AC442)</f>
        <v/>
      </c>
      <c r="AG442" s="7">
        <f>IF($C442="","",AC442-AF442)</f>
        <v/>
      </c>
      <c r="AH442" s="7">
        <f>IF($C442="","",AG442-R442)</f>
        <v/>
      </c>
      <c r="AI442">
        <f>IF($C442="","",IF(COUNTIF($C$2:$C442,$C442)=1,1,0))</f>
        <v/>
      </c>
      <c r="AJ442">
        <f>IF($AI442=1,SUMPRODUCT(--($AL$2:$AL$1501&lt;$AL442))+1,"")</f>
        <v/>
      </c>
      <c r="AK442">
        <f>IF($C442="","",IF(OR($AD442=TRUE(),$AD442="TRUE"),0,1))</f>
        <v/>
      </c>
      <c r="AL442">
        <f>IF($AI442=1,IFERROR(IF(VALUE($C442)&lt;100000000,VALUE($C442),1000000000),IFERROR(IF(VALUE(MID($C442,2,20))&lt;100000000,VALUE(MID($C442,2,20)),1000000000),1000000000))+ROW()/100000,"")</f>
        <v/>
      </c>
    </row>
    <row r="443">
      <c r="J443" s="7" t="n"/>
      <c r="K443" s="7" t="n"/>
      <c r="R443" s="7">
        <f>IF($C443="","",Q443*AC443/100)</f>
        <v/>
      </c>
      <c r="S443" s="11" t="n"/>
      <c r="U443" s="11" t="n"/>
      <c r="AA443" s="7" t="n"/>
      <c r="AC443" s="7" t="n"/>
      <c r="AE443">
        <f>IF($C443="","",IF($AK443=1,Settings!$C$6,Settings!$C$7)*1)</f>
        <v/>
      </c>
      <c r="AF443" s="7">
        <f>IF($C443="","",AE443*AC443)</f>
        <v/>
      </c>
      <c r="AG443" s="7">
        <f>IF($C443="","",AC443-AF443)</f>
        <v/>
      </c>
      <c r="AH443" s="7">
        <f>IF($C443="","",AG443-R443)</f>
        <v/>
      </c>
      <c r="AI443">
        <f>IF($C443="","",IF(COUNTIF($C$2:$C443,$C443)=1,1,0))</f>
        <v/>
      </c>
      <c r="AJ443">
        <f>IF($AI443=1,SUMPRODUCT(--($AL$2:$AL$1501&lt;$AL443))+1,"")</f>
        <v/>
      </c>
      <c r="AK443">
        <f>IF($C443="","",IF(OR($AD443=TRUE(),$AD443="TRUE"),0,1))</f>
        <v/>
      </c>
      <c r="AL443">
        <f>IF($AI443=1,IFERROR(IF(VALUE($C443)&lt;100000000,VALUE($C443),1000000000),IFERROR(IF(VALUE(MID($C443,2,20))&lt;100000000,VALUE(MID($C443,2,20)),1000000000),1000000000))+ROW()/100000,"")</f>
        <v/>
      </c>
    </row>
    <row r="444">
      <c r="J444" s="7" t="n"/>
      <c r="K444" s="7" t="n"/>
      <c r="R444" s="7">
        <f>IF($C444="","",Q444*AC444/100)</f>
        <v/>
      </c>
      <c r="S444" s="11" t="n"/>
      <c r="U444" s="11" t="n"/>
      <c r="AA444" s="7" t="n"/>
      <c r="AC444" s="7" t="n"/>
      <c r="AE444">
        <f>IF($C444="","",IF($AK444=1,Settings!$C$6,Settings!$C$7)*1)</f>
        <v/>
      </c>
      <c r="AF444" s="7">
        <f>IF($C444="","",AE444*AC444)</f>
        <v/>
      </c>
      <c r="AG444" s="7">
        <f>IF($C444="","",AC444-AF444)</f>
        <v/>
      </c>
      <c r="AH444" s="7">
        <f>IF($C444="","",AG444-R444)</f>
        <v/>
      </c>
      <c r="AI444">
        <f>IF($C444="","",IF(COUNTIF($C$2:$C444,$C444)=1,1,0))</f>
        <v/>
      </c>
      <c r="AJ444">
        <f>IF($AI444=1,SUMPRODUCT(--($AL$2:$AL$1501&lt;$AL444))+1,"")</f>
        <v/>
      </c>
      <c r="AK444">
        <f>IF($C444="","",IF(OR($AD444=TRUE(),$AD444="TRUE"),0,1))</f>
        <v/>
      </c>
      <c r="AL444">
        <f>IF($AI444=1,IFERROR(IF(VALUE($C444)&lt;100000000,VALUE($C444),1000000000),IFERROR(IF(VALUE(MID($C444,2,20))&lt;100000000,VALUE(MID($C444,2,20)),1000000000),1000000000))+ROW()/100000,"")</f>
        <v/>
      </c>
    </row>
    <row r="445">
      <c r="J445" s="7" t="n"/>
      <c r="K445" s="7" t="n"/>
      <c r="R445" s="7">
        <f>IF($C445="","",Q445*AC445/100)</f>
        <v/>
      </c>
      <c r="S445" s="11" t="n"/>
      <c r="U445" s="11" t="n"/>
      <c r="AA445" s="7" t="n"/>
      <c r="AC445" s="7" t="n"/>
      <c r="AE445">
        <f>IF($C445="","",IF($AK445=1,Settings!$C$6,Settings!$C$7)*1)</f>
        <v/>
      </c>
      <c r="AF445" s="7">
        <f>IF($C445="","",AE445*AC445)</f>
        <v/>
      </c>
      <c r="AG445" s="7">
        <f>IF($C445="","",AC445-AF445)</f>
        <v/>
      </c>
      <c r="AH445" s="7">
        <f>IF($C445="","",AG445-R445)</f>
        <v/>
      </c>
      <c r="AI445">
        <f>IF($C445="","",IF(COUNTIF($C$2:$C445,$C445)=1,1,0))</f>
        <v/>
      </c>
      <c r="AJ445">
        <f>IF($AI445=1,SUMPRODUCT(--($AL$2:$AL$1501&lt;$AL445))+1,"")</f>
        <v/>
      </c>
      <c r="AK445">
        <f>IF($C445="","",IF(OR($AD445=TRUE(),$AD445="TRUE"),0,1))</f>
        <v/>
      </c>
      <c r="AL445">
        <f>IF($AI445=1,IFERROR(IF(VALUE($C445)&lt;100000000,VALUE($C445),1000000000),IFERROR(IF(VALUE(MID($C445,2,20))&lt;100000000,VALUE(MID($C445,2,20)),1000000000),1000000000))+ROW()/100000,"")</f>
        <v/>
      </c>
    </row>
    <row r="446">
      <c r="J446" s="7" t="n"/>
      <c r="K446" s="7" t="n"/>
      <c r="R446" s="7">
        <f>IF($C446="","",Q446*AC446/100)</f>
        <v/>
      </c>
      <c r="S446" s="11" t="n"/>
      <c r="U446" s="11" t="n"/>
      <c r="AA446" s="7" t="n"/>
      <c r="AC446" s="7" t="n"/>
      <c r="AE446">
        <f>IF($C446="","",IF($AK446=1,Settings!$C$6,Settings!$C$7)*1)</f>
        <v/>
      </c>
      <c r="AF446" s="7">
        <f>IF($C446="","",AE446*AC446)</f>
        <v/>
      </c>
      <c r="AG446" s="7">
        <f>IF($C446="","",AC446-AF446)</f>
        <v/>
      </c>
      <c r="AH446" s="7">
        <f>IF($C446="","",AG446-R446)</f>
        <v/>
      </c>
      <c r="AI446">
        <f>IF($C446="","",IF(COUNTIF($C$2:$C446,$C446)=1,1,0))</f>
        <v/>
      </c>
      <c r="AJ446">
        <f>IF($AI446=1,SUMPRODUCT(--($AL$2:$AL$1501&lt;$AL446))+1,"")</f>
        <v/>
      </c>
      <c r="AK446">
        <f>IF($C446="","",IF(OR($AD446=TRUE(),$AD446="TRUE"),0,1))</f>
        <v/>
      </c>
      <c r="AL446">
        <f>IF($AI446=1,IFERROR(IF(VALUE($C446)&lt;100000000,VALUE($C446),1000000000),IFERROR(IF(VALUE(MID($C446,2,20))&lt;100000000,VALUE(MID($C446,2,20)),1000000000),1000000000))+ROW()/100000,"")</f>
        <v/>
      </c>
    </row>
    <row r="447">
      <c r="J447" s="7" t="n"/>
      <c r="K447" s="7" t="n"/>
      <c r="R447" s="7">
        <f>IF($C447="","",Q447*AC447/100)</f>
        <v/>
      </c>
      <c r="S447" s="11" t="n"/>
      <c r="U447" s="11" t="n"/>
      <c r="AA447" s="7" t="n"/>
      <c r="AC447" s="7" t="n"/>
      <c r="AE447">
        <f>IF($C447="","",IF($AK447=1,Settings!$C$6,Settings!$C$7)*1)</f>
        <v/>
      </c>
      <c r="AF447" s="7">
        <f>IF($C447="","",AE447*AC447)</f>
        <v/>
      </c>
      <c r="AG447" s="7">
        <f>IF($C447="","",AC447-AF447)</f>
        <v/>
      </c>
      <c r="AH447" s="7">
        <f>IF($C447="","",AG447-R447)</f>
        <v/>
      </c>
      <c r="AI447">
        <f>IF($C447="","",IF(COUNTIF($C$2:$C447,$C447)=1,1,0))</f>
        <v/>
      </c>
      <c r="AJ447">
        <f>IF($AI447=1,SUMPRODUCT(--($AL$2:$AL$1501&lt;$AL447))+1,"")</f>
        <v/>
      </c>
      <c r="AK447">
        <f>IF($C447="","",IF(OR($AD447=TRUE(),$AD447="TRUE"),0,1))</f>
        <v/>
      </c>
      <c r="AL447">
        <f>IF($AI447=1,IFERROR(IF(VALUE($C447)&lt;100000000,VALUE($C447),1000000000),IFERROR(IF(VALUE(MID($C447,2,20))&lt;100000000,VALUE(MID($C447,2,20)),1000000000),1000000000))+ROW()/100000,"")</f>
        <v/>
      </c>
    </row>
    <row r="448">
      <c r="J448" s="7" t="n"/>
      <c r="K448" s="7" t="n"/>
      <c r="R448" s="7">
        <f>IF($C448="","",Q448*AC448/100)</f>
        <v/>
      </c>
      <c r="S448" s="11" t="n"/>
      <c r="U448" s="11" t="n"/>
      <c r="AA448" s="7" t="n"/>
      <c r="AC448" s="7" t="n"/>
      <c r="AE448">
        <f>IF($C448="","",IF($AK448=1,Settings!$C$6,Settings!$C$7)*1)</f>
        <v/>
      </c>
      <c r="AF448" s="7">
        <f>IF($C448="","",AE448*AC448)</f>
        <v/>
      </c>
      <c r="AG448" s="7">
        <f>IF($C448="","",AC448-AF448)</f>
        <v/>
      </c>
      <c r="AH448" s="7">
        <f>IF($C448="","",AG448-R448)</f>
        <v/>
      </c>
      <c r="AI448">
        <f>IF($C448="","",IF(COUNTIF($C$2:$C448,$C448)=1,1,0))</f>
        <v/>
      </c>
      <c r="AJ448">
        <f>IF($AI448=1,SUMPRODUCT(--($AL$2:$AL$1501&lt;$AL448))+1,"")</f>
        <v/>
      </c>
      <c r="AK448">
        <f>IF($C448="","",IF(OR($AD448=TRUE(),$AD448="TRUE"),0,1))</f>
        <v/>
      </c>
      <c r="AL448">
        <f>IF($AI448=1,IFERROR(IF(VALUE($C448)&lt;100000000,VALUE($C448),1000000000),IFERROR(IF(VALUE(MID($C448,2,20))&lt;100000000,VALUE(MID($C448,2,20)),1000000000),1000000000))+ROW()/100000,"")</f>
        <v/>
      </c>
    </row>
    <row r="449">
      <c r="J449" s="7" t="n"/>
      <c r="K449" s="7" t="n"/>
      <c r="R449" s="7">
        <f>IF($C449="","",Q449*AC449/100)</f>
        <v/>
      </c>
      <c r="S449" s="11" t="n"/>
      <c r="U449" s="11" t="n"/>
      <c r="AA449" s="7" t="n"/>
      <c r="AC449" s="7" t="n"/>
      <c r="AE449">
        <f>IF($C449="","",IF($AK449=1,Settings!$C$6,Settings!$C$7)*1)</f>
        <v/>
      </c>
      <c r="AF449" s="7">
        <f>IF($C449="","",AE449*AC449)</f>
        <v/>
      </c>
      <c r="AG449" s="7">
        <f>IF($C449="","",AC449-AF449)</f>
        <v/>
      </c>
      <c r="AH449" s="7">
        <f>IF($C449="","",AG449-R449)</f>
        <v/>
      </c>
      <c r="AI449">
        <f>IF($C449="","",IF(COUNTIF($C$2:$C449,$C449)=1,1,0))</f>
        <v/>
      </c>
      <c r="AJ449">
        <f>IF($AI449=1,SUMPRODUCT(--($AL$2:$AL$1501&lt;$AL449))+1,"")</f>
        <v/>
      </c>
      <c r="AK449">
        <f>IF($C449="","",IF(OR($AD449=TRUE(),$AD449="TRUE"),0,1))</f>
        <v/>
      </c>
      <c r="AL449">
        <f>IF($AI449=1,IFERROR(IF(VALUE($C449)&lt;100000000,VALUE($C449),1000000000),IFERROR(IF(VALUE(MID($C449,2,20))&lt;100000000,VALUE(MID($C449,2,20)),1000000000),1000000000))+ROW()/100000,"")</f>
        <v/>
      </c>
    </row>
    <row r="450">
      <c r="J450" s="7" t="n"/>
      <c r="K450" s="7" t="n"/>
      <c r="R450" s="7">
        <f>IF($C450="","",Q450*AC450/100)</f>
        <v/>
      </c>
      <c r="S450" s="11" t="n"/>
      <c r="U450" s="11" t="n"/>
      <c r="AA450" s="7" t="n"/>
      <c r="AC450" s="7" t="n"/>
      <c r="AE450">
        <f>IF($C450="","",IF($AK450=1,Settings!$C$6,Settings!$C$7)*1)</f>
        <v/>
      </c>
      <c r="AF450" s="7">
        <f>IF($C450="","",AE450*AC450)</f>
        <v/>
      </c>
      <c r="AG450" s="7">
        <f>IF($C450="","",AC450-AF450)</f>
        <v/>
      </c>
      <c r="AH450" s="7">
        <f>IF($C450="","",AG450-R450)</f>
        <v/>
      </c>
      <c r="AI450">
        <f>IF($C450="","",IF(COUNTIF($C$2:$C450,$C450)=1,1,0))</f>
        <v/>
      </c>
      <c r="AJ450">
        <f>IF($AI450=1,SUMPRODUCT(--($AL$2:$AL$1501&lt;$AL450))+1,"")</f>
        <v/>
      </c>
      <c r="AK450">
        <f>IF($C450="","",IF(OR($AD450=TRUE(),$AD450="TRUE"),0,1))</f>
        <v/>
      </c>
      <c r="AL450">
        <f>IF($AI450=1,IFERROR(IF(VALUE($C450)&lt;100000000,VALUE($C450),1000000000),IFERROR(IF(VALUE(MID($C450,2,20))&lt;100000000,VALUE(MID($C450,2,20)),1000000000),1000000000))+ROW()/100000,"")</f>
        <v/>
      </c>
    </row>
    <row r="451">
      <c r="J451" s="7" t="n"/>
      <c r="K451" s="7" t="n"/>
      <c r="R451" s="7">
        <f>IF($C451="","",Q451*AC451/100)</f>
        <v/>
      </c>
      <c r="S451" s="11" t="n"/>
      <c r="U451" s="11" t="n"/>
      <c r="AA451" s="7" t="n"/>
      <c r="AC451" s="7" t="n"/>
      <c r="AE451">
        <f>IF($C451="","",IF($AK451=1,Settings!$C$6,Settings!$C$7)*1)</f>
        <v/>
      </c>
      <c r="AF451" s="7">
        <f>IF($C451="","",AE451*AC451)</f>
        <v/>
      </c>
      <c r="AG451" s="7">
        <f>IF($C451="","",AC451-AF451)</f>
        <v/>
      </c>
      <c r="AH451" s="7">
        <f>IF($C451="","",AG451-R451)</f>
        <v/>
      </c>
      <c r="AI451">
        <f>IF($C451="","",IF(COUNTIF($C$2:$C451,$C451)=1,1,0))</f>
        <v/>
      </c>
      <c r="AJ451">
        <f>IF($AI451=1,SUMPRODUCT(--($AL$2:$AL$1501&lt;$AL451))+1,"")</f>
        <v/>
      </c>
      <c r="AK451">
        <f>IF($C451="","",IF(OR($AD451=TRUE(),$AD451="TRUE"),0,1))</f>
        <v/>
      </c>
      <c r="AL451">
        <f>IF($AI451=1,IFERROR(IF(VALUE($C451)&lt;100000000,VALUE($C451),1000000000),IFERROR(IF(VALUE(MID($C451,2,20))&lt;100000000,VALUE(MID($C451,2,20)),1000000000),1000000000))+ROW()/100000,"")</f>
        <v/>
      </c>
    </row>
    <row r="452">
      <c r="J452" s="7" t="n"/>
      <c r="K452" s="7" t="n"/>
      <c r="R452" s="7">
        <f>IF($C452="","",Q452*AC452/100)</f>
        <v/>
      </c>
      <c r="S452" s="11" t="n"/>
      <c r="U452" s="11" t="n"/>
      <c r="AA452" s="7" t="n"/>
      <c r="AC452" s="7" t="n"/>
      <c r="AE452">
        <f>IF($C452="","",IF($AK452=1,Settings!$C$6,Settings!$C$7)*1)</f>
        <v/>
      </c>
      <c r="AF452" s="7">
        <f>IF($C452="","",AE452*AC452)</f>
        <v/>
      </c>
      <c r="AG452" s="7">
        <f>IF($C452="","",AC452-AF452)</f>
        <v/>
      </c>
      <c r="AH452" s="7">
        <f>IF($C452="","",AG452-R452)</f>
        <v/>
      </c>
      <c r="AI452">
        <f>IF($C452="","",IF(COUNTIF($C$2:$C452,$C452)=1,1,0))</f>
        <v/>
      </c>
      <c r="AJ452">
        <f>IF($AI452=1,SUMPRODUCT(--($AL$2:$AL$1501&lt;$AL452))+1,"")</f>
        <v/>
      </c>
      <c r="AK452">
        <f>IF($C452="","",IF(OR($AD452=TRUE(),$AD452="TRUE"),0,1))</f>
        <v/>
      </c>
      <c r="AL452">
        <f>IF($AI452=1,IFERROR(IF(VALUE($C452)&lt;100000000,VALUE($C452),1000000000),IFERROR(IF(VALUE(MID($C452,2,20))&lt;100000000,VALUE(MID($C452,2,20)),1000000000),1000000000))+ROW()/100000,"")</f>
        <v/>
      </c>
    </row>
    <row r="453">
      <c r="J453" s="7" t="n"/>
      <c r="K453" s="7" t="n"/>
      <c r="R453" s="7">
        <f>IF($C453="","",Q453*AC453/100)</f>
        <v/>
      </c>
      <c r="S453" s="11" t="n"/>
      <c r="U453" s="11" t="n"/>
      <c r="AA453" s="7" t="n"/>
      <c r="AC453" s="7" t="n"/>
      <c r="AE453">
        <f>IF($C453="","",IF($AK453=1,Settings!$C$6,Settings!$C$7)*1)</f>
        <v/>
      </c>
      <c r="AF453" s="7">
        <f>IF($C453="","",AE453*AC453)</f>
        <v/>
      </c>
      <c r="AG453" s="7">
        <f>IF($C453="","",AC453-AF453)</f>
        <v/>
      </c>
      <c r="AH453" s="7">
        <f>IF($C453="","",AG453-R453)</f>
        <v/>
      </c>
      <c r="AI453">
        <f>IF($C453="","",IF(COUNTIF($C$2:$C453,$C453)=1,1,0))</f>
        <v/>
      </c>
      <c r="AJ453">
        <f>IF($AI453=1,SUMPRODUCT(--($AL$2:$AL$1501&lt;$AL453))+1,"")</f>
        <v/>
      </c>
      <c r="AK453">
        <f>IF($C453="","",IF(OR($AD453=TRUE(),$AD453="TRUE"),0,1))</f>
        <v/>
      </c>
      <c r="AL453">
        <f>IF($AI453=1,IFERROR(IF(VALUE($C453)&lt;100000000,VALUE($C453),1000000000),IFERROR(IF(VALUE(MID($C453,2,20))&lt;100000000,VALUE(MID($C453,2,20)),1000000000),1000000000))+ROW()/100000,"")</f>
        <v/>
      </c>
    </row>
    <row r="454">
      <c r="J454" s="7" t="n"/>
      <c r="K454" s="7" t="n"/>
      <c r="R454" s="7">
        <f>IF($C454="","",Q454*AC454/100)</f>
        <v/>
      </c>
      <c r="S454" s="11" t="n"/>
      <c r="U454" s="11" t="n"/>
      <c r="AA454" s="7" t="n"/>
      <c r="AC454" s="7" t="n"/>
      <c r="AE454">
        <f>IF($C454="","",IF($AK454=1,Settings!$C$6,Settings!$C$7)*1)</f>
        <v/>
      </c>
      <c r="AF454" s="7">
        <f>IF($C454="","",AE454*AC454)</f>
        <v/>
      </c>
      <c r="AG454" s="7">
        <f>IF($C454="","",AC454-AF454)</f>
        <v/>
      </c>
      <c r="AH454" s="7">
        <f>IF($C454="","",AG454-R454)</f>
        <v/>
      </c>
      <c r="AI454">
        <f>IF($C454="","",IF(COUNTIF($C$2:$C454,$C454)=1,1,0))</f>
        <v/>
      </c>
      <c r="AJ454">
        <f>IF($AI454=1,SUMPRODUCT(--($AL$2:$AL$1501&lt;$AL454))+1,"")</f>
        <v/>
      </c>
      <c r="AK454">
        <f>IF($C454="","",IF(OR($AD454=TRUE(),$AD454="TRUE"),0,1))</f>
        <v/>
      </c>
      <c r="AL454">
        <f>IF($AI454=1,IFERROR(IF(VALUE($C454)&lt;100000000,VALUE($C454),1000000000),IFERROR(IF(VALUE(MID($C454,2,20))&lt;100000000,VALUE(MID($C454,2,20)),1000000000),1000000000))+ROW()/100000,"")</f>
        <v/>
      </c>
    </row>
    <row r="455">
      <c r="J455" s="7" t="n"/>
      <c r="K455" s="7" t="n"/>
      <c r="R455" s="7">
        <f>IF($C455="","",Q455*AC455/100)</f>
        <v/>
      </c>
      <c r="S455" s="11" t="n"/>
      <c r="U455" s="11" t="n"/>
      <c r="AA455" s="7" t="n"/>
      <c r="AC455" s="7" t="n"/>
      <c r="AE455">
        <f>IF($C455="","",IF($AK455=1,Settings!$C$6,Settings!$C$7)*1)</f>
        <v/>
      </c>
      <c r="AF455" s="7">
        <f>IF($C455="","",AE455*AC455)</f>
        <v/>
      </c>
      <c r="AG455" s="7">
        <f>IF($C455="","",AC455-AF455)</f>
        <v/>
      </c>
      <c r="AH455" s="7">
        <f>IF($C455="","",AG455-R455)</f>
        <v/>
      </c>
      <c r="AI455">
        <f>IF($C455="","",IF(COUNTIF($C$2:$C455,$C455)=1,1,0))</f>
        <v/>
      </c>
      <c r="AJ455">
        <f>IF($AI455=1,SUMPRODUCT(--($AL$2:$AL$1501&lt;$AL455))+1,"")</f>
        <v/>
      </c>
      <c r="AK455">
        <f>IF($C455="","",IF(OR($AD455=TRUE(),$AD455="TRUE"),0,1))</f>
        <v/>
      </c>
      <c r="AL455">
        <f>IF($AI455=1,IFERROR(IF(VALUE($C455)&lt;100000000,VALUE($C455),1000000000),IFERROR(IF(VALUE(MID($C455,2,20))&lt;100000000,VALUE(MID($C455,2,20)),1000000000),1000000000))+ROW()/100000,"")</f>
        <v/>
      </c>
    </row>
    <row r="456">
      <c r="J456" s="7" t="n"/>
      <c r="K456" s="7" t="n"/>
      <c r="R456" s="7">
        <f>IF($C456="","",Q456*AC456/100)</f>
        <v/>
      </c>
      <c r="S456" s="11" t="n"/>
      <c r="U456" s="11" t="n"/>
      <c r="AA456" s="7" t="n"/>
      <c r="AC456" s="7" t="n"/>
      <c r="AE456">
        <f>IF($C456="","",IF($AK456=1,Settings!$C$6,Settings!$C$7)*1)</f>
        <v/>
      </c>
      <c r="AF456" s="7">
        <f>IF($C456="","",AE456*AC456)</f>
        <v/>
      </c>
      <c r="AG456" s="7">
        <f>IF($C456="","",AC456-AF456)</f>
        <v/>
      </c>
      <c r="AH456" s="7">
        <f>IF($C456="","",AG456-R456)</f>
        <v/>
      </c>
      <c r="AI456">
        <f>IF($C456="","",IF(COUNTIF($C$2:$C456,$C456)=1,1,0))</f>
        <v/>
      </c>
      <c r="AJ456">
        <f>IF($AI456=1,SUMPRODUCT(--($AL$2:$AL$1501&lt;$AL456))+1,"")</f>
        <v/>
      </c>
      <c r="AK456">
        <f>IF($C456="","",IF(OR($AD456=TRUE(),$AD456="TRUE"),0,1))</f>
        <v/>
      </c>
      <c r="AL456">
        <f>IF($AI456=1,IFERROR(IF(VALUE($C456)&lt;100000000,VALUE($C456),1000000000),IFERROR(IF(VALUE(MID($C456,2,20))&lt;100000000,VALUE(MID($C456,2,20)),1000000000),1000000000))+ROW()/100000,"")</f>
        <v/>
      </c>
    </row>
    <row r="457">
      <c r="J457" s="7" t="n"/>
      <c r="K457" s="7" t="n"/>
      <c r="R457" s="7">
        <f>IF($C457="","",Q457*AC457/100)</f>
        <v/>
      </c>
      <c r="S457" s="11" t="n"/>
      <c r="U457" s="11" t="n"/>
      <c r="AA457" s="7" t="n"/>
      <c r="AC457" s="7" t="n"/>
      <c r="AE457">
        <f>IF($C457="","",IF($AK457=1,Settings!$C$6,Settings!$C$7)*1)</f>
        <v/>
      </c>
      <c r="AF457" s="7">
        <f>IF($C457="","",AE457*AC457)</f>
        <v/>
      </c>
      <c r="AG457" s="7">
        <f>IF($C457="","",AC457-AF457)</f>
        <v/>
      </c>
      <c r="AH457" s="7">
        <f>IF($C457="","",AG457-R457)</f>
        <v/>
      </c>
      <c r="AI457">
        <f>IF($C457="","",IF(COUNTIF($C$2:$C457,$C457)=1,1,0))</f>
        <v/>
      </c>
      <c r="AJ457">
        <f>IF($AI457=1,SUMPRODUCT(--($AL$2:$AL$1501&lt;$AL457))+1,"")</f>
        <v/>
      </c>
      <c r="AK457">
        <f>IF($C457="","",IF(OR($AD457=TRUE(),$AD457="TRUE"),0,1))</f>
        <v/>
      </c>
      <c r="AL457">
        <f>IF($AI457=1,IFERROR(IF(VALUE($C457)&lt;100000000,VALUE($C457),1000000000),IFERROR(IF(VALUE(MID($C457,2,20))&lt;100000000,VALUE(MID($C457,2,20)),1000000000),1000000000))+ROW()/100000,"")</f>
        <v/>
      </c>
    </row>
    <row r="458">
      <c r="J458" s="7" t="n"/>
      <c r="K458" s="7" t="n"/>
      <c r="R458" s="7">
        <f>IF($C458="","",Q458*AC458/100)</f>
        <v/>
      </c>
      <c r="S458" s="11" t="n"/>
      <c r="U458" s="11" t="n"/>
      <c r="AA458" s="7" t="n"/>
      <c r="AC458" s="7" t="n"/>
      <c r="AE458">
        <f>IF($C458="","",IF($AK458=1,Settings!$C$6,Settings!$C$7)*1)</f>
        <v/>
      </c>
      <c r="AF458" s="7">
        <f>IF($C458="","",AE458*AC458)</f>
        <v/>
      </c>
      <c r="AG458" s="7">
        <f>IF($C458="","",AC458-AF458)</f>
        <v/>
      </c>
      <c r="AH458" s="7">
        <f>IF($C458="","",AG458-R458)</f>
        <v/>
      </c>
      <c r="AI458">
        <f>IF($C458="","",IF(COUNTIF($C$2:$C458,$C458)=1,1,0))</f>
        <v/>
      </c>
      <c r="AJ458">
        <f>IF($AI458=1,SUMPRODUCT(--($AL$2:$AL$1501&lt;$AL458))+1,"")</f>
        <v/>
      </c>
      <c r="AK458">
        <f>IF($C458="","",IF(OR($AD458=TRUE(),$AD458="TRUE"),0,1))</f>
        <v/>
      </c>
      <c r="AL458">
        <f>IF($AI458=1,IFERROR(IF(VALUE($C458)&lt;100000000,VALUE($C458),1000000000),IFERROR(IF(VALUE(MID($C458,2,20))&lt;100000000,VALUE(MID($C458,2,20)),1000000000),1000000000))+ROW()/100000,"")</f>
        <v/>
      </c>
    </row>
    <row r="459">
      <c r="J459" s="7" t="n"/>
      <c r="K459" s="7" t="n"/>
      <c r="R459" s="7">
        <f>IF($C459="","",Q459*AC459/100)</f>
        <v/>
      </c>
      <c r="S459" s="11" t="n"/>
      <c r="U459" s="11" t="n"/>
      <c r="AA459" s="7" t="n"/>
      <c r="AC459" s="7" t="n"/>
      <c r="AE459">
        <f>IF($C459="","",IF($AK459=1,Settings!$C$6,Settings!$C$7)*1)</f>
        <v/>
      </c>
      <c r="AF459" s="7">
        <f>IF($C459="","",AE459*AC459)</f>
        <v/>
      </c>
      <c r="AG459" s="7">
        <f>IF($C459="","",AC459-AF459)</f>
        <v/>
      </c>
      <c r="AH459" s="7">
        <f>IF($C459="","",AG459-R459)</f>
        <v/>
      </c>
      <c r="AI459">
        <f>IF($C459="","",IF(COUNTIF($C$2:$C459,$C459)=1,1,0))</f>
        <v/>
      </c>
      <c r="AJ459">
        <f>IF($AI459=1,SUMPRODUCT(--($AL$2:$AL$1501&lt;$AL459))+1,"")</f>
        <v/>
      </c>
      <c r="AK459">
        <f>IF($C459="","",IF(OR($AD459=TRUE(),$AD459="TRUE"),0,1))</f>
        <v/>
      </c>
      <c r="AL459">
        <f>IF($AI459=1,IFERROR(IF(VALUE($C459)&lt;100000000,VALUE($C459),1000000000),IFERROR(IF(VALUE(MID($C459,2,20))&lt;100000000,VALUE(MID($C459,2,20)),1000000000),1000000000))+ROW()/100000,"")</f>
        <v/>
      </c>
    </row>
    <row r="460">
      <c r="J460" s="7" t="n"/>
      <c r="K460" s="7" t="n"/>
      <c r="R460" s="7">
        <f>IF($C460="","",Q460*AC460/100)</f>
        <v/>
      </c>
      <c r="S460" s="11" t="n"/>
      <c r="U460" s="11" t="n"/>
      <c r="AA460" s="7" t="n"/>
      <c r="AC460" s="7" t="n"/>
      <c r="AE460">
        <f>IF($C460="","",IF($AK460=1,Settings!$C$6,Settings!$C$7)*1)</f>
        <v/>
      </c>
      <c r="AF460" s="7">
        <f>IF($C460="","",AE460*AC460)</f>
        <v/>
      </c>
      <c r="AG460" s="7">
        <f>IF($C460="","",AC460-AF460)</f>
        <v/>
      </c>
      <c r="AH460" s="7">
        <f>IF($C460="","",AG460-R460)</f>
        <v/>
      </c>
      <c r="AI460">
        <f>IF($C460="","",IF(COUNTIF($C$2:$C460,$C460)=1,1,0))</f>
        <v/>
      </c>
      <c r="AJ460">
        <f>IF($AI460=1,SUMPRODUCT(--($AL$2:$AL$1501&lt;$AL460))+1,"")</f>
        <v/>
      </c>
      <c r="AK460">
        <f>IF($C460="","",IF(OR($AD460=TRUE(),$AD460="TRUE"),0,1))</f>
        <v/>
      </c>
      <c r="AL460">
        <f>IF($AI460=1,IFERROR(IF(VALUE($C460)&lt;100000000,VALUE($C460),1000000000),IFERROR(IF(VALUE(MID($C460,2,20))&lt;100000000,VALUE(MID($C460,2,20)),1000000000),1000000000))+ROW()/100000,"")</f>
        <v/>
      </c>
    </row>
    <row r="461">
      <c r="J461" s="7" t="n"/>
      <c r="K461" s="7" t="n"/>
      <c r="R461" s="7">
        <f>IF($C461="","",Q461*AC461/100)</f>
        <v/>
      </c>
      <c r="S461" s="11" t="n"/>
      <c r="U461" s="11" t="n"/>
      <c r="AA461" s="7" t="n"/>
      <c r="AC461" s="7" t="n"/>
      <c r="AE461">
        <f>IF($C461="","",IF($AK461=1,Settings!$C$6,Settings!$C$7)*1)</f>
        <v/>
      </c>
      <c r="AF461" s="7">
        <f>IF($C461="","",AE461*AC461)</f>
        <v/>
      </c>
      <c r="AG461" s="7">
        <f>IF($C461="","",AC461-AF461)</f>
        <v/>
      </c>
      <c r="AH461" s="7">
        <f>IF($C461="","",AG461-R461)</f>
        <v/>
      </c>
      <c r="AI461">
        <f>IF($C461="","",IF(COUNTIF($C$2:$C461,$C461)=1,1,0))</f>
        <v/>
      </c>
      <c r="AJ461">
        <f>IF($AI461=1,SUMPRODUCT(--($AL$2:$AL$1501&lt;$AL461))+1,"")</f>
        <v/>
      </c>
      <c r="AK461">
        <f>IF($C461="","",IF(OR($AD461=TRUE(),$AD461="TRUE"),0,1))</f>
        <v/>
      </c>
      <c r="AL461">
        <f>IF($AI461=1,IFERROR(IF(VALUE($C461)&lt;100000000,VALUE($C461),1000000000),IFERROR(IF(VALUE(MID($C461,2,20))&lt;100000000,VALUE(MID($C461,2,20)),1000000000),1000000000))+ROW()/100000,"")</f>
        <v/>
      </c>
    </row>
    <row r="462">
      <c r="J462" s="7" t="n"/>
      <c r="K462" s="7" t="n"/>
      <c r="R462" s="7">
        <f>IF($C462="","",Q462*AC462/100)</f>
        <v/>
      </c>
      <c r="S462" s="11" t="n"/>
      <c r="U462" s="11" t="n"/>
      <c r="AA462" s="7" t="n"/>
      <c r="AC462" s="7" t="n"/>
      <c r="AE462">
        <f>IF($C462="","",IF($AK462=1,Settings!$C$6,Settings!$C$7)*1)</f>
        <v/>
      </c>
      <c r="AF462" s="7">
        <f>IF($C462="","",AE462*AC462)</f>
        <v/>
      </c>
      <c r="AG462" s="7">
        <f>IF($C462="","",AC462-AF462)</f>
        <v/>
      </c>
      <c r="AH462" s="7">
        <f>IF($C462="","",AG462-R462)</f>
        <v/>
      </c>
      <c r="AI462">
        <f>IF($C462="","",IF(COUNTIF($C$2:$C462,$C462)=1,1,0))</f>
        <v/>
      </c>
      <c r="AJ462">
        <f>IF($AI462=1,SUMPRODUCT(--($AL$2:$AL$1501&lt;$AL462))+1,"")</f>
        <v/>
      </c>
      <c r="AK462">
        <f>IF($C462="","",IF(OR($AD462=TRUE(),$AD462="TRUE"),0,1))</f>
        <v/>
      </c>
      <c r="AL462">
        <f>IF($AI462=1,IFERROR(IF(VALUE($C462)&lt;100000000,VALUE($C462),1000000000),IFERROR(IF(VALUE(MID($C462,2,20))&lt;100000000,VALUE(MID($C462,2,20)),1000000000),1000000000))+ROW()/100000,"")</f>
        <v/>
      </c>
    </row>
    <row r="463">
      <c r="J463" s="7" t="n"/>
      <c r="K463" s="7" t="n"/>
      <c r="R463" s="7">
        <f>IF($C463="","",Q463*AC463/100)</f>
        <v/>
      </c>
      <c r="S463" s="11" t="n"/>
      <c r="U463" s="11" t="n"/>
      <c r="AA463" s="7" t="n"/>
      <c r="AC463" s="7" t="n"/>
      <c r="AE463">
        <f>IF($C463="","",IF($AK463=1,Settings!$C$6,Settings!$C$7)*1)</f>
        <v/>
      </c>
      <c r="AF463" s="7">
        <f>IF($C463="","",AE463*AC463)</f>
        <v/>
      </c>
      <c r="AG463" s="7">
        <f>IF($C463="","",AC463-AF463)</f>
        <v/>
      </c>
      <c r="AH463" s="7">
        <f>IF($C463="","",AG463-R463)</f>
        <v/>
      </c>
      <c r="AI463">
        <f>IF($C463="","",IF(COUNTIF($C$2:$C463,$C463)=1,1,0))</f>
        <v/>
      </c>
      <c r="AJ463">
        <f>IF($AI463=1,SUMPRODUCT(--($AL$2:$AL$1501&lt;$AL463))+1,"")</f>
        <v/>
      </c>
      <c r="AK463">
        <f>IF($C463="","",IF(OR($AD463=TRUE(),$AD463="TRUE"),0,1))</f>
        <v/>
      </c>
      <c r="AL463">
        <f>IF($AI463=1,IFERROR(IF(VALUE($C463)&lt;100000000,VALUE($C463),1000000000),IFERROR(IF(VALUE(MID($C463,2,20))&lt;100000000,VALUE(MID($C463,2,20)),1000000000),1000000000))+ROW()/100000,"")</f>
        <v/>
      </c>
    </row>
    <row r="464">
      <c r="J464" s="7" t="n"/>
      <c r="K464" s="7" t="n"/>
      <c r="R464" s="7">
        <f>IF($C464="","",Q464*AC464/100)</f>
        <v/>
      </c>
      <c r="S464" s="11" t="n"/>
      <c r="U464" s="11" t="n"/>
      <c r="AA464" s="7" t="n"/>
      <c r="AC464" s="7" t="n"/>
      <c r="AE464">
        <f>IF($C464="","",IF($AK464=1,Settings!$C$6,Settings!$C$7)*1)</f>
        <v/>
      </c>
      <c r="AF464" s="7">
        <f>IF($C464="","",AE464*AC464)</f>
        <v/>
      </c>
      <c r="AG464" s="7">
        <f>IF($C464="","",AC464-AF464)</f>
        <v/>
      </c>
      <c r="AH464" s="7">
        <f>IF($C464="","",AG464-R464)</f>
        <v/>
      </c>
      <c r="AI464">
        <f>IF($C464="","",IF(COUNTIF($C$2:$C464,$C464)=1,1,0))</f>
        <v/>
      </c>
      <c r="AJ464">
        <f>IF($AI464=1,SUMPRODUCT(--($AL$2:$AL$1501&lt;$AL464))+1,"")</f>
        <v/>
      </c>
      <c r="AK464">
        <f>IF($C464="","",IF(OR($AD464=TRUE(),$AD464="TRUE"),0,1))</f>
        <v/>
      </c>
      <c r="AL464">
        <f>IF($AI464=1,IFERROR(IF(VALUE($C464)&lt;100000000,VALUE($C464),1000000000),IFERROR(IF(VALUE(MID($C464,2,20))&lt;100000000,VALUE(MID($C464,2,20)),1000000000),1000000000))+ROW()/100000,"")</f>
        <v/>
      </c>
    </row>
    <row r="465">
      <c r="J465" s="7" t="n"/>
      <c r="K465" s="7" t="n"/>
      <c r="R465" s="7">
        <f>IF($C465="","",Q465*AC465/100)</f>
        <v/>
      </c>
      <c r="S465" s="11" t="n"/>
      <c r="U465" s="11" t="n"/>
      <c r="AA465" s="7" t="n"/>
      <c r="AC465" s="7" t="n"/>
      <c r="AE465">
        <f>IF($C465="","",IF($AK465=1,Settings!$C$6,Settings!$C$7)*1)</f>
        <v/>
      </c>
      <c r="AF465" s="7">
        <f>IF($C465="","",AE465*AC465)</f>
        <v/>
      </c>
      <c r="AG465" s="7">
        <f>IF($C465="","",AC465-AF465)</f>
        <v/>
      </c>
      <c r="AH465" s="7">
        <f>IF($C465="","",AG465-R465)</f>
        <v/>
      </c>
      <c r="AI465">
        <f>IF($C465="","",IF(COUNTIF($C$2:$C465,$C465)=1,1,0))</f>
        <v/>
      </c>
      <c r="AJ465">
        <f>IF($AI465=1,SUMPRODUCT(--($AL$2:$AL$1501&lt;$AL465))+1,"")</f>
        <v/>
      </c>
      <c r="AK465">
        <f>IF($C465="","",IF(OR($AD465=TRUE(),$AD465="TRUE"),0,1))</f>
        <v/>
      </c>
      <c r="AL465">
        <f>IF($AI465=1,IFERROR(IF(VALUE($C465)&lt;100000000,VALUE($C465),1000000000),IFERROR(IF(VALUE(MID($C465,2,20))&lt;100000000,VALUE(MID($C465,2,20)),1000000000),1000000000))+ROW()/100000,"")</f>
        <v/>
      </c>
    </row>
    <row r="466">
      <c r="J466" s="7" t="n"/>
      <c r="K466" s="7" t="n"/>
      <c r="R466" s="7">
        <f>IF($C466="","",Q466*AC466/100)</f>
        <v/>
      </c>
      <c r="S466" s="11" t="n"/>
      <c r="U466" s="11" t="n"/>
      <c r="AA466" s="7" t="n"/>
      <c r="AC466" s="7" t="n"/>
      <c r="AE466">
        <f>IF($C466="","",IF($AK466=1,Settings!$C$6,Settings!$C$7)*1)</f>
        <v/>
      </c>
      <c r="AF466" s="7">
        <f>IF($C466="","",AE466*AC466)</f>
        <v/>
      </c>
      <c r="AG466" s="7">
        <f>IF($C466="","",AC466-AF466)</f>
        <v/>
      </c>
      <c r="AH466" s="7">
        <f>IF($C466="","",AG466-R466)</f>
        <v/>
      </c>
      <c r="AI466">
        <f>IF($C466="","",IF(COUNTIF($C$2:$C466,$C466)=1,1,0))</f>
        <v/>
      </c>
      <c r="AJ466">
        <f>IF($AI466=1,SUMPRODUCT(--($AL$2:$AL$1501&lt;$AL466))+1,"")</f>
        <v/>
      </c>
      <c r="AK466">
        <f>IF($C466="","",IF(OR($AD466=TRUE(),$AD466="TRUE"),0,1))</f>
        <v/>
      </c>
      <c r="AL466">
        <f>IF($AI466=1,IFERROR(IF(VALUE($C466)&lt;100000000,VALUE($C466),1000000000),IFERROR(IF(VALUE(MID($C466,2,20))&lt;100000000,VALUE(MID($C466,2,20)),1000000000),1000000000))+ROW()/100000,"")</f>
        <v/>
      </c>
    </row>
    <row r="467">
      <c r="J467" s="7" t="n"/>
      <c r="K467" s="7" t="n"/>
      <c r="R467" s="7">
        <f>IF($C467="","",Q467*AC467/100)</f>
        <v/>
      </c>
      <c r="S467" s="11" t="n"/>
      <c r="U467" s="11" t="n"/>
      <c r="AA467" s="7" t="n"/>
      <c r="AC467" s="7" t="n"/>
      <c r="AE467">
        <f>IF($C467="","",IF($AK467=1,Settings!$C$6,Settings!$C$7)*1)</f>
        <v/>
      </c>
      <c r="AF467" s="7">
        <f>IF($C467="","",AE467*AC467)</f>
        <v/>
      </c>
      <c r="AG467" s="7">
        <f>IF($C467="","",AC467-AF467)</f>
        <v/>
      </c>
      <c r="AH467" s="7">
        <f>IF($C467="","",AG467-R467)</f>
        <v/>
      </c>
      <c r="AI467">
        <f>IF($C467="","",IF(COUNTIF($C$2:$C467,$C467)=1,1,0))</f>
        <v/>
      </c>
      <c r="AJ467">
        <f>IF($AI467=1,SUMPRODUCT(--($AL$2:$AL$1501&lt;$AL467))+1,"")</f>
        <v/>
      </c>
      <c r="AK467">
        <f>IF($C467="","",IF(OR($AD467=TRUE(),$AD467="TRUE"),0,1))</f>
        <v/>
      </c>
      <c r="AL467">
        <f>IF($AI467=1,IFERROR(IF(VALUE($C467)&lt;100000000,VALUE($C467),1000000000),IFERROR(IF(VALUE(MID($C467,2,20))&lt;100000000,VALUE(MID($C467,2,20)),1000000000),1000000000))+ROW()/100000,"")</f>
        <v/>
      </c>
    </row>
    <row r="468">
      <c r="J468" s="7" t="n"/>
      <c r="K468" s="7" t="n"/>
      <c r="R468" s="7">
        <f>IF($C468="","",Q468*AC468/100)</f>
        <v/>
      </c>
      <c r="S468" s="11" t="n"/>
      <c r="U468" s="11" t="n"/>
      <c r="AA468" s="7" t="n"/>
      <c r="AC468" s="7" t="n"/>
      <c r="AE468">
        <f>IF($C468="","",IF($AK468=1,Settings!$C$6,Settings!$C$7)*1)</f>
        <v/>
      </c>
      <c r="AF468" s="7">
        <f>IF($C468="","",AE468*AC468)</f>
        <v/>
      </c>
      <c r="AG468" s="7">
        <f>IF($C468="","",AC468-AF468)</f>
        <v/>
      </c>
      <c r="AH468" s="7">
        <f>IF($C468="","",AG468-R468)</f>
        <v/>
      </c>
      <c r="AI468">
        <f>IF($C468="","",IF(COUNTIF($C$2:$C468,$C468)=1,1,0))</f>
        <v/>
      </c>
      <c r="AJ468">
        <f>IF($AI468=1,SUMPRODUCT(--($AL$2:$AL$1501&lt;$AL468))+1,"")</f>
        <v/>
      </c>
      <c r="AK468">
        <f>IF($C468="","",IF(OR($AD468=TRUE(),$AD468="TRUE"),0,1))</f>
        <v/>
      </c>
      <c r="AL468">
        <f>IF($AI468=1,IFERROR(IF(VALUE($C468)&lt;100000000,VALUE($C468),1000000000),IFERROR(IF(VALUE(MID($C468,2,20))&lt;100000000,VALUE(MID($C468,2,20)),1000000000),1000000000))+ROW()/100000,"")</f>
        <v/>
      </c>
    </row>
    <row r="469">
      <c r="J469" s="7" t="n"/>
      <c r="K469" s="7" t="n"/>
      <c r="R469" s="7">
        <f>IF($C469="","",Q469*AC469/100)</f>
        <v/>
      </c>
      <c r="S469" s="11" t="n"/>
      <c r="U469" s="11" t="n"/>
      <c r="AA469" s="7" t="n"/>
      <c r="AC469" s="7" t="n"/>
      <c r="AE469">
        <f>IF($C469="","",IF($AK469=1,Settings!$C$6,Settings!$C$7)*1)</f>
        <v/>
      </c>
      <c r="AF469" s="7">
        <f>IF($C469="","",AE469*AC469)</f>
        <v/>
      </c>
      <c r="AG469" s="7">
        <f>IF($C469="","",AC469-AF469)</f>
        <v/>
      </c>
      <c r="AH469" s="7">
        <f>IF($C469="","",AG469-R469)</f>
        <v/>
      </c>
      <c r="AI469">
        <f>IF($C469="","",IF(COUNTIF($C$2:$C469,$C469)=1,1,0))</f>
        <v/>
      </c>
      <c r="AJ469">
        <f>IF($AI469=1,SUMPRODUCT(--($AL$2:$AL$1501&lt;$AL469))+1,"")</f>
        <v/>
      </c>
      <c r="AK469">
        <f>IF($C469="","",IF(OR($AD469=TRUE(),$AD469="TRUE"),0,1))</f>
        <v/>
      </c>
      <c r="AL469">
        <f>IF($AI469=1,IFERROR(IF(VALUE($C469)&lt;100000000,VALUE($C469),1000000000),IFERROR(IF(VALUE(MID($C469,2,20))&lt;100000000,VALUE(MID($C469,2,20)),1000000000),1000000000))+ROW()/100000,"")</f>
        <v/>
      </c>
    </row>
    <row r="470">
      <c r="J470" s="7" t="n"/>
      <c r="K470" s="7" t="n"/>
      <c r="R470" s="7">
        <f>IF($C470="","",Q470*AC470/100)</f>
        <v/>
      </c>
      <c r="S470" s="11" t="n"/>
      <c r="U470" s="11" t="n"/>
      <c r="AA470" s="7" t="n"/>
      <c r="AC470" s="7" t="n"/>
      <c r="AE470">
        <f>IF($C470="","",IF($AK470=1,Settings!$C$6,Settings!$C$7)*1)</f>
        <v/>
      </c>
      <c r="AF470" s="7">
        <f>IF($C470="","",AE470*AC470)</f>
        <v/>
      </c>
      <c r="AG470" s="7">
        <f>IF($C470="","",AC470-AF470)</f>
        <v/>
      </c>
      <c r="AH470" s="7">
        <f>IF($C470="","",AG470-R470)</f>
        <v/>
      </c>
      <c r="AI470">
        <f>IF($C470="","",IF(COUNTIF($C$2:$C470,$C470)=1,1,0))</f>
        <v/>
      </c>
      <c r="AJ470">
        <f>IF($AI470=1,SUMPRODUCT(--($AL$2:$AL$1501&lt;$AL470))+1,"")</f>
        <v/>
      </c>
      <c r="AK470">
        <f>IF($C470="","",IF(OR($AD470=TRUE(),$AD470="TRUE"),0,1))</f>
        <v/>
      </c>
      <c r="AL470">
        <f>IF($AI470=1,IFERROR(IF(VALUE($C470)&lt;100000000,VALUE($C470),1000000000),IFERROR(IF(VALUE(MID($C470,2,20))&lt;100000000,VALUE(MID($C470,2,20)),1000000000),1000000000))+ROW()/100000,"")</f>
        <v/>
      </c>
    </row>
    <row r="471">
      <c r="J471" s="7" t="n"/>
      <c r="K471" s="7" t="n"/>
      <c r="R471" s="7">
        <f>IF($C471="","",Q471*AC471/100)</f>
        <v/>
      </c>
      <c r="S471" s="11" t="n"/>
      <c r="U471" s="11" t="n"/>
      <c r="AA471" s="7" t="n"/>
      <c r="AC471" s="7" t="n"/>
      <c r="AE471">
        <f>IF($C471="","",IF($AK471=1,Settings!$C$6,Settings!$C$7)*1)</f>
        <v/>
      </c>
      <c r="AF471" s="7">
        <f>IF($C471="","",AE471*AC471)</f>
        <v/>
      </c>
      <c r="AG471" s="7">
        <f>IF($C471="","",AC471-AF471)</f>
        <v/>
      </c>
      <c r="AH471" s="7">
        <f>IF($C471="","",AG471-R471)</f>
        <v/>
      </c>
      <c r="AI471">
        <f>IF($C471="","",IF(COUNTIF($C$2:$C471,$C471)=1,1,0))</f>
        <v/>
      </c>
      <c r="AJ471">
        <f>IF($AI471=1,SUMPRODUCT(--($AL$2:$AL$1501&lt;$AL471))+1,"")</f>
        <v/>
      </c>
      <c r="AK471">
        <f>IF($C471="","",IF(OR($AD471=TRUE(),$AD471="TRUE"),0,1))</f>
        <v/>
      </c>
      <c r="AL471">
        <f>IF($AI471=1,IFERROR(IF(VALUE($C471)&lt;100000000,VALUE($C471),1000000000),IFERROR(IF(VALUE(MID($C471,2,20))&lt;100000000,VALUE(MID($C471,2,20)),1000000000),1000000000))+ROW()/100000,"")</f>
        <v/>
      </c>
    </row>
    <row r="472">
      <c r="J472" s="7" t="n"/>
      <c r="K472" s="7" t="n"/>
      <c r="R472" s="7">
        <f>IF($C472="","",Q472*AC472/100)</f>
        <v/>
      </c>
      <c r="S472" s="11" t="n"/>
      <c r="U472" s="11" t="n"/>
      <c r="AA472" s="7" t="n"/>
      <c r="AC472" s="7" t="n"/>
      <c r="AE472">
        <f>IF($C472="","",IF($AK472=1,Settings!$C$6,Settings!$C$7)*1)</f>
        <v/>
      </c>
      <c r="AF472" s="7">
        <f>IF($C472="","",AE472*AC472)</f>
        <v/>
      </c>
      <c r="AG472" s="7">
        <f>IF($C472="","",AC472-AF472)</f>
        <v/>
      </c>
      <c r="AH472" s="7">
        <f>IF($C472="","",AG472-R472)</f>
        <v/>
      </c>
      <c r="AI472">
        <f>IF($C472="","",IF(COUNTIF($C$2:$C472,$C472)=1,1,0))</f>
        <v/>
      </c>
      <c r="AJ472">
        <f>IF($AI472=1,SUMPRODUCT(--($AL$2:$AL$1501&lt;$AL472))+1,"")</f>
        <v/>
      </c>
      <c r="AK472">
        <f>IF($C472="","",IF(OR($AD472=TRUE(),$AD472="TRUE"),0,1))</f>
        <v/>
      </c>
      <c r="AL472">
        <f>IF($AI472=1,IFERROR(IF(VALUE($C472)&lt;100000000,VALUE($C472),1000000000),IFERROR(IF(VALUE(MID($C472,2,20))&lt;100000000,VALUE(MID($C472,2,20)),1000000000),1000000000))+ROW()/100000,"")</f>
        <v/>
      </c>
    </row>
    <row r="473">
      <c r="J473" s="7" t="n"/>
      <c r="K473" s="7" t="n"/>
      <c r="R473" s="7">
        <f>IF($C473="","",Q473*AC473/100)</f>
        <v/>
      </c>
      <c r="S473" s="11" t="n"/>
      <c r="U473" s="11" t="n"/>
      <c r="AA473" s="7" t="n"/>
      <c r="AC473" s="7" t="n"/>
      <c r="AE473">
        <f>IF($C473="","",IF($AK473=1,Settings!$C$6,Settings!$C$7)*1)</f>
        <v/>
      </c>
      <c r="AF473" s="7">
        <f>IF($C473="","",AE473*AC473)</f>
        <v/>
      </c>
      <c r="AG473" s="7">
        <f>IF($C473="","",AC473-AF473)</f>
        <v/>
      </c>
      <c r="AH473" s="7">
        <f>IF($C473="","",AG473-R473)</f>
        <v/>
      </c>
      <c r="AI473">
        <f>IF($C473="","",IF(COUNTIF($C$2:$C473,$C473)=1,1,0))</f>
        <v/>
      </c>
      <c r="AJ473">
        <f>IF($AI473=1,SUMPRODUCT(--($AL$2:$AL$1501&lt;$AL473))+1,"")</f>
        <v/>
      </c>
      <c r="AK473">
        <f>IF($C473="","",IF(OR($AD473=TRUE(),$AD473="TRUE"),0,1))</f>
        <v/>
      </c>
      <c r="AL473">
        <f>IF($AI473=1,IFERROR(IF(VALUE($C473)&lt;100000000,VALUE($C473),1000000000),IFERROR(IF(VALUE(MID($C473,2,20))&lt;100000000,VALUE(MID($C473,2,20)),1000000000),1000000000))+ROW()/100000,"")</f>
        <v/>
      </c>
    </row>
    <row r="474">
      <c r="J474" s="7" t="n"/>
      <c r="K474" s="7" t="n"/>
      <c r="R474" s="7">
        <f>IF($C474="","",Q474*AC474/100)</f>
        <v/>
      </c>
      <c r="S474" s="11" t="n"/>
      <c r="U474" s="11" t="n"/>
      <c r="AA474" s="7" t="n"/>
      <c r="AC474" s="7" t="n"/>
      <c r="AE474">
        <f>IF($C474="","",IF($AK474=1,Settings!$C$6,Settings!$C$7)*1)</f>
        <v/>
      </c>
      <c r="AF474" s="7">
        <f>IF($C474="","",AE474*AC474)</f>
        <v/>
      </c>
      <c r="AG474" s="7">
        <f>IF($C474="","",AC474-AF474)</f>
        <v/>
      </c>
      <c r="AH474" s="7">
        <f>IF($C474="","",AG474-R474)</f>
        <v/>
      </c>
      <c r="AI474">
        <f>IF($C474="","",IF(COUNTIF($C$2:$C474,$C474)=1,1,0))</f>
        <v/>
      </c>
      <c r="AJ474">
        <f>IF($AI474=1,SUMPRODUCT(--($AL$2:$AL$1501&lt;$AL474))+1,"")</f>
        <v/>
      </c>
      <c r="AK474">
        <f>IF($C474="","",IF(OR($AD474=TRUE(),$AD474="TRUE"),0,1))</f>
        <v/>
      </c>
      <c r="AL474">
        <f>IF($AI474=1,IFERROR(IF(VALUE($C474)&lt;100000000,VALUE($C474),1000000000),IFERROR(IF(VALUE(MID($C474,2,20))&lt;100000000,VALUE(MID($C474,2,20)),1000000000),1000000000))+ROW()/100000,"")</f>
        <v/>
      </c>
    </row>
    <row r="475">
      <c r="J475" s="7" t="n"/>
      <c r="K475" s="7" t="n"/>
      <c r="R475" s="7">
        <f>IF($C475="","",Q475*AC475/100)</f>
        <v/>
      </c>
      <c r="S475" s="11" t="n"/>
      <c r="U475" s="11" t="n"/>
      <c r="AA475" s="7" t="n"/>
      <c r="AC475" s="7" t="n"/>
      <c r="AE475">
        <f>IF($C475="","",IF($AK475=1,Settings!$C$6,Settings!$C$7)*1)</f>
        <v/>
      </c>
      <c r="AF475" s="7">
        <f>IF($C475="","",AE475*AC475)</f>
        <v/>
      </c>
      <c r="AG475" s="7">
        <f>IF($C475="","",AC475-AF475)</f>
        <v/>
      </c>
      <c r="AH475" s="7">
        <f>IF($C475="","",AG475-R475)</f>
        <v/>
      </c>
      <c r="AI475">
        <f>IF($C475="","",IF(COUNTIF($C$2:$C475,$C475)=1,1,0))</f>
        <v/>
      </c>
      <c r="AJ475">
        <f>IF($AI475=1,SUMPRODUCT(--($AL$2:$AL$1501&lt;$AL475))+1,"")</f>
        <v/>
      </c>
      <c r="AK475">
        <f>IF($C475="","",IF(OR($AD475=TRUE(),$AD475="TRUE"),0,1))</f>
        <v/>
      </c>
      <c r="AL475">
        <f>IF($AI475=1,IFERROR(IF(VALUE($C475)&lt;100000000,VALUE($C475),1000000000),IFERROR(IF(VALUE(MID($C475,2,20))&lt;100000000,VALUE(MID($C475,2,20)),1000000000),1000000000))+ROW()/100000,"")</f>
        <v/>
      </c>
    </row>
    <row r="476">
      <c r="J476" s="7" t="n"/>
      <c r="K476" s="7" t="n"/>
      <c r="R476" s="7">
        <f>IF($C476="","",Q476*AC476/100)</f>
        <v/>
      </c>
      <c r="S476" s="11" t="n"/>
      <c r="U476" s="11" t="n"/>
      <c r="AA476" s="7" t="n"/>
      <c r="AC476" s="7" t="n"/>
      <c r="AE476">
        <f>IF($C476="","",IF($AK476=1,Settings!$C$6,Settings!$C$7)*1)</f>
        <v/>
      </c>
      <c r="AF476" s="7">
        <f>IF($C476="","",AE476*AC476)</f>
        <v/>
      </c>
      <c r="AG476" s="7">
        <f>IF($C476="","",AC476-AF476)</f>
        <v/>
      </c>
      <c r="AH476" s="7">
        <f>IF($C476="","",AG476-R476)</f>
        <v/>
      </c>
      <c r="AI476">
        <f>IF($C476="","",IF(COUNTIF($C$2:$C476,$C476)=1,1,0))</f>
        <v/>
      </c>
      <c r="AJ476">
        <f>IF($AI476=1,SUMPRODUCT(--($AL$2:$AL$1501&lt;$AL476))+1,"")</f>
        <v/>
      </c>
      <c r="AK476">
        <f>IF($C476="","",IF(OR($AD476=TRUE(),$AD476="TRUE"),0,1))</f>
        <v/>
      </c>
      <c r="AL476">
        <f>IF($AI476=1,IFERROR(IF(VALUE($C476)&lt;100000000,VALUE($C476),1000000000),IFERROR(IF(VALUE(MID($C476,2,20))&lt;100000000,VALUE(MID($C476,2,20)),1000000000),1000000000))+ROW()/100000,"")</f>
        <v/>
      </c>
    </row>
    <row r="477">
      <c r="J477" s="7" t="n"/>
      <c r="K477" s="7" t="n"/>
      <c r="R477" s="7">
        <f>IF($C477="","",Q477*AC477/100)</f>
        <v/>
      </c>
      <c r="S477" s="11" t="n"/>
      <c r="U477" s="11" t="n"/>
      <c r="AA477" s="7" t="n"/>
      <c r="AC477" s="7" t="n"/>
      <c r="AE477">
        <f>IF($C477="","",IF($AK477=1,Settings!$C$6,Settings!$C$7)*1)</f>
        <v/>
      </c>
      <c r="AF477" s="7">
        <f>IF($C477="","",AE477*AC477)</f>
        <v/>
      </c>
      <c r="AG477" s="7">
        <f>IF($C477="","",AC477-AF477)</f>
        <v/>
      </c>
      <c r="AH477" s="7">
        <f>IF($C477="","",AG477-R477)</f>
        <v/>
      </c>
      <c r="AI477">
        <f>IF($C477="","",IF(COUNTIF($C$2:$C477,$C477)=1,1,0))</f>
        <v/>
      </c>
      <c r="AJ477">
        <f>IF($AI477=1,SUMPRODUCT(--($AL$2:$AL$1501&lt;$AL477))+1,"")</f>
        <v/>
      </c>
      <c r="AK477">
        <f>IF($C477="","",IF(OR($AD477=TRUE(),$AD477="TRUE"),0,1))</f>
        <v/>
      </c>
      <c r="AL477">
        <f>IF($AI477=1,IFERROR(IF(VALUE($C477)&lt;100000000,VALUE($C477),1000000000),IFERROR(IF(VALUE(MID($C477,2,20))&lt;100000000,VALUE(MID($C477,2,20)),1000000000),1000000000))+ROW()/100000,"")</f>
        <v/>
      </c>
    </row>
    <row r="478">
      <c r="J478" s="7" t="n"/>
      <c r="K478" s="7" t="n"/>
      <c r="R478" s="7">
        <f>IF($C478="","",Q478*AC478/100)</f>
        <v/>
      </c>
      <c r="S478" s="11" t="n"/>
      <c r="U478" s="11" t="n"/>
      <c r="AA478" s="7" t="n"/>
      <c r="AC478" s="7" t="n"/>
      <c r="AE478">
        <f>IF($C478="","",IF($AK478=1,Settings!$C$6,Settings!$C$7)*1)</f>
        <v/>
      </c>
      <c r="AF478" s="7">
        <f>IF($C478="","",AE478*AC478)</f>
        <v/>
      </c>
      <c r="AG478" s="7">
        <f>IF($C478="","",AC478-AF478)</f>
        <v/>
      </c>
      <c r="AH478" s="7">
        <f>IF($C478="","",AG478-R478)</f>
        <v/>
      </c>
      <c r="AI478">
        <f>IF($C478="","",IF(COUNTIF($C$2:$C478,$C478)=1,1,0))</f>
        <v/>
      </c>
      <c r="AJ478">
        <f>IF($AI478=1,SUMPRODUCT(--($AL$2:$AL$1501&lt;$AL478))+1,"")</f>
        <v/>
      </c>
      <c r="AK478">
        <f>IF($C478="","",IF(OR($AD478=TRUE(),$AD478="TRUE"),0,1))</f>
        <v/>
      </c>
      <c r="AL478">
        <f>IF($AI478=1,IFERROR(IF(VALUE($C478)&lt;100000000,VALUE($C478),1000000000),IFERROR(IF(VALUE(MID($C478,2,20))&lt;100000000,VALUE(MID($C478,2,20)),1000000000),1000000000))+ROW()/100000,"")</f>
        <v/>
      </c>
    </row>
    <row r="479">
      <c r="J479" s="7" t="n"/>
      <c r="K479" s="7" t="n"/>
      <c r="R479" s="7">
        <f>IF($C479="","",Q479*AC479/100)</f>
        <v/>
      </c>
      <c r="S479" s="11" t="n"/>
      <c r="U479" s="11" t="n"/>
      <c r="AA479" s="7" t="n"/>
      <c r="AC479" s="7" t="n"/>
      <c r="AE479">
        <f>IF($C479="","",IF($AK479=1,Settings!$C$6,Settings!$C$7)*1)</f>
        <v/>
      </c>
      <c r="AF479" s="7">
        <f>IF($C479="","",AE479*AC479)</f>
        <v/>
      </c>
      <c r="AG479" s="7">
        <f>IF($C479="","",AC479-AF479)</f>
        <v/>
      </c>
      <c r="AH479" s="7">
        <f>IF($C479="","",AG479-R479)</f>
        <v/>
      </c>
      <c r="AI479">
        <f>IF($C479="","",IF(COUNTIF($C$2:$C479,$C479)=1,1,0))</f>
        <v/>
      </c>
      <c r="AJ479">
        <f>IF($AI479=1,SUMPRODUCT(--($AL$2:$AL$1501&lt;$AL479))+1,"")</f>
        <v/>
      </c>
      <c r="AK479">
        <f>IF($C479="","",IF(OR($AD479=TRUE(),$AD479="TRUE"),0,1))</f>
        <v/>
      </c>
      <c r="AL479">
        <f>IF($AI479=1,IFERROR(IF(VALUE($C479)&lt;100000000,VALUE($C479),1000000000),IFERROR(IF(VALUE(MID($C479,2,20))&lt;100000000,VALUE(MID($C479,2,20)),1000000000),1000000000))+ROW()/100000,"")</f>
        <v/>
      </c>
    </row>
    <row r="480">
      <c r="J480" s="7" t="n"/>
      <c r="K480" s="7" t="n"/>
      <c r="R480" s="7">
        <f>IF($C480="","",Q480*AC480/100)</f>
        <v/>
      </c>
      <c r="S480" s="11" t="n"/>
      <c r="U480" s="11" t="n"/>
      <c r="AA480" s="7" t="n"/>
      <c r="AC480" s="7" t="n"/>
      <c r="AE480">
        <f>IF($C480="","",IF($AK480=1,Settings!$C$6,Settings!$C$7)*1)</f>
        <v/>
      </c>
      <c r="AF480" s="7">
        <f>IF($C480="","",AE480*AC480)</f>
        <v/>
      </c>
      <c r="AG480" s="7">
        <f>IF($C480="","",AC480-AF480)</f>
        <v/>
      </c>
      <c r="AH480" s="7">
        <f>IF($C480="","",AG480-R480)</f>
        <v/>
      </c>
      <c r="AI480">
        <f>IF($C480="","",IF(COUNTIF($C$2:$C480,$C480)=1,1,0))</f>
        <v/>
      </c>
      <c r="AJ480">
        <f>IF($AI480=1,SUMPRODUCT(--($AL$2:$AL$1501&lt;$AL480))+1,"")</f>
        <v/>
      </c>
      <c r="AK480">
        <f>IF($C480="","",IF(OR($AD480=TRUE(),$AD480="TRUE"),0,1))</f>
        <v/>
      </c>
      <c r="AL480">
        <f>IF($AI480=1,IFERROR(IF(VALUE($C480)&lt;100000000,VALUE($C480),1000000000),IFERROR(IF(VALUE(MID($C480,2,20))&lt;100000000,VALUE(MID($C480,2,20)),1000000000),1000000000))+ROW()/100000,"")</f>
        <v/>
      </c>
    </row>
    <row r="481">
      <c r="J481" s="7" t="n"/>
      <c r="K481" s="7" t="n"/>
      <c r="R481" s="7">
        <f>IF($C481="","",Q481*AC481/100)</f>
        <v/>
      </c>
      <c r="S481" s="11" t="n"/>
      <c r="U481" s="11" t="n"/>
      <c r="AA481" s="7" t="n"/>
      <c r="AC481" s="7" t="n"/>
      <c r="AE481">
        <f>IF($C481="","",IF($AK481=1,Settings!$C$6,Settings!$C$7)*1)</f>
        <v/>
      </c>
      <c r="AF481" s="7">
        <f>IF($C481="","",AE481*AC481)</f>
        <v/>
      </c>
      <c r="AG481" s="7">
        <f>IF($C481="","",AC481-AF481)</f>
        <v/>
      </c>
      <c r="AH481" s="7">
        <f>IF($C481="","",AG481-R481)</f>
        <v/>
      </c>
      <c r="AI481">
        <f>IF($C481="","",IF(COUNTIF($C$2:$C481,$C481)=1,1,0))</f>
        <v/>
      </c>
      <c r="AJ481">
        <f>IF($AI481=1,SUMPRODUCT(--($AL$2:$AL$1501&lt;$AL481))+1,"")</f>
        <v/>
      </c>
      <c r="AK481">
        <f>IF($C481="","",IF(OR($AD481=TRUE(),$AD481="TRUE"),0,1))</f>
        <v/>
      </c>
      <c r="AL481">
        <f>IF($AI481=1,IFERROR(IF(VALUE($C481)&lt;100000000,VALUE($C481),1000000000),IFERROR(IF(VALUE(MID($C481,2,20))&lt;100000000,VALUE(MID($C481,2,20)),1000000000),1000000000))+ROW()/100000,"")</f>
        <v/>
      </c>
    </row>
    <row r="482">
      <c r="J482" s="7" t="n"/>
      <c r="K482" s="7" t="n"/>
      <c r="R482" s="7">
        <f>IF($C482="","",Q482*AC482/100)</f>
        <v/>
      </c>
      <c r="S482" s="11" t="n"/>
      <c r="U482" s="11" t="n"/>
      <c r="AA482" s="7" t="n"/>
      <c r="AC482" s="7" t="n"/>
      <c r="AE482">
        <f>IF($C482="","",IF($AK482=1,Settings!$C$6,Settings!$C$7)*1)</f>
        <v/>
      </c>
      <c r="AF482" s="7">
        <f>IF($C482="","",AE482*AC482)</f>
        <v/>
      </c>
      <c r="AG482" s="7">
        <f>IF($C482="","",AC482-AF482)</f>
        <v/>
      </c>
      <c r="AH482" s="7">
        <f>IF($C482="","",AG482-R482)</f>
        <v/>
      </c>
      <c r="AI482">
        <f>IF($C482="","",IF(COUNTIF($C$2:$C482,$C482)=1,1,0))</f>
        <v/>
      </c>
      <c r="AJ482">
        <f>IF($AI482=1,SUMPRODUCT(--($AL$2:$AL$1501&lt;$AL482))+1,"")</f>
        <v/>
      </c>
      <c r="AK482">
        <f>IF($C482="","",IF(OR($AD482=TRUE(),$AD482="TRUE"),0,1))</f>
        <v/>
      </c>
      <c r="AL482">
        <f>IF($AI482=1,IFERROR(IF(VALUE($C482)&lt;100000000,VALUE($C482),1000000000),IFERROR(IF(VALUE(MID($C482,2,20))&lt;100000000,VALUE(MID($C482,2,20)),1000000000),1000000000))+ROW()/100000,"")</f>
        <v/>
      </c>
    </row>
    <row r="483">
      <c r="J483" s="7" t="n"/>
      <c r="K483" s="7" t="n"/>
      <c r="R483" s="7">
        <f>IF($C483="","",Q483*AC483/100)</f>
        <v/>
      </c>
      <c r="S483" s="11" t="n"/>
      <c r="U483" s="11" t="n"/>
      <c r="AA483" s="7" t="n"/>
      <c r="AC483" s="7" t="n"/>
      <c r="AE483">
        <f>IF($C483="","",IF($AK483=1,Settings!$C$6,Settings!$C$7)*1)</f>
        <v/>
      </c>
      <c r="AF483" s="7">
        <f>IF($C483="","",AE483*AC483)</f>
        <v/>
      </c>
      <c r="AG483" s="7">
        <f>IF($C483="","",AC483-AF483)</f>
        <v/>
      </c>
      <c r="AH483" s="7">
        <f>IF($C483="","",AG483-R483)</f>
        <v/>
      </c>
      <c r="AI483">
        <f>IF($C483="","",IF(COUNTIF($C$2:$C483,$C483)=1,1,0))</f>
        <v/>
      </c>
      <c r="AJ483">
        <f>IF($AI483=1,SUMPRODUCT(--($AL$2:$AL$1501&lt;$AL483))+1,"")</f>
        <v/>
      </c>
      <c r="AK483">
        <f>IF($C483="","",IF(OR($AD483=TRUE(),$AD483="TRUE"),0,1))</f>
        <v/>
      </c>
      <c r="AL483">
        <f>IF($AI483=1,IFERROR(IF(VALUE($C483)&lt;100000000,VALUE($C483),1000000000),IFERROR(IF(VALUE(MID($C483,2,20))&lt;100000000,VALUE(MID($C483,2,20)),1000000000),1000000000))+ROW()/100000,"")</f>
        <v/>
      </c>
    </row>
    <row r="484">
      <c r="J484" s="7" t="n"/>
      <c r="K484" s="7" t="n"/>
      <c r="R484" s="7">
        <f>IF($C484="","",Q484*AC484/100)</f>
        <v/>
      </c>
      <c r="S484" s="11" t="n"/>
      <c r="U484" s="11" t="n"/>
      <c r="AA484" s="7" t="n"/>
      <c r="AC484" s="7" t="n"/>
      <c r="AE484">
        <f>IF($C484="","",IF($AK484=1,Settings!$C$6,Settings!$C$7)*1)</f>
        <v/>
      </c>
      <c r="AF484" s="7">
        <f>IF($C484="","",AE484*AC484)</f>
        <v/>
      </c>
      <c r="AG484" s="7">
        <f>IF($C484="","",AC484-AF484)</f>
        <v/>
      </c>
      <c r="AH484" s="7">
        <f>IF($C484="","",AG484-R484)</f>
        <v/>
      </c>
      <c r="AI484">
        <f>IF($C484="","",IF(COUNTIF($C$2:$C484,$C484)=1,1,0))</f>
        <v/>
      </c>
      <c r="AJ484">
        <f>IF($AI484=1,SUMPRODUCT(--($AL$2:$AL$1501&lt;$AL484))+1,"")</f>
        <v/>
      </c>
      <c r="AK484">
        <f>IF($C484="","",IF(OR($AD484=TRUE(),$AD484="TRUE"),0,1))</f>
        <v/>
      </c>
      <c r="AL484">
        <f>IF($AI484=1,IFERROR(IF(VALUE($C484)&lt;100000000,VALUE($C484),1000000000),IFERROR(IF(VALUE(MID($C484,2,20))&lt;100000000,VALUE(MID($C484,2,20)),1000000000),1000000000))+ROW()/100000,"")</f>
        <v/>
      </c>
    </row>
    <row r="485">
      <c r="J485" s="7" t="n"/>
      <c r="K485" s="7" t="n"/>
      <c r="R485" s="7">
        <f>IF($C485="","",Q485*AC485/100)</f>
        <v/>
      </c>
      <c r="S485" s="11" t="n"/>
      <c r="U485" s="11" t="n"/>
      <c r="AA485" s="7" t="n"/>
      <c r="AC485" s="7" t="n"/>
      <c r="AE485">
        <f>IF($C485="","",IF($AK485=1,Settings!$C$6,Settings!$C$7)*1)</f>
        <v/>
      </c>
      <c r="AF485" s="7">
        <f>IF($C485="","",AE485*AC485)</f>
        <v/>
      </c>
      <c r="AG485" s="7">
        <f>IF($C485="","",AC485-AF485)</f>
        <v/>
      </c>
      <c r="AH485" s="7">
        <f>IF($C485="","",AG485-R485)</f>
        <v/>
      </c>
      <c r="AI485">
        <f>IF($C485="","",IF(COUNTIF($C$2:$C485,$C485)=1,1,0))</f>
        <v/>
      </c>
      <c r="AJ485">
        <f>IF($AI485=1,SUMPRODUCT(--($AL$2:$AL$1501&lt;$AL485))+1,"")</f>
        <v/>
      </c>
      <c r="AK485">
        <f>IF($C485="","",IF(OR($AD485=TRUE(),$AD485="TRUE"),0,1))</f>
        <v/>
      </c>
      <c r="AL485">
        <f>IF($AI485=1,IFERROR(IF(VALUE($C485)&lt;100000000,VALUE($C485),1000000000),IFERROR(IF(VALUE(MID($C485,2,20))&lt;100000000,VALUE(MID($C485,2,20)),1000000000),1000000000))+ROW()/100000,"")</f>
        <v/>
      </c>
    </row>
    <row r="486">
      <c r="J486" s="7" t="n"/>
      <c r="K486" s="7" t="n"/>
      <c r="R486" s="7">
        <f>IF($C486="","",Q486*AC486/100)</f>
        <v/>
      </c>
      <c r="S486" s="11" t="n"/>
      <c r="U486" s="11" t="n"/>
      <c r="AA486" s="7" t="n"/>
      <c r="AC486" s="7" t="n"/>
      <c r="AE486">
        <f>IF($C486="","",IF($AK486=1,Settings!$C$6,Settings!$C$7)*1)</f>
        <v/>
      </c>
      <c r="AF486" s="7">
        <f>IF($C486="","",AE486*AC486)</f>
        <v/>
      </c>
      <c r="AG486" s="7">
        <f>IF($C486="","",AC486-AF486)</f>
        <v/>
      </c>
      <c r="AH486" s="7">
        <f>IF($C486="","",AG486-R486)</f>
        <v/>
      </c>
      <c r="AI486">
        <f>IF($C486="","",IF(COUNTIF($C$2:$C486,$C486)=1,1,0))</f>
        <v/>
      </c>
      <c r="AJ486">
        <f>IF($AI486=1,SUMPRODUCT(--($AL$2:$AL$1501&lt;$AL486))+1,"")</f>
        <v/>
      </c>
      <c r="AK486">
        <f>IF($C486="","",IF(OR($AD486=TRUE(),$AD486="TRUE"),0,1))</f>
        <v/>
      </c>
      <c r="AL486">
        <f>IF($AI486=1,IFERROR(IF(VALUE($C486)&lt;100000000,VALUE($C486),1000000000),IFERROR(IF(VALUE(MID($C486,2,20))&lt;100000000,VALUE(MID($C486,2,20)),1000000000),1000000000))+ROW()/100000,"")</f>
        <v/>
      </c>
    </row>
    <row r="487">
      <c r="J487" s="7" t="n"/>
      <c r="K487" s="7" t="n"/>
      <c r="R487" s="7">
        <f>IF($C487="","",Q487*AC487/100)</f>
        <v/>
      </c>
      <c r="S487" s="11" t="n"/>
      <c r="U487" s="11" t="n"/>
      <c r="AA487" s="7" t="n"/>
      <c r="AC487" s="7" t="n"/>
      <c r="AE487">
        <f>IF($C487="","",IF($AK487=1,Settings!$C$6,Settings!$C$7)*1)</f>
        <v/>
      </c>
      <c r="AF487" s="7">
        <f>IF($C487="","",AE487*AC487)</f>
        <v/>
      </c>
      <c r="AG487" s="7">
        <f>IF($C487="","",AC487-AF487)</f>
        <v/>
      </c>
      <c r="AH487" s="7">
        <f>IF($C487="","",AG487-R487)</f>
        <v/>
      </c>
      <c r="AI487">
        <f>IF($C487="","",IF(COUNTIF($C$2:$C487,$C487)=1,1,0))</f>
        <v/>
      </c>
      <c r="AJ487">
        <f>IF($AI487=1,SUMPRODUCT(--($AL$2:$AL$1501&lt;$AL487))+1,"")</f>
        <v/>
      </c>
      <c r="AK487">
        <f>IF($C487="","",IF(OR($AD487=TRUE(),$AD487="TRUE"),0,1))</f>
        <v/>
      </c>
      <c r="AL487">
        <f>IF($AI487=1,IFERROR(IF(VALUE($C487)&lt;100000000,VALUE($C487),1000000000),IFERROR(IF(VALUE(MID($C487,2,20))&lt;100000000,VALUE(MID($C487,2,20)),1000000000),1000000000))+ROW()/100000,"")</f>
        <v/>
      </c>
    </row>
    <row r="488">
      <c r="J488" s="7" t="n"/>
      <c r="K488" s="7" t="n"/>
      <c r="R488" s="7">
        <f>IF($C488="","",Q488*AC488/100)</f>
        <v/>
      </c>
      <c r="S488" s="11" t="n"/>
      <c r="U488" s="11" t="n"/>
      <c r="AA488" s="7" t="n"/>
      <c r="AC488" s="7" t="n"/>
      <c r="AE488">
        <f>IF($C488="","",IF($AK488=1,Settings!$C$6,Settings!$C$7)*1)</f>
        <v/>
      </c>
      <c r="AF488" s="7">
        <f>IF($C488="","",AE488*AC488)</f>
        <v/>
      </c>
      <c r="AG488" s="7">
        <f>IF($C488="","",AC488-AF488)</f>
        <v/>
      </c>
      <c r="AH488" s="7">
        <f>IF($C488="","",AG488-R488)</f>
        <v/>
      </c>
      <c r="AI488">
        <f>IF($C488="","",IF(COUNTIF($C$2:$C488,$C488)=1,1,0))</f>
        <v/>
      </c>
      <c r="AJ488">
        <f>IF($AI488=1,SUMPRODUCT(--($AL$2:$AL$1501&lt;$AL488))+1,"")</f>
        <v/>
      </c>
      <c r="AK488">
        <f>IF($C488="","",IF(OR($AD488=TRUE(),$AD488="TRUE"),0,1))</f>
        <v/>
      </c>
      <c r="AL488">
        <f>IF($AI488=1,IFERROR(IF(VALUE($C488)&lt;100000000,VALUE($C488),1000000000),IFERROR(IF(VALUE(MID($C488,2,20))&lt;100000000,VALUE(MID($C488,2,20)),1000000000),1000000000))+ROW()/100000,"")</f>
        <v/>
      </c>
    </row>
    <row r="489">
      <c r="J489" s="7" t="n"/>
      <c r="K489" s="7" t="n"/>
      <c r="R489" s="7">
        <f>IF($C489="","",Q489*AC489/100)</f>
        <v/>
      </c>
      <c r="S489" s="11" t="n"/>
      <c r="U489" s="11" t="n"/>
      <c r="AA489" s="7" t="n"/>
      <c r="AC489" s="7" t="n"/>
      <c r="AE489">
        <f>IF($C489="","",IF($AK489=1,Settings!$C$6,Settings!$C$7)*1)</f>
        <v/>
      </c>
      <c r="AF489" s="7">
        <f>IF($C489="","",AE489*AC489)</f>
        <v/>
      </c>
      <c r="AG489" s="7">
        <f>IF($C489="","",AC489-AF489)</f>
        <v/>
      </c>
      <c r="AH489" s="7">
        <f>IF($C489="","",AG489-R489)</f>
        <v/>
      </c>
      <c r="AI489">
        <f>IF($C489="","",IF(COUNTIF($C$2:$C489,$C489)=1,1,0))</f>
        <v/>
      </c>
      <c r="AJ489">
        <f>IF($AI489=1,SUMPRODUCT(--($AL$2:$AL$1501&lt;$AL489))+1,"")</f>
        <v/>
      </c>
      <c r="AK489">
        <f>IF($C489="","",IF(OR($AD489=TRUE(),$AD489="TRUE"),0,1))</f>
        <v/>
      </c>
      <c r="AL489">
        <f>IF($AI489=1,IFERROR(IF(VALUE($C489)&lt;100000000,VALUE($C489),1000000000),IFERROR(IF(VALUE(MID($C489,2,20))&lt;100000000,VALUE(MID($C489,2,20)),1000000000),1000000000))+ROW()/100000,"")</f>
        <v/>
      </c>
    </row>
    <row r="490">
      <c r="J490" s="7" t="n"/>
      <c r="K490" s="7" t="n"/>
      <c r="R490" s="7">
        <f>IF($C490="","",Q490*AC490/100)</f>
        <v/>
      </c>
      <c r="S490" s="11" t="n"/>
      <c r="U490" s="11" t="n"/>
      <c r="AA490" s="7" t="n"/>
      <c r="AC490" s="7" t="n"/>
      <c r="AE490">
        <f>IF($C490="","",IF($AK490=1,Settings!$C$6,Settings!$C$7)*1)</f>
        <v/>
      </c>
      <c r="AF490" s="7">
        <f>IF($C490="","",AE490*AC490)</f>
        <v/>
      </c>
      <c r="AG490" s="7">
        <f>IF($C490="","",AC490-AF490)</f>
        <v/>
      </c>
      <c r="AH490" s="7">
        <f>IF($C490="","",AG490-R490)</f>
        <v/>
      </c>
      <c r="AI490">
        <f>IF($C490="","",IF(COUNTIF($C$2:$C490,$C490)=1,1,0))</f>
        <v/>
      </c>
      <c r="AJ490">
        <f>IF($AI490=1,SUMPRODUCT(--($AL$2:$AL$1501&lt;$AL490))+1,"")</f>
        <v/>
      </c>
      <c r="AK490">
        <f>IF($C490="","",IF(OR($AD490=TRUE(),$AD490="TRUE"),0,1))</f>
        <v/>
      </c>
      <c r="AL490">
        <f>IF($AI490=1,IFERROR(IF(VALUE($C490)&lt;100000000,VALUE($C490),1000000000),IFERROR(IF(VALUE(MID($C490,2,20))&lt;100000000,VALUE(MID($C490,2,20)),1000000000),1000000000))+ROW()/100000,"")</f>
        <v/>
      </c>
    </row>
    <row r="491">
      <c r="J491" s="7" t="n"/>
      <c r="K491" s="7" t="n"/>
      <c r="R491" s="7">
        <f>IF($C491="","",Q491*AC491/100)</f>
        <v/>
      </c>
      <c r="S491" s="11" t="n"/>
      <c r="U491" s="11" t="n"/>
      <c r="AA491" s="7" t="n"/>
      <c r="AC491" s="7" t="n"/>
      <c r="AE491">
        <f>IF($C491="","",IF($AK491=1,Settings!$C$6,Settings!$C$7)*1)</f>
        <v/>
      </c>
      <c r="AF491" s="7">
        <f>IF($C491="","",AE491*AC491)</f>
        <v/>
      </c>
      <c r="AG491" s="7">
        <f>IF($C491="","",AC491-AF491)</f>
        <v/>
      </c>
      <c r="AH491" s="7">
        <f>IF($C491="","",AG491-R491)</f>
        <v/>
      </c>
      <c r="AI491">
        <f>IF($C491="","",IF(COUNTIF($C$2:$C491,$C491)=1,1,0))</f>
        <v/>
      </c>
      <c r="AJ491">
        <f>IF($AI491=1,SUMPRODUCT(--($AL$2:$AL$1501&lt;$AL491))+1,"")</f>
        <v/>
      </c>
      <c r="AK491">
        <f>IF($C491="","",IF(OR($AD491=TRUE(),$AD491="TRUE"),0,1))</f>
        <v/>
      </c>
      <c r="AL491">
        <f>IF($AI491=1,IFERROR(IF(VALUE($C491)&lt;100000000,VALUE($C491),1000000000),IFERROR(IF(VALUE(MID($C491,2,20))&lt;100000000,VALUE(MID($C491,2,20)),1000000000),1000000000))+ROW()/100000,"")</f>
        <v/>
      </c>
    </row>
    <row r="492">
      <c r="J492" s="7" t="n"/>
      <c r="K492" s="7" t="n"/>
      <c r="R492" s="7">
        <f>IF($C492="","",Q492*AC492/100)</f>
        <v/>
      </c>
      <c r="S492" s="11" t="n"/>
      <c r="U492" s="11" t="n"/>
      <c r="AA492" s="7" t="n"/>
      <c r="AC492" s="7" t="n"/>
      <c r="AE492">
        <f>IF($C492="","",IF($AK492=1,Settings!$C$6,Settings!$C$7)*1)</f>
        <v/>
      </c>
      <c r="AF492" s="7">
        <f>IF($C492="","",AE492*AC492)</f>
        <v/>
      </c>
      <c r="AG492" s="7">
        <f>IF($C492="","",AC492-AF492)</f>
        <v/>
      </c>
      <c r="AH492" s="7">
        <f>IF($C492="","",AG492-R492)</f>
        <v/>
      </c>
      <c r="AI492">
        <f>IF($C492="","",IF(COUNTIF($C$2:$C492,$C492)=1,1,0))</f>
        <v/>
      </c>
      <c r="AJ492">
        <f>IF($AI492=1,SUMPRODUCT(--($AL$2:$AL$1501&lt;$AL492))+1,"")</f>
        <v/>
      </c>
      <c r="AK492">
        <f>IF($C492="","",IF(OR($AD492=TRUE(),$AD492="TRUE"),0,1))</f>
        <v/>
      </c>
      <c r="AL492">
        <f>IF($AI492=1,IFERROR(IF(VALUE($C492)&lt;100000000,VALUE($C492),1000000000),IFERROR(IF(VALUE(MID($C492,2,20))&lt;100000000,VALUE(MID($C492,2,20)),1000000000),1000000000))+ROW()/100000,"")</f>
        <v/>
      </c>
    </row>
    <row r="493">
      <c r="J493" s="7" t="n"/>
      <c r="K493" s="7" t="n"/>
      <c r="R493" s="7">
        <f>IF($C493="","",Q493*AC493/100)</f>
        <v/>
      </c>
      <c r="S493" s="11" t="n"/>
      <c r="U493" s="11" t="n"/>
      <c r="AA493" s="7" t="n"/>
      <c r="AC493" s="7" t="n"/>
      <c r="AE493">
        <f>IF($C493="","",IF($AK493=1,Settings!$C$6,Settings!$C$7)*1)</f>
        <v/>
      </c>
      <c r="AF493" s="7">
        <f>IF($C493="","",AE493*AC493)</f>
        <v/>
      </c>
      <c r="AG493" s="7">
        <f>IF($C493="","",AC493-AF493)</f>
        <v/>
      </c>
      <c r="AH493" s="7">
        <f>IF($C493="","",AG493-R493)</f>
        <v/>
      </c>
      <c r="AI493">
        <f>IF($C493="","",IF(COUNTIF($C$2:$C493,$C493)=1,1,0))</f>
        <v/>
      </c>
      <c r="AJ493">
        <f>IF($AI493=1,SUMPRODUCT(--($AL$2:$AL$1501&lt;$AL493))+1,"")</f>
        <v/>
      </c>
      <c r="AK493">
        <f>IF($C493="","",IF(OR($AD493=TRUE(),$AD493="TRUE"),0,1))</f>
        <v/>
      </c>
      <c r="AL493">
        <f>IF($AI493=1,IFERROR(IF(VALUE($C493)&lt;100000000,VALUE($C493),1000000000),IFERROR(IF(VALUE(MID($C493,2,20))&lt;100000000,VALUE(MID($C493,2,20)),1000000000),1000000000))+ROW()/100000,"")</f>
        <v/>
      </c>
    </row>
    <row r="494">
      <c r="J494" s="7" t="n"/>
      <c r="K494" s="7" t="n"/>
      <c r="R494" s="7">
        <f>IF($C494="","",Q494*AC494/100)</f>
        <v/>
      </c>
      <c r="S494" s="11" t="n"/>
      <c r="U494" s="11" t="n"/>
      <c r="AA494" s="7" t="n"/>
      <c r="AC494" s="7" t="n"/>
      <c r="AE494">
        <f>IF($C494="","",IF($AK494=1,Settings!$C$6,Settings!$C$7)*1)</f>
        <v/>
      </c>
      <c r="AF494" s="7">
        <f>IF($C494="","",AE494*AC494)</f>
        <v/>
      </c>
      <c r="AG494" s="7">
        <f>IF($C494="","",AC494-AF494)</f>
        <v/>
      </c>
      <c r="AH494" s="7">
        <f>IF($C494="","",AG494-R494)</f>
        <v/>
      </c>
      <c r="AI494">
        <f>IF($C494="","",IF(COUNTIF($C$2:$C494,$C494)=1,1,0))</f>
        <v/>
      </c>
      <c r="AJ494">
        <f>IF($AI494=1,SUMPRODUCT(--($AL$2:$AL$1501&lt;$AL494))+1,"")</f>
        <v/>
      </c>
      <c r="AK494">
        <f>IF($C494="","",IF(OR($AD494=TRUE(),$AD494="TRUE"),0,1))</f>
        <v/>
      </c>
      <c r="AL494">
        <f>IF($AI494=1,IFERROR(IF(VALUE($C494)&lt;100000000,VALUE($C494),1000000000),IFERROR(IF(VALUE(MID($C494,2,20))&lt;100000000,VALUE(MID($C494,2,20)),1000000000),1000000000))+ROW()/100000,"")</f>
        <v/>
      </c>
    </row>
    <row r="495">
      <c r="J495" s="7" t="n"/>
      <c r="K495" s="7" t="n"/>
      <c r="R495" s="7">
        <f>IF($C495="","",Q495*AC495/100)</f>
        <v/>
      </c>
      <c r="S495" s="11" t="n"/>
      <c r="U495" s="11" t="n"/>
      <c r="AA495" s="7" t="n"/>
      <c r="AC495" s="7" t="n"/>
      <c r="AE495">
        <f>IF($C495="","",IF($AK495=1,Settings!$C$6,Settings!$C$7)*1)</f>
        <v/>
      </c>
      <c r="AF495" s="7">
        <f>IF($C495="","",AE495*AC495)</f>
        <v/>
      </c>
      <c r="AG495" s="7">
        <f>IF($C495="","",AC495-AF495)</f>
        <v/>
      </c>
      <c r="AH495" s="7">
        <f>IF($C495="","",AG495-R495)</f>
        <v/>
      </c>
      <c r="AI495">
        <f>IF($C495="","",IF(COUNTIF($C$2:$C495,$C495)=1,1,0))</f>
        <v/>
      </c>
      <c r="AJ495">
        <f>IF($AI495=1,SUMPRODUCT(--($AL$2:$AL$1501&lt;$AL495))+1,"")</f>
        <v/>
      </c>
      <c r="AK495">
        <f>IF($C495="","",IF(OR($AD495=TRUE(),$AD495="TRUE"),0,1))</f>
        <v/>
      </c>
      <c r="AL495">
        <f>IF($AI495=1,IFERROR(IF(VALUE($C495)&lt;100000000,VALUE($C495),1000000000),IFERROR(IF(VALUE(MID($C495,2,20))&lt;100000000,VALUE(MID($C495,2,20)),1000000000),1000000000))+ROW()/100000,"")</f>
        <v/>
      </c>
    </row>
    <row r="496">
      <c r="J496" s="7" t="n"/>
      <c r="K496" s="7" t="n"/>
      <c r="R496" s="7">
        <f>IF($C496="","",Q496*AC496/100)</f>
        <v/>
      </c>
      <c r="S496" s="11" t="n"/>
      <c r="U496" s="11" t="n"/>
      <c r="AA496" s="7" t="n"/>
      <c r="AC496" s="7" t="n"/>
      <c r="AE496">
        <f>IF($C496="","",IF($AK496=1,Settings!$C$6,Settings!$C$7)*1)</f>
        <v/>
      </c>
      <c r="AF496" s="7">
        <f>IF($C496="","",AE496*AC496)</f>
        <v/>
      </c>
      <c r="AG496" s="7">
        <f>IF($C496="","",AC496-AF496)</f>
        <v/>
      </c>
      <c r="AH496" s="7">
        <f>IF($C496="","",AG496-R496)</f>
        <v/>
      </c>
      <c r="AI496">
        <f>IF($C496="","",IF(COUNTIF($C$2:$C496,$C496)=1,1,0))</f>
        <v/>
      </c>
      <c r="AJ496">
        <f>IF($AI496=1,SUMPRODUCT(--($AL$2:$AL$1501&lt;$AL496))+1,"")</f>
        <v/>
      </c>
      <c r="AK496">
        <f>IF($C496="","",IF(OR($AD496=TRUE(),$AD496="TRUE"),0,1))</f>
        <v/>
      </c>
      <c r="AL496">
        <f>IF($AI496=1,IFERROR(IF(VALUE($C496)&lt;100000000,VALUE($C496),1000000000),IFERROR(IF(VALUE(MID($C496,2,20))&lt;100000000,VALUE(MID($C496,2,20)),1000000000),1000000000))+ROW()/100000,"")</f>
        <v/>
      </c>
    </row>
    <row r="497">
      <c r="J497" s="7" t="n"/>
      <c r="K497" s="7" t="n"/>
      <c r="R497" s="7">
        <f>IF($C497="","",Q497*AC497/100)</f>
        <v/>
      </c>
      <c r="S497" s="11" t="n"/>
      <c r="U497" s="11" t="n"/>
      <c r="AA497" s="7" t="n"/>
      <c r="AC497" s="7" t="n"/>
      <c r="AE497">
        <f>IF($C497="","",IF($AK497=1,Settings!$C$6,Settings!$C$7)*1)</f>
        <v/>
      </c>
      <c r="AF497" s="7">
        <f>IF($C497="","",AE497*AC497)</f>
        <v/>
      </c>
      <c r="AG497" s="7">
        <f>IF($C497="","",AC497-AF497)</f>
        <v/>
      </c>
      <c r="AH497" s="7">
        <f>IF($C497="","",AG497-R497)</f>
        <v/>
      </c>
      <c r="AI497">
        <f>IF($C497="","",IF(COUNTIF($C$2:$C497,$C497)=1,1,0))</f>
        <v/>
      </c>
      <c r="AJ497">
        <f>IF($AI497=1,SUMPRODUCT(--($AL$2:$AL$1501&lt;$AL497))+1,"")</f>
        <v/>
      </c>
      <c r="AK497">
        <f>IF($C497="","",IF(OR($AD497=TRUE(),$AD497="TRUE"),0,1))</f>
        <v/>
      </c>
      <c r="AL497">
        <f>IF($AI497=1,IFERROR(IF(VALUE($C497)&lt;100000000,VALUE($C497),1000000000),IFERROR(IF(VALUE(MID($C497,2,20))&lt;100000000,VALUE(MID($C497,2,20)),1000000000),1000000000))+ROW()/100000,"")</f>
        <v/>
      </c>
    </row>
    <row r="498">
      <c r="J498" s="7" t="n"/>
      <c r="K498" s="7" t="n"/>
      <c r="R498" s="7">
        <f>IF($C498="","",Q498*AC498/100)</f>
        <v/>
      </c>
      <c r="S498" s="11" t="n"/>
      <c r="U498" s="11" t="n"/>
      <c r="AA498" s="7" t="n"/>
      <c r="AC498" s="7" t="n"/>
      <c r="AE498">
        <f>IF($C498="","",IF($AK498=1,Settings!$C$6,Settings!$C$7)*1)</f>
        <v/>
      </c>
      <c r="AF498" s="7">
        <f>IF($C498="","",AE498*AC498)</f>
        <v/>
      </c>
      <c r="AG498" s="7">
        <f>IF($C498="","",AC498-AF498)</f>
        <v/>
      </c>
      <c r="AH498" s="7">
        <f>IF($C498="","",AG498-R498)</f>
        <v/>
      </c>
      <c r="AI498">
        <f>IF($C498="","",IF(COUNTIF($C$2:$C498,$C498)=1,1,0))</f>
        <v/>
      </c>
      <c r="AJ498">
        <f>IF($AI498=1,SUMPRODUCT(--($AL$2:$AL$1501&lt;$AL498))+1,"")</f>
        <v/>
      </c>
      <c r="AK498">
        <f>IF($C498="","",IF(OR($AD498=TRUE(),$AD498="TRUE"),0,1))</f>
        <v/>
      </c>
      <c r="AL498">
        <f>IF($AI498=1,IFERROR(IF(VALUE($C498)&lt;100000000,VALUE($C498),1000000000),IFERROR(IF(VALUE(MID($C498,2,20))&lt;100000000,VALUE(MID($C498,2,20)),1000000000),1000000000))+ROW()/100000,"")</f>
        <v/>
      </c>
    </row>
    <row r="499">
      <c r="J499" s="7" t="n"/>
      <c r="K499" s="7" t="n"/>
      <c r="R499" s="7">
        <f>IF($C499="","",Q499*AC499/100)</f>
        <v/>
      </c>
      <c r="S499" s="11" t="n"/>
      <c r="U499" s="11" t="n"/>
      <c r="AA499" s="7" t="n"/>
      <c r="AC499" s="7" t="n"/>
      <c r="AE499">
        <f>IF($C499="","",IF($AK499=1,Settings!$C$6,Settings!$C$7)*1)</f>
        <v/>
      </c>
      <c r="AF499" s="7">
        <f>IF($C499="","",AE499*AC499)</f>
        <v/>
      </c>
      <c r="AG499" s="7">
        <f>IF($C499="","",AC499-AF499)</f>
        <v/>
      </c>
      <c r="AH499" s="7">
        <f>IF($C499="","",AG499-R499)</f>
        <v/>
      </c>
      <c r="AI499">
        <f>IF($C499="","",IF(COUNTIF($C$2:$C499,$C499)=1,1,0))</f>
        <v/>
      </c>
      <c r="AJ499">
        <f>IF($AI499=1,SUMPRODUCT(--($AL$2:$AL$1501&lt;$AL499))+1,"")</f>
        <v/>
      </c>
      <c r="AK499">
        <f>IF($C499="","",IF(OR($AD499=TRUE(),$AD499="TRUE"),0,1))</f>
        <v/>
      </c>
      <c r="AL499">
        <f>IF($AI499=1,IFERROR(IF(VALUE($C499)&lt;100000000,VALUE($C499),1000000000),IFERROR(IF(VALUE(MID($C499,2,20))&lt;100000000,VALUE(MID($C499,2,20)),1000000000),1000000000))+ROW()/100000,"")</f>
        <v/>
      </c>
    </row>
    <row r="500">
      <c r="J500" s="7" t="n"/>
      <c r="K500" s="7" t="n"/>
      <c r="R500" s="7">
        <f>IF($C500="","",Q500*AC500/100)</f>
        <v/>
      </c>
      <c r="S500" s="11" t="n"/>
      <c r="U500" s="11" t="n"/>
      <c r="AA500" s="7" t="n"/>
      <c r="AC500" s="7" t="n"/>
      <c r="AE500">
        <f>IF($C500="","",IF($AK500=1,Settings!$C$6,Settings!$C$7)*1)</f>
        <v/>
      </c>
      <c r="AF500" s="7">
        <f>IF($C500="","",AE500*AC500)</f>
        <v/>
      </c>
      <c r="AG500" s="7">
        <f>IF($C500="","",AC500-AF500)</f>
        <v/>
      </c>
      <c r="AH500" s="7">
        <f>IF($C500="","",AG500-R500)</f>
        <v/>
      </c>
      <c r="AI500">
        <f>IF($C500="","",IF(COUNTIF($C$2:$C500,$C500)=1,1,0))</f>
        <v/>
      </c>
      <c r="AJ500">
        <f>IF($AI500=1,SUMPRODUCT(--($AL$2:$AL$1501&lt;$AL500))+1,"")</f>
        <v/>
      </c>
      <c r="AK500">
        <f>IF($C500="","",IF(OR($AD500=TRUE(),$AD500="TRUE"),0,1))</f>
        <v/>
      </c>
      <c r="AL500">
        <f>IF($AI500=1,IFERROR(IF(VALUE($C500)&lt;100000000,VALUE($C500),1000000000),IFERROR(IF(VALUE(MID($C500,2,20))&lt;100000000,VALUE(MID($C500,2,20)),1000000000),1000000000))+ROW()/100000,"")</f>
        <v/>
      </c>
    </row>
    <row r="501">
      <c r="J501" s="7" t="n"/>
      <c r="K501" s="7" t="n"/>
      <c r="R501" s="7">
        <f>IF($C501="","",Q501*AC501/100)</f>
        <v/>
      </c>
      <c r="S501" s="11" t="n"/>
      <c r="U501" s="11" t="n"/>
      <c r="AA501" s="7" t="n"/>
      <c r="AC501" s="7" t="n"/>
      <c r="AE501">
        <f>IF($C501="","",IF($AK501=1,Settings!$C$6,Settings!$C$7)*1)</f>
        <v/>
      </c>
      <c r="AF501" s="7">
        <f>IF($C501="","",AE501*AC501)</f>
        <v/>
      </c>
      <c r="AG501" s="7">
        <f>IF($C501="","",AC501-AF501)</f>
        <v/>
      </c>
      <c r="AH501" s="7">
        <f>IF($C501="","",AG501-R501)</f>
        <v/>
      </c>
      <c r="AI501">
        <f>IF($C501="","",IF(COUNTIF($C$2:$C501,$C501)=1,1,0))</f>
        <v/>
      </c>
      <c r="AJ501">
        <f>IF($AI501=1,SUMPRODUCT(--($AL$2:$AL$1501&lt;$AL501))+1,"")</f>
        <v/>
      </c>
      <c r="AK501">
        <f>IF($C501="","",IF(OR($AD501=TRUE(),$AD501="TRUE"),0,1))</f>
        <v/>
      </c>
      <c r="AL501">
        <f>IF($AI501=1,IFERROR(IF(VALUE($C501)&lt;100000000,VALUE($C501),1000000000),IFERROR(IF(VALUE(MID($C501,2,20))&lt;100000000,VALUE(MID($C501,2,20)),1000000000),1000000000))+ROW()/100000,"")</f>
        <v/>
      </c>
    </row>
    <row r="502">
      <c r="J502" s="7" t="n"/>
      <c r="K502" s="7" t="n"/>
      <c r="R502" s="7">
        <f>IF($C502="","",Q502*AC502/100)</f>
        <v/>
      </c>
      <c r="S502" s="11" t="n"/>
      <c r="U502" s="11" t="n"/>
      <c r="AA502" s="7" t="n"/>
      <c r="AC502" s="7" t="n"/>
      <c r="AE502">
        <f>IF($C502="","",IF($AK502=1,Settings!$C$6,Settings!$C$7)*1)</f>
        <v/>
      </c>
      <c r="AF502" s="7">
        <f>IF($C502="","",AE502*AC502)</f>
        <v/>
      </c>
      <c r="AG502" s="7">
        <f>IF($C502="","",AC502-AF502)</f>
        <v/>
      </c>
      <c r="AH502" s="7">
        <f>IF($C502="","",AG502-R502)</f>
        <v/>
      </c>
      <c r="AI502">
        <f>IF($C502="","",IF(COUNTIF($C$2:$C502,$C502)=1,1,0))</f>
        <v/>
      </c>
      <c r="AJ502">
        <f>IF($AI502=1,SUMPRODUCT(--($AL$2:$AL$1501&lt;$AL502))+1,"")</f>
        <v/>
      </c>
      <c r="AK502">
        <f>IF($C502="","",IF(OR($AD502=TRUE(),$AD502="TRUE"),0,1))</f>
        <v/>
      </c>
      <c r="AL502">
        <f>IF($AI502=1,IFERROR(IF(VALUE($C502)&lt;100000000,VALUE($C502),1000000000),IFERROR(IF(VALUE(MID($C502,2,20))&lt;100000000,VALUE(MID($C502,2,20)),1000000000),1000000000))+ROW()/100000,"")</f>
        <v/>
      </c>
    </row>
    <row r="503">
      <c r="J503" s="7" t="n"/>
      <c r="K503" s="7" t="n"/>
      <c r="R503" s="7">
        <f>IF($C503="","",Q503*AC503/100)</f>
        <v/>
      </c>
      <c r="S503" s="11" t="n"/>
      <c r="U503" s="11" t="n"/>
      <c r="AA503" s="7" t="n"/>
      <c r="AC503" s="7" t="n"/>
      <c r="AE503">
        <f>IF($C503="","",IF($AK503=1,Settings!$C$6,Settings!$C$7)*1)</f>
        <v/>
      </c>
      <c r="AF503" s="7">
        <f>IF($C503="","",AE503*AC503)</f>
        <v/>
      </c>
      <c r="AG503" s="7">
        <f>IF($C503="","",AC503-AF503)</f>
        <v/>
      </c>
      <c r="AH503" s="7">
        <f>IF($C503="","",AG503-R503)</f>
        <v/>
      </c>
      <c r="AI503">
        <f>IF($C503="","",IF(COUNTIF($C$2:$C503,$C503)=1,1,0))</f>
        <v/>
      </c>
      <c r="AJ503">
        <f>IF($AI503=1,SUMPRODUCT(--($AL$2:$AL$1501&lt;$AL503))+1,"")</f>
        <v/>
      </c>
      <c r="AK503">
        <f>IF($C503="","",IF(OR($AD503=TRUE(),$AD503="TRUE"),0,1))</f>
        <v/>
      </c>
      <c r="AL503">
        <f>IF($AI503=1,IFERROR(IF(VALUE($C503)&lt;100000000,VALUE($C503),1000000000),IFERROR(IF(VALUE(MID($C503,2,20))&lt;100000000,VALUE(MID($C503,2,20)),1000000000),1000000000))+ROW()/100000,"")</f>
        <v/>
      </c>
    </row>
    <row r="504">
      <c r="J504" s="7" t="n"/>
      <c r="K504" s="7" t="n"/>
      <c r="R504" s="7">
        <f>IF($C504="","",Q504*AC504/100)</f>
        <v/>
      </c>
      <c r="S504" s="11" t="n"/>
      <c r="U504" s="11" t="n"/>
      <c r="AA504" s="7" t="n"/>
      <c r="AC504" s="7" t="n"/>
      <c r="AE504">
        <f>IF($C504="","",IF($AK504=1,Settings!$C$6,Settings!$C$7)*1)</f>
        <v/>
      </c>
      <c r="AF504" s="7">
        <f>IF($C504="","",AE504*AC504)</f>
        <v/>
      </c>
      <c r="AG504" s="7">
        <f>IF($C504="","",AC504-AF504)</f>
        <v/>
      </c>
      <c r="AH504" s="7">
        <f>IF($C504="","",AG504-R504)</f>
        <v/>
      </c>
      <c r="AI504">
        <f>IF($C504="","",IF(COUNTIF($C$2:$C504,$C504)=1,1,0))</f>
        <v/>
      </c>
      <c r="AJ504">
        <f>IF($AI504=1,SUMPRODUCT(--($AL$2:$AL$1501&lt;$AL504))+1,"")</f>
        <v/>
      </c>
      <c r="AK504">
        <f>IF($C504="","",IF(OR($AD504=TRUE(),$AD504="TRUE"),0,1))</f>
        <v/>
      </c>
      <c r="AL504">
        <f>IF($AI504=1,IFERROR(IF(VALUE($C504)&lt;100000000,VALUE($C504),1000000000),IFERROR(IF(VALUE(MID($C504,2,20))&lt;100000000,VALUE(MID($C504,2,20)),1000000000),1000000000))+ROW()/100000,"")</f>
        <v/>
      </c>
    </row>
    <row r="505">
      <c r="J505" s="7" t="n"/>
      <c r="K505" s="7" t="n"/>
      <c r="R505" s="7">
        <f>IF($C505="","",Q505*AC505/100)</f>
        <v/>
      </c>
      <c r="S505" s="11" t="n"/>
      <c r="U505" s="11" t="n"/>
      <c r="AA505" s="7" t="n"/>
      <c r="AC505" s="7" t="n"/>
      <c r="AE505">
        <f>IF($C505="","",IF($AK505=1,Settings!$C$6,Settings!$C$7)*1)</f>
        <v/>
      </c>
      <c r="AF505" s="7">
        <f>IF($C505="","",AE505*AC505)</f>
        <v/>
      </c>
      <c r="AG505" s="7">
        <f>IF($C505="","",AC505-AF505)</f>
        <v/>
      </c>
      <c r="AH505" s="7">
        <f>IF($C505="","",AG505-R505)</f>
        <v/>
      </c>
      <c r="AI505">
        <f>IF($C505="","",IF(COUNTIF($C$2:$C505,$C505)=1,1,0))</f>
        <v/>
      </c>
      <c r="AJ505">
        <f>IF($AI505=1,SUMPRODUCT(--($AL$2:$AL$1501&lt;$AL505))+1,"")</f>
        <v/>
      </c>
      <c r="AK505">
        <f>IF($C505="","",IF(OR($AD505=TRUE(),$AD505="TRUE"),0,1))</f>
        <v/>
      </c>
      <c r="AL505">
        <f>IF($AI505=1,IFERROR(IF(VALUE($C505)&lt;100000000,VALUE($C505),1000000000),IFERROR(IF(VALUE(MID($C505,2,20))&lt;100000000,VALUE(MID($C505,2,20)),1000000000),1000000000))+ROW()/100000,"")</f>
        <v/>
      </c>
    </row>
    <row r="506">
      <c r="J506" s="7" t="n"/>
      <c r="K506" s="7" t="n"/>
      <c r="R506" s="7">
        <f>IF($C506="","",Q506*AC506/100)</f>
        <v/>
      </c>
      <c r="S506" s="11" t="n"/>
      <c r="U506" s="11" t="n"/>
      <c r="AA506" s="7" t="n"/>
      <c r="AC506" s="7" t="n"/>
      <c r="AE506">
        <f>IF($C506="","",IF($AK506=1,Settings!$C$6,Settings!$C$7)*1)</f>
        <v/>
      </c>
      <c r="AF506" s="7">
        <f>IF($C506="","",AE506*AC506)</f>
        <v/>
      </c>
      <c r="AG506" s="7">
        <f>IF($C506="","",AC506-AF506)</f>
        <v/>
      </c>
      <c r="AH506" s="7">
        <f>IF($C506="","",AG506-R506)</f>
        <v/>
      </c>
      <c r="AI506">
        <f>IF($C506="","",IF(COUNTIF($C$2:$C506,$C506)=1,1,0))</f>
        <v/>
      </c>
      <c r="AJ506">
        <f>IF($AI506=1,SUMPRODUCT(--($AL$2:$AL$1501&lt;$AL506))+1,"")</f>
        <v/>
      </c>
      <c r="AK506">
        <f>IF($C506="","",IF(OR($AD506=TRUE(),$AD506="TRUE"),0,1))</f>
        <v/>
      </c>
      <c r="AL506">
        <f>IF($AI506=1,IFERROR(IF(VALUE($C506)&lt;100000000,VALUE($C506),1000000000),IFERROR(IF(VALUE(MID($C506,2,20))&lt;100000000,VALUE(MID($C506,2,20)),1000000000),1000000000))+ROW()/100000,"")</f>
        <v/>
      </c>
    </row>
    <row r="507">
      <c r="J507" s="7" t="n"/>
      <c r="K507" s="7" t="n"/>
      <c r="R507" s="7">
        <f>IF($C507="","",Q507*AC507/100)</f>
        <v/>
      </c>
      <c r="S507" s="11" t="n"/>
      <c r="U507" s="11" t="n"/>
      <c r="AA507" s="7" t="n"/>
      <c r="AC507" s="7" t="n"/>
      <c r="AE507">
        <f>IF($C507="","",IF($AK507=1,Settings!$C$6,Settings!$C$7)*1)</f>
        <v/>
      </c>
      <c r="AF507" s="7">
        <f>IF($C507="","",AE507*AC507)</f>
        <v/>
      </c>
      <c r="AG507" s="7">
        <f>IF($C507="","",AC507-AF507)</f>
        <v/>
      </c>
      <c r="AH507" s="7">
        <f>IF($C507="","",AG507-R507)</f>
        <v/>
      </c>
      <c r="AI507">
        <f>IF($C507="","",IF(COUNTIF($C$2:$C507,$C507)=1,1,0))</f>
        <v/>
      </c>
      <c r="AJ507">
        <f>IF($AI507=1,SUMPRODUCT(--($AL$2:$AL$1501&lt;$AL507))+1,"")</f>
        <v/>
      </c>
      <c r="AK507">
        <f>IF($C507="","",IF(OR($AD507=TRUE(),$AD507="TRUE"),0,1))</f>
        <v/>
      </c>
      <c r="AL507">
        <f>IF($AI507=1,IFERROR(IF(VALUE($C507)&lt;100000000,VALUE($C507),1000000000),IFERROR(IF(VALUE(MID($C507,2,20))&lt;100000000,VALUE(MID($C507,2,20)),1000000000),1000000000))+ROW()/100000,"")</f>
        <v/>
      </c>
    </row>
    <row r="508">
      <c r="J508" s="7" t="n"/>
      <c r="K508" s="7" t="n"/>
      <c r="R508" s="7">
        <f>IF($C508="","",Q508*AC508/100)</f>
        <v/>
      </c>
      <c r="S508" s="11" t="n"/>
      <c r="U508" s="11" t="n"/>
      <c r="AA508" s="7" t="n"/>
      <c r="AC508" s="7" t="n"/>
      <c r="AE508">
        <f>IF($C508="","",IF($AK508=1,Settings!$C$6,Settings!$C$7)*1)</f>
        <v/>
      </c>
      <c r="AF508" s="7">
        <f>IF($C508="","",AE508*AC508)</f>
        <v/>
      </c>
      <c r="AG508" s="7">
        <f>IF($C508="","",AC508-AF508)</f>
        <v/>
      </c>
      <c r="AH508" s="7">
        <f>IF($C508="","",AG508-R508)</f>
        <v/>
      </c>
      <c r="AI508">
        <f>IF($C508="","",IF(COUNTIF($C$2:$C508,$C508)=1,1,0))</f>
        <v/>
      </c>
      <c r="AJ508">
        <f>IF($AI508=1,SUMPRODUCT(--($AL$2:$AL$1501&lt;$AL508))+1,"")</f>
        <v/>
      </c>
      <c r="AK508">
        <f>IF($C508="","",IF(OR($AD508=TRUE(),$AD508="TRUE"),0,1))</f>
        <v/>
      </c>
      <c r="AL508">
        <f>IF($AI508=1,IFERROR(IF(VALUE($C508)&lt;100000000,VALUE($C508),1000000000),IFERROR(IF(VALUE(MID($C508,2,20))&lt;100000000,VALUE(MID($C508,2,20)),1000000000),1000000000))+ROW()/100000,"")</f>
        <v/>
      </c>
    </row>
    <row r="509">
      <c r="J509" s="7" t="n"/>
      <c r="K509" s="7" t="n"/>
      <c r="R509" s="7">
        <f>IF($C509="","",Q509*AC509/100)</f>
        <v/>
      </c>
      <c r="S509" s="11" t="n"/>
      <c r="U509" s="11" t="n"/>
      <c r="AA509" s="7" t="n"/>
      <c r="AC509" s="7" t="n"/>
      <c r="AE509">
        <f>IF($C509="","",IF($AK509=1,Settings!$C$6,Settings!$C$7)*1)</f>
        <v/>
      </c>
      <c r="AF509" s="7">
        <f>IF($C509="","",AE509*AC509)</f>
        <v/>
      </c>
      <c r="AG509" s="7">
        <f>IF($C509="","",AC509-AF509)</f>
        <v/>
      </c>
      <c r="AH509" s="7">
        <f>IF($C509="","",AG509-R509)</f>
        <v/>
      </c>
      <c r="AI509">
        <f>IF($C509="","",IF(COUNTIF($C$2:$C509,$C509)=1,1,0))</f>
        <v/>
      </c>
      <c r="AJ509">
        <f>IF($AI509=1,SUMPRODUCT(--($AL$2:$AL$1501&lt;$AL509))+1,"")</f>
        <v/>
      </c>
      <c r="AK509">
        <f>IF($C509="","",IF(OR($AD509=TRUE(),$AD509="TRUE"),0,1))</f>
        <v/>
      </c>
      <c r="AL509">
        <f>IF($AI509=1,IFERROR(IF(VALUE($C509)&lt;100000000,VALUE($C509),1000000000),IFERROR(IF(VALUE(MID($C509,2,20))&lt;100000000,VALUE(MID($C509,2,20)),1000000000),1000000000))+ROW()/100000,"")</f>
        <v/>
      </c>
    </row>
    <row r="510">
      <c r="J510" s="7" t="n"/>
      <c r="K510" s="7" t="n"/>
      <c r="R510" s="7">
        <f>IF($C510="","",Q510*AC510/100)</f>
        <v/>
      </c>
      <c r="S510" s="11" t="n"/>
      <c r="U510" s="11" t="n"/>
      <c r="AA510" s="7" t="n"/>
      <c r="AC510" s="7" t="n"/>
      <c r="AE510">
        <f>IF($C510="","",IF($AK510=1,Settings!$C$6,Settings!$C$7)*1)</f>
        <v/>
      </c>
      <c r="AF510" s="7">
        <f>IF($C510="","",AE510*AC510)</f>
        <v/>
      </c>
      <c r="AG510" s="7">
        <f>IF($C510="","",AC510-AF510)</f>
        <v/>
      </c>
      <c r="AH510" s="7">
        <f>IF($C510="","",AG510-R510)</f>
        <v/>
      </c>
      <c r="AI510">
        <f>IF($C510="","",IF(COUNTIF($C$2:$C510,$C510)=1,1,0))</f>
        <v/>
      </c>
      <c r="AJ510">
        <f>IF($AI510=1,SUMPRODUCT(--($AL$2:$AL$1501&lt;$AL510))+1,"")</f>
        <v/>
      </c>
      <c r="AK510">
        <f>IF($C510="","",IF(OR($AD510=TRUE(),$AD510="TRUE"),0,1))</f>
        <v/>
      </c>
      <c r="AL510">
        <f>IF($AI510=1,IFERROR(IF(VALUE($C510)&lt;100000000,VALUE($C510),1000000000),IFERROR(IF(VALUE(MID($C510,2,20))&lt;100000000,VALUE(MID($C510,2,20)),1000000000),1000000000))+ROW()/100000,"")</f>
        <v/>
      </c>
    </row>
    <row r="511">
      <c r="J511" s="7" t="n"/>
      <c r="K511" s="7" t="n"/>
      <c r="R511" s="7">
        <f>IF($C511="","",Q511*AC511/100)</f>
        <v/>
      </c>
      <c r="S511" s="11" t="n"/>
      <c r="U511" s="11" t="n"/>
      <c r="AA511" s="7" t="n"/>
      <c r="AC511" s="7" t="n"/>
      <c r="AE511">
        <f>IF($C511="","",IF($AK511=1,Settings!$C$6,Settings!$C$7)*1)</f>
        <v/>
      </c>
      <c r="AF511" s="7">
        <f>IF($C511="","",AE511*AC511)</f>
        <v/>
      </c>
      <c r="AG511" s="7">
        <f>IF($C511="","",AC511-AF511)</f>
        <v/>
      </c>
      <c r="AH511" s="7">
        <f>IF($C511="","",AG511-R511)</f>
        <v/>
      </c>
      <c r="AI511">
        <f>IF($C511="","",IF(COUNTIF($C$2:$C511,$C511)=1,1,0))</f>
        <v/>
      </c>
      <c r="AJ511">
        <f>IF($AI511=1,SUMPRODUCT(--($AL$2:$AL$1501&lt;$AL511))+1,"")</f>
        <v/>
      </c>
      <c r="AK511">
        <f>IF($C511="","",IF(OR($AD511=TRUE(),$AD511="TRUE"),0,1))</f>
        <v/>
      </c>
      <c r="AL511">
        <f>IF($AI511=1,IFERROR(IF(VALUE($C511)&lt;100000000,VALUE($C511),1000000000),IFERROR(IF(VALUE(MID($C511,2,20))&lt;100000000,VALUE(MID($C511,2,20)),1000000000),1000000000))+ROW()/100000,"")</f>
        <v/>
      </c>
    </row>
    <row r="512">
      <c r="J512" s="7" t="n"/>
      <c r="K512" s="7" t="n"/>
      <c r="R512" s="7">
        <f>IF($C512="","",Q512*AC512/100)</f>
        <v/>
      </c>
      <c r="S512" s="11" t="n"/>
      <c r="U512" s="11" t="n"/>
      <c r="AA512" s="7" t="n"/>
      <c r="AC512" s="7" t="n"/>
      <c r="AE512">
        <f>IF($C512="","",IF($AK512=1,Settings!$C$6,Settings!$C$7)*1)</f>
        <v/>
      </c>
      <c r="AF512" s="7">
        <f>IF($C512="","",AE512*AC512)</f>
        <v/>
      </c>
      <c r="AG512" s="7">
        <f>IF($C512="","",AC512-AF512)</f>
        <v/>
      </c>
      <c r="AH512" s="7">
        <f>IF($C512="","",AG512-R512)</f>
        <v/>
      </c>
      <c r="AI512">
        <f>IF($C512="","",IF(COUNTIF($C$2:$C512,$C512)=1,1,0))</f>
        <v/>
      </c>
      <c r="AJ512">
        <f>IF($AI512=1,SUMPRODUCT(--($AL$2:$AL$1501&lt;$AL512))+1,"")</f>
        <v/>
      </c>
      <c r="AK512">
        <f>IF($C512="","",IF(OR($AD512=TRUE(),$AD512="TRUE"),0,1))</f>
        <v/>
      </c>
      <c r="AL512">
        <f>IF($AI512=1,IFERROR(IF(VALUE($C512)&lt;100000000,VALUE($C512),1000000000),IFERROR(IF(VALUE(MID($C512,2,20))&lt;100000000,VALUE(MID($C512,2,20)),1000000000),1000000000))+ROW()/100000,"")</f>
        <v/>
      </c>
    </row>
    <row r="513">
      <c r="J513" s="7" t="n"/>
      <c r="K513" s="7" t="n"/>
      <c r="R513" s="7">
        <f>IF($C513="","",Q513*AC513/100)</f>
        <v/>
      </c>
      <c r="S513" s="11" t="n"/>
      <c r="U513" s="11" t="n"/>
      <c r="AA513" s="7" t="n"/>
      <c r="AC513" s="7" t="n"/>
      <c r="AE513">
        <f>IF($C513="","",IF($AK513=1,Settings!$C$6,Settings!$C$7)*1)</f>
        <v/>
      </c>
      <c r="AF513" s="7">
        <f>IF($C513="","",AE513*AC513)</f>
        <v/>
      </c>
      <c r="AG513" s="7">
        <f>IF($C513="","",AC513-AF513)</f>
        <v/>
      </c>
      <c r="AH513" s="7">
        <f>IF($C513="","",AG513-R513)</f>
        <v/>
      </c>
      <c r="AI513">
        <f>IF($C513="","",IF(COUNTIF($C$2:$C513,$C513)=1,1,0))</f>
        <v/>
      </c>
      <c r="AJ513">
        <f>IF($AI513=1,SUMPRODUCT(--($AL$2:$AL$1501&lt;$AL513))+1,"")</f>
        <v/>
      </c>
      <c r="AK513">
        <f>IF($C513="","",IF(OR($AD513=TRUE(),$AD513="TRUE"),0,1))</f>
        <v/>
      </c>
      <c r="AL513">
        <f>IF($AI513=1,IFERROR(IF(VALUE($C513)&lt;100000000,VALUE($C513),1000000000),IFERROR(IF(VALUE(MID($C513,2,20))&lt;100000000,VALUE(MID($C513,2,20)),1000000000),1000000000))+ROW()/100000,"")</f>
        <v/>
      </c>
    </row>
    <row r="514">
      <c r="J514" s="7" t="n"/>
      <c r="K514" s="7" t="n"/>
      <c r="R514" s="7">
        <f>IF($C514="","",Q514*AC514/100)</f>
        <v/>
      </c>
      <c r="S514" s="11" t="n"/>
      <c r="U514" s="11" t="n"/>
      <c r="AA514" s="7" t="n"/>
      <c r="AC514" s="7" t="n"/>
      <c r="AE514">
        <f>IF($C514="","",IF($AK514=1,Settings!$C$6,Settings!$C$7)*1)</f>
        <v/>
      </c>
      <c r="AF514" s="7">
        <f>IF($C514="","",AE514*AC514)</f>
        <v/>
      </c>
      <c r="AG514" s="7">
        <f>IF($C514="","",AC514-AF514)</f>
        <v/>
      </c>
      <c r="AH514" s="7">
        <f>IF($C514="","",AG514-R514)</f>
        <v/>
      </c>
      <c r="AI514">
        <f>IF($C514="","",IF(COUNTIF($C$2:$C514,$C514)=1,1,0))</f>
        <v/>
      </c>
      <c r="AJ514">
        <f>IF($AI514=1,SUMPRODUCT(--($AL$2:$AL$1501&lt;$AL514))+1,"")</f>
        <v/>
      </c>
      <c r="AK514">
        <f>IF($C514="","",IF(OR($AD514=TRUE(),$AD514="TRUE"),0,1))</f>
        <v/>
      </c>
      <c r="AL514">
        <f>IF($AI514=1,IFERROR(IF(VALUE($C514)&lt;100000000,VALUE($C514),1000000000),IFERROR(IF(VALUE(MID($C514,2,20))&lt;100000000,VALUE(MID($C514,2,20)),1000000000),1000000000))+ROW()/100000,"")</f>
        <v/>
      </c>
    </row>
    <row r="515">
      <c r="J515" s="7" t="n"/>
      <c r="K515" s="7" t="n"/>
      <c r="R515" s="7">
        <f>IF($C515="","",Q515*AC515/100)</f>
        <v/>
      </c>
      <c r="S515" s="11" t="n"/>
      <c r="U515" s="11" t="n"/>
      <c r="AA515" s="7" t="n"/>
      <c r="AC515" s="7" t="n"/>
      <c r="AE515">
        <f>IF($C515="","",IF($AK515=1,Settings!$C$6,Settings!$C$7)*1)</f>
        <v/>
      </c>
      <c r="AF515" s="7">
        <f>IF($C515="","",AE515*AC515)</f>
        <v/>
      </c>
      <c r="AG515" s="7">
        <f>IF($C515="","",AC515-AF515)</f>
        <v/>
      </c>
      <c r="AH515" s="7">
        <f>IF($C515="","",AG515-R515)</f>
        <v/>
      </c>
      <c r="AI515">
        <f>IF($C515="","",IF(COUNTIF($C$2:$C515,$C515)=1,1,0))</f>
        <v/>
      </c>
      <c r="AJ515">
        <f>IF($AI515=1,SUMPRODUCT(--($AL$2:$AL$1501&lt;$AL515))+1,"")</f>
        <v/>
      </c>
      <c r="AK515">
        <f>IF($C515="","",IF(OR($AD515=TRUE(),$AD515="TRUE"),0,1))</f>
        <v/>
      </c>
      <c r="AL515">
        <f>IF($AI515=1,IFERROR(IF(VALUE($C515)&lt;100000000,VALUE($C515),1000000000),IFERROR(IF(VALUE(MID($C515,2,20))&lt;100000000,VALUE(MID($C515,2,20)),1000000000),1000000000))+ROW()/100000,"")</f>
        <v/>
      </c>
    </row>
    <row r="516">
      <c r="J516" s="7" t="n"/>
      <c r="K516" s="7" t="n"/>
      <c r="R516" s="7">
        <f>IF($C516="","",Q516*AC516/100)</f>
        <v/>
      </c>
      <c r="S516" s="11" t="n"/>
      <c r="U516" s="11" t="n"/>
      <c r="AA516" s="7" t="n"/>
      <c r="AC516" s="7" t="n"/>
      <c r="AE516">
        <f>IF($C516="","",IF($AK516=1,Settings!$C$6,Settings!$C$7)*1)</f>
        <v/>
      </c>
      <c r="AF516" s="7">
        <f>IF($C516="","",AE516*AC516)</f>
        <v/>
      </c>
      <c r="AG516" s="7">
        <f>IF($C516="","",AC516-AF516)</f>
        <v/>
      </c>
      <c r="AH516" s="7">
        <f>IF($C516="","",AG516-R516)</f>
        <v/>
      </c>
      <c r="AI516">
        <f>IF($C516="","",IF(COUNTIF($C$2:$C516,$C516)=1,1,0))</f>
        <v/>
      </c>
      <c r="AJ516">
        <f>IF($AI516=1,SUMPRODUCT(--($AL$2:$AL$1501&lt;$AL516))+1,"")</f>
        <v/>
      </c>
      <c r="AK516">
        <f>IF($C516="","",IF(OR($AD516=TRUE(),$AD516="TRUE"),0,1))</f>
        <v/>
      </c>
      <c r="AL516">
        <f>IF($AI516=1,IFERROR(IF(VALUE($C516)&lt;100000000,VALUE($C516),1000000000),IFERROR(IF(VALUE(MID($C516,2,20))&lt;100000000,VALUE(MID($C516,2,20)),1000000000),1000000000))+ROW()/100000,"")</f>
        <v/>
      </c>
    </row>
    <row r="517">
      <c r="J517" s="7" t="n"/>
      <c r="K517" s="7" t="n"/>
      <c r="R517" s="7">
        <f>IF($C517="","",Q517*AC517/100)</f>
        <v/>
      </c>
      <c r="S517" s="11" t="n"/>
      <c r="U517" s="11" t="n"/>
      <c r="AA517" s="7" t="n"/>
      <c r="AC517" s="7" t="n"/>
      <c r="AE517">
        <f>IF($C517="","",IF($AK517=1,Settings!$C$6,Settings!$C$7)*1)</f>
        <v/>
      </c>
      <c r="AF517" s="7">
        <f>IF($C517="","",AE517*AC517)</f>
        <v/>
      </c>
      <c r="AG517" s="7">
        <f>IF($C517="","",AC517-AF517)</f>
        <v/>
      </c>
      <c r="AH517" s="7">
        <f>IF($C517="","",AG517-R517)</f>
        <v/>
      </c>
      <c r="AI517">
        <f>IF($C517="","",IF(COUNTIF($C$2:$C517,$C517)=1,1,0))</f>
        <v/>
      </c>
      <c r="AJ517">
        <f>IF($AI517=1,SUMPRODUCT(--($AL$2:$AL$1501&lt;$AL517))+1,"")</f>
        <v/>
      </c>
      <c r="AK517">
        <f>IF($C517="","",IF(OR($AD517=TRUE(),$AD517="TRUE"),0,1))</f>
        <v/>
      </c>
      <c r="AL517">
        <f>IF($AI517=1,IFERROR(IF(VALUE($C517)&lt;100000000,VALUE($C517),1000000000),IFERROR(IF(VALUE(MID($C517,2,20))&lt;100000000,VALUE(MID($C517,2,20)),1000000000),1000000000))+ROW()/100000,"")</f>
        <v/>
      </c>
    </row>
    <row r="518">
      <c r="J518" s="7" t="n"/>
      <c r="K518" s="7" t="n"/>
      <c r="R518" s="7">
        <f>IF($C518="","",Q518*AC518/100)</f>
        <v/>
      </c>
      <c r="S518" s="11" t="n"/>
      <c r="U518" s="11" t="n"/>
      <c r="AA518" s="7" t="n"/>
      <c r="AC518" s="7" t="n"/>
      <c r="AE518">
        <f>IF($C518="","",IF($AK518=1,Settings!$C$6,Settings!$C$7)*1)</f>
        <v/>
      </c>
      <c r="AF518" s="7">
        <f>IF($C518="","",AE518*AC518)</f>
        <v/>
      </c>
      <c r="AG518" s="7">
        <f>IF($C518="","",AC518-AF518)</f>
        <v/>
      </c>
      <c r="AH518" s="7">
        <f>IF($C518="","",AG518-R518)</f>
        <v/>
      </c>
      <c r="AI518">
        <f>IF($C518="","",IF(COUNTIF($C$2:$C518,$C518)=1,1,0))</f>
        <v/>
      </c>
      <c r="AJ518">
        <f>IF($AI518=1,SUMPRODUCT(--($AL$2:$AL$1501&lt;$AL518))+1,"")</f>
        <v/>
      </c>
      <c r="AK518">
        <f>IF($C518="","",IF(OR($AD518=TRUE(),$AD518="TRUE"),0,1))</f>
        <v/>
      </c>
      <c r="AL518">
        <f>IF($AI518=1,IFERROR(IF(VALUE($C518)&lt;100000000,VALUE($C518),1000000000),IFERROR(IF(VALUE(MID($C518,2,20))&lt;100000000,VALUE(MID($C518,2,20)),1000000000),1000000000))+ROW()/100000,"")</f>
        <v/>
      </c>
    </row>
    <row r="519">
      <c r="J519" s="7" t="n"/>
      <c r="K519" s="7" t="n"/>
      <c r="R519" s="7">
        <f>IF($C519="","",Q519*AC519/100)</f>
        <v/>
      </c>
      <c r="S519" s="11" t="n"/>
      <c r="U519" s="11" t="n"/>
      <c r="AA519" s="7" t="n"/>
      <c r="AC519" s="7" t="n"/>
      <c r="AE519">
        <f>IF($C519="","",IF($AK519=1,Settings!$C$6,Settings!$C$7)*1)</f>
        <v/>
      </c>
      <c r="AF519" s="7">
        <f>IF($C519="","",AE519*AC519)</f>
        <v/>
      </c>
      <c r="AG519" s="7">
        <f>IF($C519="","",AC519-AF519)</f>
        <v/>
      </c>
      <c r="AH519" s="7">
        <f>IF($C519="","",AG519-R519)</f>
        <v/>
      </c>
      <c r="AI519">
        <f>IF($C519="","",IF(COUNTIF($C$2:$C519,$C519)=1,1,0))</f>
        <v/>
      </c>
      <c r="AJ519">
        <f>IF($AI519=1,SUMPRODUCT(--($AL$2:$AL$1501&lt;$AL519))+1,"")</f>
        <v/>
      </c>
      <c r="AK519">
        <f>IF($C519="","",IF(OR($AD519=TRUE(),$AD519="TRUE"),0,1))</f>
        <v/>
      </c>
      <c r="AL519">
        <f>IF($AI519=1,IFERROR(IF(VALUE($C519)&lt;100000000,VALUE($C519),1000000000),IFERROR(IF(VALUE(MID($C519,2,20))&lt;100000000,VALUE(MID($C519,2,20)),1000000000),1000000000))+ROW()/100000,"")</f>
        <v/>
      </c>
    </row>
    <row r="520">
      <c r="J520" s="7" t="n"/>
      <c r="K520" s="7" t="n"/>
      <c r="R520" s="7">
        <f>IF($C520="","",Q520*AC520/100)</f>
        <v/>
      </c>
      <c r="S520" s="11" t="n"/>
      <c r="U520" s="11" t="n"/>
      <c r="AA520" s="7" t="n"/>
      <c r="AC520" s="7" t="n"/>
      <c r="AE520">
        <f>IF($C520="","",IF($AK520=1,Settings!$C$6,Settings!$C$7)*1)</f>
        <v/>
      </c>
      <c r="AF520" s="7">
        <f>IF($C520="","",AE520*AC520)</f>
        <v/>
      </c>
      <c r="AG520" s="7">
        <f>IF($C520="","",AC520-AF520)</f>
        <v/>
      </c>
      <c r="AH520" s="7">
        <f>IF($C520="","",AG520-R520)</f>
        <v/>
      </c>
      <c r="AI520">
        <f>IF($C520="","",IF(COUNTIF($C$2:$C520,$C520)=1,1,0))</f>
        <v/>
      </c>
      <c r="AJ520">
        <f>IF($AI520=1,SUMPRODUCT(--($AL$2:$AL$1501&lt;$AL520))+1,"")</f>
        <v/>
      </c>
      <c r="AK520">
        <f>IF($C520="","",IF(OR($AD520=TRUE(),$AD520="TRUE"),0,1))</f>
        <v/>
      </c>
      <c r="AL520">
        <f>IF($AI520=1,IFERROR(IF(VALUE($C520)&lt;100000000,VALUE($C520),1000000000),IFERROR(IF(VALUE(MID($C520,2,20))&lt;100000000,VALUE(MID($C520,2,20)),1000000000),1000000000))+ROW()/100000,"")</f>
        <v/>
      </c>
    </row>
    <row r="521">
      <c r="J521" s="7" t="n"/>
      <c r="K521" s="7" t="n"/>
      <c r="R521" s="7">
        <f>IF($C521="","",Q521*AC521/100)</f>
        <v/>
      </c>
      <c r="S521" s="11" t="n"/>
      <c r="U521" s="11" t="n"/>
      <c r="AA521" s="7" t="n"/>
      <c r="AC521" s="7" t="n"/>
      <c r="AE521">
        <f>IF($C521="","",IF($AK521=1,Settings!$C$6,Settings!$C$7)*1)</f>
        <v/>
      </c>
      <c r="AF521" s="7">
        <f>IF($C521="","",AE521*AC521)</f>
        <v/>
      </c>
      <c r="AG521" s="7">
        <f>IF($C521="","",AC521-AF521)</f>
        <v/>
      </c>
      <c r="AH521" s="7">
        <f>IF($C521="","",AG521-R521)</f>
        <v/>
      </c>
      <c r="AI521">
        <f>IF($C521="","",IF(COUNTIF($C$2:$C521,$C521)=1,1,0))</f>
        <v/>
      </c>
      <c r="AJ521">
        <f>IF($AI521=1,SUMPRODUCT(--($AL$2:$AL$1501&lt;$AL521))+1,"")</f>
        <v/>
      </c>
      <c r="AK521">
        <f>IF($C521="","",IF(OR($AD521=TRUE(),$AD521="TRUE"),0,1))</f>
        <v/>
      </c>
      <c r="AL521">
        <f>IF($AI521=1,IFERROR(IF(VALUE($C521)&lt;100000000,VALUE($C521),1000000000),IFERROR(IF(VALUE(MID($C521,2,20))&lt;100000000,VALUE(MID($C521,2,20)),1000000000),1000000000))+ROW()/100000,"")</f>
        <v/>
      </c>
    </row>
    <row r="522">
      <c r="J522" s="7" t="n"/>
      <c r="K522" s="7" t="n"/>
      <c r="R522" s="7">
        <f>IF($C522="","",Q522*AC522/100)</f>
        <v/>
      </c>
      <c r="S522" s="11" t="n"/>
      <c r="U522" s="11" t="n"/>
      <c r="AA522" s="7" t="n"/>
      <c r="AC522" s="7" t="n"/>
      <c r="AE522">
        <f>IF($C522="","",IF($AK522=1,Settings!$C$6,Settings!$C$7)*1)</f>
        <v/>
      </c>
      <c r="AF522" s="7">
        <f>IF($C522="","",AE522*AC522)</f>
        <v/>
      </c>
      <c r="AG522" s="7">
        <f>IF($C522="","",AC522-AF522)</f>
        <v/>
      </c>
      <c r="AH522" s="7">
        <f>IF($C522="","",AG522-R522)</f>
        <v/>
      </c>
      <c r="AI522">
        <f>IF($C522="","",IF(COUNTIF($C$2:$C522,$C522)=1,1,0))</f>
        <v/>
      </c>
      <c r="AJ522">
        <f>IF($AI522=1,SUMPRODUCT(--($AL$2:$AL$1501&lt;$AL522))+1,"")</f>
        <v/>
      </c>
      <c r="AK522">
        <f>IF($C522="","",IF(OR($AD522=TRUE(),$AD522="TRUE"),0,1))</f>
        <v/>
      </c>
      <c r="AL522">
        <f>IF($AI522=1,IFERROR(IF(VALUE($C522)&lt;100000000,VALUE($C522),1000000000),IFERROR(IF(VALUE(MID($C522,2,20))&lt;100000000,VALUE(MID($C522,2,20)),1000000000),1000000000))+ROW()/100000,"")</f>
        <v/>
      </c>
    </row>
    <row r="523">
      <c r="J523" s="7" t="n"/>
      <c r="K523" s="7" t="n"/>
      <c r="R523" s="7">
        <f>IF($C523="","",Q523*AC523/100)</f>
        <v/>
      </c>
      <c r="S523" s="11" t="n"/>
      <c r="U523" s="11" t="n"/>
      <c r="AA523" s="7" t="n"/>
      <c r="AC523" s="7" t="n"/>
      <c r="AE523">
        <f>IF($C523="","",IF($AK523=1,Settings!$C$6,Settings!$C$7)*1)</f>
        <v/>
      </c>
      <c r="AF523" s="7">
        <f>IF($C523="","",AE523*AC523)</f>
        <v/>
      </c>
      <c r="AG523" s="7">
        <f>IF($C523="","",AC523-AF523)</f>
        <v/>
      </c>
      <c r="AH523" s="7">
        <f>IF($C523="","",AG523-R523)</f>
        <v/>
      </c>
      <c r="AI523">
        <f>IF($C523="","",IF(COUNTIF($C$2:$C523,$C523)=1,1,0))</f>
        <v/>
      </c>
      <c r="AJ523">
        <f>IF($AI523=1,SUMPRODUCT(--($AL$2:$AL$1501&lt;$AL523))+1,"")</f>
        <v/>
      </c>
      <c r="AK523">
        <f>IF($C523="","",IF(OR($AD523=TRUE(),$AD523="TRUE"),0,1))</f>
        <v/>
      </c>
      <c r="AL523">
        <f>IF($AI523=1,IFERROR(IF(VALUE($C523)&lt;100000000,VALUE($C523),1000000000),IFERROR(IF(VALUE(MID($C523,2,20))&lt;100000000,VALUE(MID($C523,2,20)),1000000000),1000000000))+ROW()/100000,"")</f>
        <v/>
      </c>
    </row>
    <row r="524">
      <c r="J524" s="7" t="n"/>
      <c r="K524" s="7" t="n"/>
      <c r="R524" s="7">
        <f>IF($C524="","",Q524*AC524/100)</f>
        <v/>
      </c>
      <c r="S524" s="11" t="n"/>
      <c r="U524" s="11" t="n"/>
      <c r="AA524" s="7" t="n"/>
      <c r="AC524" s="7" t="n"/>
      <c r="AE524">
        <f>IF($C524="","",IF($AK524=1,Settings!$C$6,Settings!$C$7)*1)</f>
        <v/>
      </c>
      <c r="AF524" s="7">
        <f>IF($C524="","",AE524*AC524)</f>
        <v/>
      </c>
      <c r="AG524" s="7">
        <f>IF($C524="","",AC524-AF524)</f>
        <v/>
      </c>
      <c r="AH524" s="7">
        <f>IF($C524="","",AG524-R524)</f>
        <v/>
      </c>
      <c r="AI524">
        <f>IF($C524="","",IF(COUNTIF($C$2:$C524,$C524)=1,1,0))</f>
        <v/>
      </c>
      <c r="AJ524">
        <f>IF($AI524=1,SUMPRODUCT(--($AL$2:$AL$1501&lt;$AL524))+1,"")</f>
        <v/>
      </c>
      <c r="AK524">
        <f>IF($C524="","",IF(OR($AD524=TRUE(),$AD524="TRUE"),0,1))</f>
        <v/>
      </c>
      <c r="AL524">
        <f>IF($AI524=1,IFERROR(IF(VALUE($C524)&lt;100000000,VALUE($C524),1000000000),IFERROR(IF(VALUE(MID($C524,2,20))&lt;100000000,VALUE(MID($C524,2,20)),1000000000),1000000000))+ROW()/100000,"")</f>
        <v/>
      </c>
    </row>
    <row r="525">
      <c r="J525" s="7" t="n"/>
      <c r="K525" s="7" t="n"/>
      <c r="R525" s="7">
        <f>IF($C525="","",Q525*AC525/100)</f>
        <v/>
      </c>
      <c r="S525" s="11" t="n"/>
      <c r="U525" s="11" t="n"/>
      <c r="AA525" s="7" t="n"/>
      <c r="AC525" s="7" t="n"/>
      <c r="AE525">
        <f>IF($C525="","",IF($AK525=1,Settings!$C$6,Settings!$C$7)*1)</f>
        <v/>
      </c>
      <c r="AF525" s="7">
        <f>IF($C525="","",AE525*AC525)</f>
        <v/>
      </c>
      <c r="AG525" s="7">
        <f>IF($C525="","",AC525-AF525)</f>
        <v/>
      </c>
      <c r="AH525" s="7">
        <f>IF($C525="","",AG525-R525)</f>
        <v/>
      </c>
      <c r="AI525">
        <f>IF($C525="","",IF(COUNTIF($C$2:$C525,$C525)=1,1,0))</f>
        <v/>
      </c>
      <c r="AJ525">
        <f>IF($AI525=1,SUMPRODUCT(--($AL$2:$AL$1501&lt;$AL525))+1,"")</f>
        <v/>
      </c>
      <c r="AK525">
        <f>IF($C525="","",IF(OR($AD525=TRUE(),$AD525="TRUE"),0,1))</f>
        <v/>
      </c>
      <c r="AL525">
        <f>IF($AI525=1,IFERROR(IF(VALUE($C525)&lt;100000000,VALUE($C525),1000000000),IFERROR(IF(VALUE(MID($C525,2,20))&lt;100000000,VALUE(MID($C525,2,20)),1000000000),1000000000))+ROW()/100000,"")</f>
        <v/>
      </c>
    </row>
    <row r="526">
      <c r="J526" s="7" t="n"/>
      <c r="K526" s="7" t="n"/>
      <c r="R526" s="7">
        <f>IF($C526="","",Q526*AC526/100)</f>
        <v/>
      </c>
      <c r="S526" s="11" t="n"/>
      <c r="U526" s="11" t="n"/>
      <c r="AA526" s="7" t="n"/>
      <c r="AC526" s="7" t="n"/>
      <c r="AE526">
        <f>IF($C526="","",IF($AK526=1,Settings!$C$6,Settings!$C$7)*1)</f>
        <v/>
      </c>
      <c r="AF526" s="7">
        <f>IF($C526="","",AE526*AC526)</f>
        <v/>
      </c>
      <c r="AG526" s="7">
        <f>IF($C526="","",AC526-AF526)</f>
        <v/>
      </c>
      <c r="AH526" s="7">
        <f>IF($C526="","",AG526-R526)</f>
        <v/>
      </c>
      <c r="AI526">
        <f>IF($C526="","",IF(COUNTIF($C$2:$C526,$C526)=1,1,0))</f>
        <v/>
      </c>
      <c r="AJ526">
        <f>IF($AI526=1,SUMPRODUCT(--($AL$2:$AL$1501&lt;$AL526))+1,"")</f>
        <v/>
      </c>
      <c r="AK526">
        <f>IF($C526="","",IF(OR($AD526=TRUE(),$AD526="TRUE"),0,1))</f>
        <v/>
      </c>
      <c r="AL526">
        <f>IF($AI526=1,IFERROR(IF(VALUE($C526)&lt;100000000,VALUE($C526),1000000000),IFERROR(IF(VALUE(MID($C526,2,20))&lt;100000000,VALUE(MID($C526,2,20)),1000000000),1000000000))+ROW()/100000,"")</f>
        <v/>
      </c>
    </row>
    <row r="527">
      <c r="J527" s="7" t="n"/>
      <c r="K527" s="7" t="n"/>
      <c r="R527" s="7">
        <f>IF($C527="","",Q527*AC527/100)</f>
        <v/>
      </c>
      <c r="S527" s="11" t="n"/>
      <c r="U527" s="11" t="n"/>
      <c r="AA527" s="7" t="n"/>
      <c r="AC527" s="7" t="n"/>
      <c r="AE527">
        <f>IF($C527="","",IF($AK527=1,Settings!$C$6,Settings!$C$7)*1)</f>
        <v/>
      </c>
      <c r="AF527" s="7">
        <f>IF($C527="","",AE527*AC527)</f>
        <v/>
      </c>
      <c r="AG527" s="7">
        <f>IF($C527="","",AC527-AF527)</f>
        <v/>
      </c>
      <c r="AH527" s="7">
        <f>IF($C527="","",AG527-R527)</f>
        <v/>
      </c>
      <c r="AI527">
        <f>IF($C527="","",IF(COUNTIF($C$2:$C527,$C527)=1,1,0))</f>
        <v/>
      </c>
      <c r="AJ527">
        <f>IF($AI527=1,SUMPRODUCT(--($AL$2:$AL$1501&lt;$AL527))+1,"")</f>
        <v/>
      </c>
      <c r="AK527">
        <f>IF($C527="","",IF(OR($AD527=TRUE(),$AD527="TRUE"),0,1))</f>
        <v/>
      </c>
      <c r="AL527">
        <f>IF($AI527=1,IFERROR(IF(VALUE($C527)&lt;100000000,VALUE($C527),1000000000),IFERROR(IF(VALUE(MID($C527,2,20))&lt;100000000,VALUE(MID($C527,2,20)),1000000000),1000000000))+ROW()/100000,"")</f>
        <v/>
      </c>
    </row>
    <row r="528">
      <c r="J528" s="7" t="n"/>
      <c r="K528" s="7" t="n"/>
      <c r="R528" s="7">
        <f>IF($C528="","",Q528*AC528/100)</f>
        <v/>
      </c>
      <c r="S528" s="11" t="n"/>
      <c r="U528" s="11" t="n"/>
      <c r="AA528" s="7" t="n"/>
      <c r="AC528" s="7" t="n"/>
      <c r="AE528">
        <f>IF($C528="","",IF($AK528=1,Settings!$C$6,Settings!$C$7)*1)</f>
        <v/>
      </c>
      <c r="AF528" s="7">
        <f>IF($C528="","",AE528*AC528)</f>
        <v/>
      </c>
      <c r="AG528" s="7">
        <f>IF($C528="","",AC528-AF528)</f>
        <v/>
      </c>
      <c r="AH528" s="7">
        <f>IF($C528="","",AG528-R528)</f>
        <v/>
      </c>
      <c r="AI528">
        <f>IF($C528="","",IF(COUNTIF($C$2:$C528,$C528)=1,1,0))</f>
        <v/>
      </c>
      <c r="AJ528">
        <f>IF($AI528=1,SUMPRODUCT(--($AL$2:$AL$1501&lt;$AL528))+1,"")</f>
        <v/>
      </c>
      <c r="AK528">
        <f>IF($C528="","",IF(OR($AD528=TRUE(),$AD528="TRUE"),0,1))</f>
        <v/>
      </c>
      <c r="AL528">
        <f>IF($AI528=1,IFERROR(IF(VALUE($C528)&lt;100000000,VALUE($C528),1000000000),IFERROR(IF(VALUE(MID($C528,2,20))&lt;100000000,VALUE(MID($C528,2,20)),1000000000),1000000000))+ROW()/100000,"")</f>
        <v/>
      </c>
    </row>
    <row r="529">
      <c r="J529" s="7" t="n"/>
      <c r="K529" s="7" t="n"/>
      <c r="R529" s="7">
        <f>IF($C529="","",Q529*AC529/100)</f>
        <v/>
      </c>
      <c r="S529" s="11" t="n"/>
      <c r="U529" s="11" t="n"/>
      <c r="AA529" s="7" t="n"/>
      <c r="AC529" s="7" t="n"/>
      <c r="AE529">
        <f>IF($C529="","",IF($AK529=1,Settings!$C$6,Settings!$C$7)*1)</f>
        <v/>
      </c>
      <c r="AF529" s="7">
        <f>IF($C529="","",AE529*AC529)</f>
        <v/>
      </c>
      <c r="AG529" s="7">
        <f>IF($C529="","",AC529-AF529)</f>
        <v/>
      </c>
      <c r="AH529" s="7">
        <f>IF($C529="","",AG529-R529)</f>
        <v/>
      </c>
      <c r="AI529">
        <f>IF($C529="","",IF(COUNTIF($C$2:$C529,$C529)=1,1,0))</f>
        <v/>
      </c>
      <c r="AJ529">
        <f>IF($AI529=1,SUMPRODUCT(--($AL$2:$AL$1501&lt;$AL529))+1,"")</f>
        <v/>
      </c>
      <c r="AK529">
        <f>IF($C529="","",IF(OR($AD529=TRUE(),$AD529="TRUE"),0,1))</f>
        <v/>
      </c>
      <c r="AL529">
        <f>IF($AI529=1,IFERROR(IF(VALUE($C529)&lt;100000000,VALUE($C529),1000000000),IFERROR(IF(VALUE(MID($C529,2,20))&lt;100000000,VALUE(MID($C529,2,20)),1000000000),1000000000))+ROW()/100000,"")</f>
        <v/>
      </c>
    </row>
    <row r="530">
      <c r="J530" s="7" t="n"/>
      <c r="K530" s="7" t="n"/>
      <c r="R530" s="7">
        <f>IF($C530="","",Q530*AC530/100)</f>
        <v/>
      </c>
      <c r="S530" s="11" t="n"/>
      <c r="U530" s="11" t="n"/>
      <c r="AA530" s="7" t="n"/>
      <c r="AC530" s="7" t="n"/>
      <c r="AE530">
        <f>IF($C530="","",IF($AK530=1,Settings!$C$6,Settings!$C$7)*1)</f>
        <v/>
      </c>
      <c r="AF530" s="7">
        <f>IF($C530="","",AE530*AC530)</f>
        <v/>
      </c>
      <c r="AG530" s="7">
        <f>IF($C530="","",AC530-AF530)</f>
        <v/>
      </c>
      <c r="AH530" s="7">
        <f>IF($C530="","",AG530-R530)</f>
        <v/>
      </c>
      <c r="AI530">
        <f>IF($C530="","",IF(COUNTIF($C$2:$C530,$C530)=1,1,0))</f>
        <v/>
      </c>
      <c r="AJ530">
        <f>IF($AI530=1,SUMPRODUCT(--($AL$2:$AL$1501&lt;$AL530))+1,"")</f>
        <v/>
      </c>
      <c r="AK530">
        <f>IF($C530="","",IF(OR($AD530=TRUE(),$AD530="TRUE"),0,1))</f>
        <v/>
      </c>
      <c r="AL530">
        <f>IF($AI530=1,IFERROR(IF(VALUE($C530)&lt;100000000,VALUE($C530),1000000000),IFERROR(IF(VALUE(MID($C530,2,20))&lt;100000000,VALUE(MID($C530,2,20)),1000000000),1000000000))+ROW()/100000,"")</f>
        <v/>
      </c>
    </row>
    <row r="531">
      <c r="J531" s="7" t="n"/>
      <c r="K531" s="7" t="n"/>
      <c r="R531" s="7">
        <f>IF($C531="","",Q531*AC531/100)</f>
        <v/>
      </c>
      <c r="S531" s="11" t="n"/>
      <c r="U531" s="11" t="n"/>
      <c r="AA531" s="7" t="n"/>
      <c r="AC531" s="7" t="n"/>
      <c r="AE531">
        <f>IF($C531="","",IF($AK531=1,Settings!$C$6,Settings!$C$7)*1)</f>
        <v/>
      </c>
      <c r="AF531" s="7">
        <f>IF($C531="","",AE531*AC531)</f>
        <v/>
      </c>
      <c r="AG531" s="7">
        <f>IF($C531="","",AC531-AF531)</f>
        <v/>
      </c>
      <c r="AH531" s="7">
        <f>IF($C531="","",AG531-R531)</f>
        <v/>
      </c>
      <c r="AI531">
        <f>IF($C531="","",IF(COUNTIF($C$2:$C531,$C531)=1,1,0))</f>
        <v/>
      </c>
      <c r="AJ531">
        <f>IF($AI531=1,SUMPRODUCT(--($AL$2:$AL$1501&lt;$AL531))+1,"")</f>
        <v/>
      </c>
      <c r="AK531">
        <f>IF($C531="","",IF(OR($AD531=TRUE(),$AD531="TRUE"),0,1))</f>
        <v/>
      </c>
      <c r="AL531">
        <f>IF($AI531=1,IFERROR(IF(VALUE($C531)&lt;100000000,VALUE($C531),1000000000),IFERROR(IF(VALUE(MID($C531,2,20))&lt;100000000,VALUE(MID($C531,2,20)),1000000000),1000000000))+ROW()/100000,"")</f>
        <v/>
      </c>
    </row>
    <row r="532">
      <c r="J532" s="7" t="n"/>
      <c r="K532" s="7" t="n"/>
      <c r="R532" s="7">
        <f>IF($C532="","",Q532*AC532/100)</f>
        <v/>
      </c>
      <c r="S532" s="11" t="n"/>
      <c r="U532" s="11" t="n"/>
      <c r="AA532" s="7" t="n"/>
      <c r="AC532" s="7" t="n"/>
      <c r="AE532">
        <f>IF($C532="","",IF($AK532=1,Settings!$C$6,Settings!$C$7)*1)</f>
        <v/>
      </c>
      <c r="AF532" s="7">
        <f>IF($C532="","",AE532*AC532)</f>
        <v/>
      </c>
      <c r="AG532" s="7">
        <f>IF($C532="","",AC532-AF532)</f>
        <v/>
      </c>
      <c r="AH532" s="7">
        <f>IF($C532="","",AG532-R532)</f>
        <v/>
      </c>
      <c r="AI532">
        <f>IF($C532="","",IF(COUNTIF($C$2:$C532,$C532)=1,1,0))</f>
        <v/>
      </c>
      <c r="AJ532">
        <f>IF($AI532=1,SUMPRODUCT(--($AL$2:$AL$1501&lt;$AL532))+1,"")</f>
        <v/>
      </c>
      <c r="AK532">
        <f>IF($C532="","",IF(OR($AD532=TRUE(),$AD532="TRUE"),0,1))</f>
        <v/>
      </c>
      <c r="AL532">
        <f>IF($AI532=1,IFERROR(IF(VALUE($C532)&lt;100000000,VALUE($C532),1000000000),IFERROR(IF(VALUE(MID($C532,2,20))&lt;100000000,VALUE(MID($C532,2,20)),1000000000),1000000000))+ROW()/100000,"")</f>
        <v/>
      </c>
    </row>
    <row r="533">
      <c r="J533" s="7" t="n"/>
      <c r="K533" s="7" t="n"/>
      <c r="R533" s="7">
        <f>IF($C533="","",Q533*AC533/100)</f>
        <v/>
      </c>
      <c r="S533" s="11" t="n"/>
      <c r="U533" s="11" t="n"/>
      <c r="AA533" s="7" t="n"/>
      <c r="AC533" s="7" t="n"/>
      <c r="AE533">
        <f>IF($C533="","",IF($AK533=1,Settings!$C$6,Settings!$C$7)*1)</f>
        <v/>
      </c>
      <c r="AF533" s="7">
        <f>IF($C533="","",AE533*AC533)</f>
        <v/>
      </c>
      <c r="AG533" s="7">
        <f>IF($C533="","",AC533-AF533)</f>
        <v/>
      </c>
      <c r="AH533" s="7">
        <f>IF($C533="","",AG533-R533)</f>
        <v/>
      </c>
      <c r="AI533">
        <f>IF($C533="","",IF(COUNTIF($C$2:$C533,$C533)=1,1,0))</f>
        <v/>
      </c>
      <c r="AJ533">
        <f>IF($AI533=1,SUMPRODUCT(--($AL$2:$AL$1501&lt;$AL533))+1,"")</f>
        <v/>
      </c>
      <c r="AK533">
        <f>IF($C533="","",IF(OR($AD533=TRUE(),$AD533="TRUE"),0,1))</f>
        <v/>
      </c>
      <c r="AL533">
        <f>IF($AI533=1,IFERROR(IF(VALUE($C533)&lt;100000000,VALUE($C533),1000000000),IFERROR(IF(VALUE(MID($C533,2,20))&lt;100000000,VALUE(MID($C533,2,20)),1000000000),1000000000))+ROW()/100000,"")</f>
        <v/>
      </c>
    </row>
    <row r="534">
      <c r="J534" s="7" t="n"/>
      <c r="K534" s="7" t="n"/>
      <c r="R534" s="7">
        <f>IF($C534="","",Q534*AC534/100)</f>
        <v/>
      </c>
      <c r="S534" s="11" t="n"/>
      <c r="U534" s="11" t="n"/>
      <c r="AA534" s="7" t="n"/>
      <c r="AC534" s="7" t="n"/>
      <c r="AE534">
        <f>IF($C534="","",IF($AK534=1,Settings!$C$6,Settings!$C$7)*1)</f>
        <v/>
      </c>
      <c r="AF534" s="7">
        <f>IF($C534="","",AE534*AC534)</f>
        <v/>
      </c>
      <c r="AG534" s="7">
        <f>IF($C534="","",AC534-AF534)</f>
        <v/>
      </c>
      <c r="AH534" s="7">
        <f>IF($C534="","",AG534-R534)</f>
        <v/>
      </c>
      <c r="AI534">
        <f>IF($C534="","",IF(COUNTIF($C$2:$C534,$C534)=1,1,0))</f>
        <v/>
      </c>
      <c r="AJ534">
        <f>IF($AI534=1,SUMPRODUCT(--($AL$2:$AL$1501&lt;$AL534))+1,"")</f>
        <v/>
      </c>
      <c r="AK534">
        <f>IF($C534="","",IF(OR($AD534=TRUE(),$AD534="TRUE"),0,1))</f>
        <v/>
      </c>
      <c r="AL534">
        <f>IF($AI534=1,IFERROR(IF(VALUE($C534)&lt;100000000,VALUE($C534),1000000000),IFERROR(IF(VALUE(MID($C534,2,20))&lt;100000000,VALUE(MID($C534,2,20)),1000000000),1000000000))+ROW()/100000,"")</f>
        <v/>
      </c>
    </row>
    <row r="535">
      <c r="J535" s="7" t="n"/>
      <c r="K535" s="7" t="n"/>
      <c r="R535" s="7">
        <f>IF($C535="","",Q535*AC535/100)</f>
        <v/>
      </c>
      <c r="S535" s="11" t="n"/>
      <c r="U535" s="11" t="n"/>
      <c r="AA535" s="7" t="n"/>
      <c r="AC535" s="7" t="n"/>
      <c r="AE535">
        <f>IF($C535="","",IF($AK535=1,Settings!$C$6,Settings!$C$7)*1)</f>
        <v/>
      </c>
      <c r="AF535" s="7">
        <f>IF($C535="","",AE535*AC535)</f>
        <v/>
      </c>
      <c r="AG535" s="7">
        <f>IF($C535="","",AC535-AF535)</f>
        <v/>
      </c>
      <c r="AH535" s="7">
        <f>IF($C535="","",AG535-R535)</f>
        <v/>
      </c>
      <c r="AI535">
        <f>IF($C535="","",IF(COUNTIF($C$2:$C535,$C535)=1,1,0))</f>
        <v/>
      </c>
      <c r="AJ535">
        <f>IF($AI535=1,SUMPRODUCT(--($AL$2:$AL$1501&lt;$AL535))+1,"")</f>
        <v/>
      </c>
      <c r="AK535">
        <f>IF($C535="","",IF(OR($AD535=TRUE(),$AD535="TRUE"),0,1))</f>
        <v/>
      </c>
      <c r="AL535">
        <f>IF($AI535=1,IFERROR(IF(VALUE($C535)&lt;100000000,VALUE($C535),1000000000),IFERROR(IF(VALUE(MID($C535,2,20))&lt;100000000,VALUE(MID($C535,2,20)),1000000000),1000000000))+ROW()/100000,"")</f>
        <v/>
      </c>
    </row>
    <row r="536">
      <c r="J536" s="7" t="n"/>
      <c r="K536" s="7" t="n"/>
      <c r="R536" s="7">
        <f>IF($C536="","",Q536*AC536/100)</f>
        <v/>
      </c>
      <c r="S536" s="11" t="n"/>
      <c r="U536" s="11" t="n"/>
      <c r="AA536" s="7" t="n"/>
      <c r="AC536" s="7" t="n"/>
      <c r="AE536">
        <f>IF($C536="","",IF($AK536=1,Settings!$C$6,Settings!$C$7)*1)</f>
        <v/>
      </c>
      <c r="AF536" s="7">
        <f>IF($C536="","",AE536*AC536)</f>
        <v/>
      </c>
      <c r="AG536" s="7">
        <f>IF($C536="","",AC536-AF536)</f>
        <v/>
      </c>
      <c r="AH536" s="7">
        <f>IF($C536="","",AG536-R536)</f>
        <v/>
      </c>
      <c r="AI536">
        <f>IF($C536="","",IF(COUNTIF($C$2:$C536,$C536)=1,1,0))</f>
        <v/>
      </c>
      <c r="AJ536">
        <f>IF($AI536=1,SUMPRODUCT(--($AL$2:$AL$1501&lt;$AL536))+1,"")</f>
        <v/>
      </c>
      <c r="AK536">
        <f>IF($C536="","",IF(OR($AD536=TRUE(),$AD536="TRUE"),0,1))</f>
        <v/>
      </c>
      <c r="AL536">
        <f>IF($AI536=1,IFERROR(IF(VALUE($C536)&lt;100000000,VALUE($C536),1000000000),IFERROR(IF(VALUE(MID($C536,2,20))&lt;100000000,VALUE(MID($C536,2,20)),1000000000),1000000000))+ROW()/100000,"")</f>
        <v/>
      </c>
    </row>
    <row r="537">
      <c r="J537" s="7" t="n"/>
      <c r="K537" s="7" t="n"/>
      <c r="R537" s="7">
        <f>IF($C537="","",Q537*AC537/100)</f>
        <v/>
      </c>
      <c r="S537" s="11" t="n"/>
      <c r="U537" s="11" t="n"/>
      <c r="AA537" s="7" t="n"/>
      <c r="AC537" s="7" t="n"/>
      <c r="AE537">
        <f>IF($C537="","",IF($AK537=1,Settings!$C$6,Settings!$C$7)*1)</f>
        <v/>
      </c>
      <c r="AF537" s="7">
        <f>IF($C537="","",AE537*AC537)</f>
        <v/>
      </c>
      <c r="AG537" s="7">
        <f>IF($C537="","",AC537-AF537)</f>
        <v/>
      </c>
      <c r="AH537" s="7">
        <f>IF($C537="","",AG537-R537)</f>
        <v/>
      </c>
      <c r="AI537">
        <f>IF($C537="","",IF(COUNTIF($C$2:$C537,$C537)=1,1,0))</f>
        <v/>
      </c>
      <c r="AJ537">
        <f>IF($AI537=1,SUMPRODUCT(--($AL$2:$AL$1501&lt;$AL537))+1,"")</f>
        <v/>
      </c>
      <c r="AK537">
        <f>IF($C537="","",IF(OR($AD537=TRUE(),$AD537="TRUE"),0,1))</f>
        <v/>
      </c>
      <c r="AL537">
        <f>IF($AI537=1,IFERROR(IF(VALUE($C537)&lt;100000000,VALUE($C537),1000000000),IFERROR(IF(VALUE(MID($C537,2,20))&lt;100000000,VALUE(MID($C537,2,20)),1000000000),1000000000))+ROW()/100000,"")</f>
        <v/>
      </c>
    </row>
    <row r="538">
      <c r="J538" s="7" t="n"/>
      <c r="K538" s="7" t="n"/>
      <c r="R538" s="7">
        <f>IF($C538="","",Q538*AC538/100)</f>
        <v/>
      </c>
      <c r="S538" s="11" t="n"/>
      <c r="U538" s="11" t="n"/>
      <c r="AA538" s="7" t="n"/>
      <c r="AC538" s="7" t="n"/>
      <c r="AE538">
        <f>IF($C538="","",IF($AK538=1,Settings!$C$6,Settings!$C$7)*1)</f>
        <v/>
      </c>
      <c r="AF538" s="7">
        <f>IF($C538="","",AE538*AC538)</f>
        <v/>
      </c>
      <c r="AG538" s="7">
        <f>IF($C538="","",AC538-AF538)</f>
        <v/>
      </c>
      <c r="AH538" s="7">
        <f>IF($C538="","",AG538-R538)</f>
        <v/>
      </c>
      <c r="AI538">
        <f>IF($C538="","",IF(COUNTIF($C$2:$C538,$C538)=1,1,0))</f>
        <v/>
      </c>
      <c r="AJ538">
        <f>IF($AI538=1,SUMPRODUCT(--($AL$2:$AL$1501&lt;$AL538))+1,"")</f>
        <v/>
      </c>
      <c r="AK538">
        <f>IF($C538="","",IF(OR($AD538=TRUE(),$AD538="TRUE"),0,1))</f>
        <v/>
      </c>
      <c r="AL538">
        <f>IF($AI538=1,IFERROR(IF(VALUE($C538)&lt;100000000,VALUE($C538),1000000000),IFERROR(IF(VALUE(MID($C538,2,20))&lt;100000000,VALUE(MID($C538,2,20)),1000000000),1000000000))+ROW()/100000,"")</f>
        <v/>
      </c>
    </row>
    <row r="539">
      <c r="J539" s="7" t="n"/>
      <c r="K539" s="7" t="n"/>
      <c r="R539" s="7">
        <f>IF($C539="","",Q539*AC539/100)</f>
        <v/>
      </c>
      <c r="S539" s="11" t="n"/>
      <c r="U539" s="11" t="n"/>
      <c r="AA539" s="7" t="n"/>
      <c r="AC539" s="7" t="n"/>
      <c r="AE539">
        <f>IF($C539="","",IF($AK539=1,Settings!$C$6,Settings!$C$7)*1)</f>
        <v/>
      </c>
      <c r="AF539" s="7">
        <f>IF($C539="","",AE539*AC539)</f>
        <v/>
      </c>
      <c r="AG539" s="7">
        <f>IF($C539="","",AC539-AF539)</f>
        <v/>
      </c>
      <c r="AH539" s="7">
        <f>IF($C539="","",AG539-R539)</f>
        <v/>
      </c>
      <c r="AI539">
        <f>IF($C539="","",IF(COUNTIF($C$2:$C539,$C539)=1,1,0))</f>
        <v/>
      </c>
      <c r="AJ539">
        <f>IF($AI539=1,SUMPRODUCT(--($AL$2:$AL$1501&lt;$AL539))+1,"")</f>
        <v/>
      </c>
      <c r="AK539">
        <f>IF($C539="","",IF(OR($AD539=TRUE(),$AD539="TRUE"),0,1))</f>
        <v/>
      </c>
      <c r="AL539">
        <f>IF($AI539=1,IFERROR(IF(VALUE($C539)&lt;100000000,VALUE($C539),1000000000),IFERROR(IF(VALUE(MID($C539,2,20))&lt;100000000,VALUE(MID($C539,2,20)),1000000000),1000000000))+ROW()/100000,"")</f>
        <v/>
      </c>
    </row>
    <row r="540">
      <c r="J540" s="7" t="n"/>
      <c r="K540" s="7" t="n"/>
      <c r="R540" s="7">
        <f>IF($C540="","",Q540*AC540/100)</f>
        <v/>
      </c>
      <c r="S540" s="11" t="n"/>
      <c r="U540" s="11" t="n"/>
      <c r="AA540" s="7" t="n"/>
      <c r="AC540" s="7" t="n"/>
      <c r="AE540">
        <f>IF($C540="","",IF($AK540=1,Settings!$C$6,Settings!$C$7)*1)</f>
        <v/>
      </c>
      <c r="AF540" s="7">
        <f>IF($C540="","",AE540*AC540)</f>
        <v/>
      </c>
      <c r="AG540" s="7">
        <f>IF($C540="","",AC540-AF540)</f>
        <v/>
      </c>
      <c r="AH540" s="7">
        <f>IF($C540="","",AG540-R540)</f>
        <v/>
      </c>
      <c r="AI540">
        <f>IF($C540="","",IF(COUNTIF($C$2:$C540,$C540)=1,1,0))</f>
        <v/>
      </c>
      <c r="AJ540">
        <f>IF($AI540=1,SUMPRODUCT(--($AL$2:$AL$1501&lt;$AL540))+1,"")</f>
        <v/>
      </c>
      <c r="AK540">
        <f>IF($C540="","",IF(OR($AD540=TRUE(),$AD540="TRUE"),0,1))</f>
        <v/>
      </c>
      <c r="AL540">
        <f>IF($AI540=1,IFERROR(IF(VALUE($C540)&lt;100000000,VALUE($C540),1000000000),IFERROR(IF(VALUE(MID($C540,2,20))&lt;100000000,VALUE(MID($C540,2,20)),1000000000),1000000000))+ROW()/100000,"")</f>
        <v/>
      </c>
    </row>
    <row r="541">
      <c r="J541" s="7" t="n"/>
      <c r="K541" s="7" t="n"/>
      <c r="R541" s="7">
        <f>IF($C541="","",Q541*AC541/100)</f>
        <v/>
      </c>
      <c r="S541" s="11" t="n"/>
      <c r="U541" s="11" t="n"/>
      <c r="AA541" s="7" t="n"/>
      <c r="AC541" s="7" t="n"/>
      <c r="AE541">
        <f>IF($C541="","",IF($AK541=1,Settings!$C$6,Settings!$C$7)*1)</f>
        <v/>
      </c>
      <c r="AF541" s="7">
        <f>IF($C541="","",AE541*AC541)</f>
        <v/>
      </c>
      <c r="AG541" s="7">
        <f>IF($C541="","",AC541-AF541)</f>
        <v/>
      </c>
      <c r="AH541" s="7">
        <f>IF($C541="","",AG541-R541)</f>
        <v/>
      </c>
      <c r="AI541">
        <f>IF($C541="","",IF(COUNTIF($C$2:$C541,$C541)=1,1,0))</f>
        <v/>
      </c>
      <c r="AJ541">
        <f>IF($AI541=1,SUMPRODUCT(--($AL$2:$AL$1501&lt;$AL541))+1,"")</f>
        <v/>
      </c>
      <c r="AK541">
        <f>IF($C541="","",IF(OR($AD541=TRUE(),$AD541="TRUE"),0,1))</f>
        <v/>
      </c>
      <c r="AL541">
        <f>IF($AI541=1,IFERROR(IF(VALUE($C541)&lt;100000000,VALUE($C541),1000000000),IFERROR(IF(VALUE(MID($C541,2,20))&lt;100000000,VALUE(MID($C541,2,20)),1000000000),1000000000))+ROW()/100000,"")</f>
        <v/>
      </c>
    </row>
    <row r="542">
      <c r="J542" s="7" t="n"/>
      <c r="K542" s="7" t="n"/>
      <c r="R542" s="7">
        <f>IF($C542="","",Q542*AC542/100)</f>
        <v/>
      </c>
      <c r="S542" s="11" t="n"/>
      <c r="U542" s="11" t="n"/>
      <c r="AA542" s="7" t="n"/>
      <c r="AC542" s="7" t="n"/>
      <c r="AE542">
        <f>IF($C542="","",IF($AK542=1,Settings!$C$6,Settings!$C$7)*1)</f>
        <v/>
      </c>
      <c r="AF542" s="7">
        <f>IF($C542="","",AE542*AC542)</f>
        <v/>
      </c>
      <c r="AG542" s="7">
        <f>IF($C542="","",AC542-AF542)</f>
        <v/>
      </c>
      <c r="AH542" s="7">
        <f>IF($C542="","",AG542-R542)</f>
        <v/>
      </c>
      <c r="AI542">
        <f>IF($C542="","",IF(COUNTIF($C$2:$C542,$C542)=1,1,0))</f>
        <v/>
      </c>
      <c r="AJ542">
        <f>IF($AI542=1,SUMPRODUCT(--($AL$2:$AL$1501&lt;$AL542))+1,"")</f>
        <v/>
      </c>
      <c r="AK542">
        <f>IF($C542="","",IF(OR($AD542=TRUE(),$AD542="TRUE"),0,1))</f>
        <v/>
      </c>
      <c r="AL542">
        <f>IF($AI542=1,IFERROR(IF(VALUE($C542)&lt;100000000,VALUE($C542),1000000000),IFERROR(IF(VALUE(MID($C542,2,20))&lt;100000000,VALUE(MID($C542,2,20)),1000000000),1000000000))+ROW()/100000,"")</f>
        <v/>
      </c>
    </row>
    <row r="543">
      <c r="J543" s="7" t="n"/>
      <c r="K543" s="7" t="n"/>
      <c r="R543" s="7">
        <f>IF($C543="","",Q543*AC543/100)</f>
        <v/>
      </c>
      <c r="S543" s="11" t="n"/>
      <c r="U543" s="11" t="n"/>
      <c r="AA543" s="7" t="n"/>
      <c r="AC543" s="7" t="n"/>
      <c r="AE543">
        <f>IF($C543="","",IF($AK543=1,Settings!$C$6,Settings!$C$7)*1)</f>
        <v/>
      </c>
      <c r="AF543" s="7">
        <f>IF($C543="","",AE543*AC543)</f>
        <v/>
      </c>
      <c r="AG543" s="7">
        <f>IF($C543="","",AC543-AF543)</f>
        <v/>
      </c>
      <c r="AH543" s="7">
        <f>IF($C543="","",AG543-R543)</f>
        <v/>
      </c>
      <c r="AI543">
        <f>IF($C543="","",IF(COUNTIF($C$2:$C543,$C543)=1,1,0))</f>
        <v/>
      </c>
      <c r="AJ543">
        <f>IF($AI543=1,SUMPRODUCT(--($AL$2:$AL$1501&lt;$AL543))+1,"")</f>
        <v/>
      </c>
      <c r="AK543">
        <f>IF($C543="","",IF(OR($AD543=TRUE(),$AD543="TRUE"),0,1))</f>
        <v/>
      </c>
      <c r="AL543">
        <f>IF($AI543=1,IFERROR(IF(VALUE($C543)&lt;100000000,VALUE($C543),1000000000),IFERROR(IF(VALUE(MID($C543,2,20))&lt;100000000,VALUE(MID($C543,2,20)),1000000000),1000000000))+ROW()/100000,"")</f>
        <v/>
      </c>
    </row>
    <row r="544">
      <c r="J544" s="7" t="n"/>
      <c r="K544" s="7" t="n"/>
      <c r="R544" s="7">
        <f>IF($C544="","",Q544*AC544/100)</f>
        <v/>
      </c>
      <c r="S544" s="11" t="n"/>
      <c r="U544" s="11" t="n"/>
      <c r="AA544" s="7" t="n"/>
      <c r="AC544" s="7" t="n"/>
      <c r="AE544">
        <f>IF($C544="","",IF($AK544=1,Settings!$C$6,Settings!$C$7)*1)</f>
        <v/>
      </c>
      <c r="AF544" s="7">
        <f>IF($C544="","",AE544*AC544)</f>
        <v/>
      </c>
      <c r="AG544" s="7">
        <f>IF($C544="","",AC544-AF544)</f>
        <v/>
      </c>
      <c r="AH544" s="7">
        <f>IF($C544="","",AG544-R544)</f>
        <v/>
      </c>
      <c r="AI544">
        <f>IF($C544="","",IF(COUNTIF($C$2:$C544,$C544)=1,1,0))</f>
        <v/>
      </c>
      <c r="AJ544">
        <f>IF($AI544=1,SUMPRODUCT(--($AL$2:$AL$1501&lt;$AL544))+1,"")</f>
        <v/>
      </c>
      <c r="AK544">
        <f>IF($C544="","",IF(OR($AD544=TRUE(),$AD544="TRUE"),0,1))</f>
        <v/>
      </c>
      <c r="AL544">
        <f>IF($AI544=1,IFERROR(IF(VALUE($C544)&lt;100000000,VALUE($C544),1000000000),IFERROR(IF(VALUE(MID($C544,2,20))&lt;100000000,VALUE(MID($C544,2,20)),1000000000),1000000000))+ROW()/100000,"")</f>
        <v/>
      </c>
    </row>
    <row r="545">
      <c r="J545" s="7" t="n"/>
      <c r="K545" s="7" t="n"/>
      <c r="R545" s="7">
        <f>IF($C545="","",Q545*AC545/100)</f>
        <v/>
      </c>
      <c r="S545" s="11" t="n"/>
      <c r="U545" s="11" t="n"/>
      <c r="AA545" s="7" t="n"/>
      <c r="AC545" s="7" t="n"/>
      <c r="AE545">
        <f>IF($C545="","",IF($AK545=1,Settings!$C$6,Settings!$C$7)*1)</f>
        <v/>
      </c>
      <c r="AF545" s="7">
        <f>IF($C545="","",AE545*AC545)</f>
        <v/>
      </c>
      <c r="AG545" s="7">
        <f>IF($C545="","",AC545-AF545)</f>
        <v/>
      </c>
      <c r="AH545" s="7">
        <f>IF($C545="","",AG545-R545)</f>
        <v/>
      </c>
      <c r="AI545">
        <f>IF($C545="","",IF(COUNTIF($C$2:$C545,$C545)=1,1,0))</f>
        <v/>
      </c>
      <c r="AJ545">
        <f>IF($AI545=1,SUMPRODUCT(--($AL$2:$AL$1501&lt;$AL545))+1,"")</f>
        <v/>
      </c>
      <c r="AK545">
        <f>IF($C545="","",IF(OR($AD545=TRUE(),$AD545="TRUE"),0,1))</f>
        <v/>
      </c>
      <c r="AL545">
        <f>IF($AI545=1,IFERROR(IF(VALUE($C545)&lt;100000000,VALUE($C545),1000000000),IFERROR(IF(VALUE(MID($C545,2,20))&lt;100000000,VALUE(MID($C545,2,20)),1000000000),1000000000))+ROW()/100000,"")</f>
        <v/>
      </c>
    </row>
    <row r="546">
      <c r="J546" s="7" t="n"/>
      <c r="K546" s="7" t="n"/>
      <c r="R546" s="7">
        <f>IF($C546="","",Q546*AC546/100)</f>
        <v/>
      </c>
      <c r="S546" s="11" t="n"/>
      <c r="U546" s="11" t="n"/>
      <c r="AA546" s="7" t="n"/>
      <c r="AC546" s="7" t="n"/>
      <c r="AE546">
        <f>IF($C546="","",IF($AK546=1,Settings!$C$6,Settings!$C$7)*1)</f>
        <v/>
      </c>
      <c r="AF546" s="7">
        <f>IF($C546="","",AE546*AC546)</f>
        <v/>
      </c>
      <c r="AG546" s="7">
        <f>IF($C546="","",AC546-AF546)</f>
        <v/>
      </c>
      <c r="AH546" s="7">
        <f>IF($C546="","",AG546-R546)</f>
        <v/>
      </c>
      <c r="AI546">
        <f>IF($C546="","",IF(COUNTIF($C$2:$C546,$C546)=1,1,0))</f>
        <v/>
      </c>
      <c r="AJ546">
        <f>IF($AI546=1,SUMPRODUCT(--($AL$2:$AL$1501&lt;$AL546))+1,"")</f>
        <v/>
      </c>
      <c r="AK546">
        <f>IF($C546="","",IF(OR($AD546=TRUE(),$AD546="TRUE"),0,1))</f>
        <v/>
      </c>
      <c r="AL546">
        <f>IF($AI546=1,IFERROR(IF(VALUE($C546)&lt;100000000,VALUE($C546),1000000000),IFERROR(IF(VALUE(MID($C546,2,20))&lt;100000000,VALUE(MID($C546,2,20)),1000000000),1000000000))+ROW()/100000,"")</f>
        <v/>
      </c>
    </row>
    <row r="547">
      <c r="J547" s="7" t="n"/>
      <c r="K547" s="7" t="n"/>
      <c r="R547" s="7">
        <f>IF($C547="","",Q547*AC547/100)</f>
        <v/>
      </c>
      <c r="S547" s="11" t="n"/>
      <c r="U547" s="11" t="n"/>
      <c r="AA547" s="7" t="n"/>
      <c r="AC547" s="7" t="n"/>
      <c r="AE547">
        <f>IF($C547="","",IF($AK547=1,Settings!$C$6,Settings!$C$7)*1)</f>
        <v/>
      </c>
      <c r="AF547" s="7">
        <f>IF($C547="","",AE547*AC547)</f>
        <v/>
      </c>
      <c r="AG547" s="7">
        <f>IF($C547="","",AC547-AF547)</f>
        <v/>
      </c>
      <c r="AH547" s="7">
        <f>IF($C547="","",AG547-R547)</f>
        <v/>
      </c>
      <c r="AI547">
        <f>IF($C547="","",IF(COUNTIF($C$2:$C547,$C547)=1,1,0))</f>
        <v/>
      </c>
      <c r="AJ547">
        <f>IF($AI547=1,SUMPRODUCT(--($AL$2:$AL$1501&lt;$AL547))+1,"")</f>
        <v/>
      </c>
      <c r="AK547">
        <f>IF($C547="","",IF(OR($AD547=TRUE(),$AD547="TRUE"),0,1))</f>
        <v/>
      </c>
      <c r="AL547">
        <f>IF($AI547=1,IFERROR(IF(VALUE($C547)&lt;100000000,VALUE($C547),1000000000),IFERROR(IF(VALUE(MID($C547,2,20))&lt;100000000,VALUE(MID($C547,2,20)),1000000000),1000000000))+ROW()/100000,"")</f>
        <v/>
      </c>
    </row>
    <row r="548">
      <c r="J548" s="7" t="n"/>
      <c r="K548" s="7" t="n"/>
      <c r="R548" s="7">
        <f>IF($C548="","",Q548*AC548/100)</f>
        <v/>
      </c>
      <c r="S548" s="11" t="n"/>
      <c r="U548" s="11" t="n"/>
      <c r="AA548" s="7" t="n"/>
      <c r="AC548" s="7" t="n"/>
      <c r="AE548">
        <f>IF($C548="","",IF($AK548=1,Settings!$C$6,Settings!$C$7)*1)</f>
        <v/>
      </c>
      <c r="AF548" s="7">
        <f>IF($C548="","",AE548*AC548)</f>
        <v/>
      </c>
      <c r="AG548" s="7">
        <f>IF($C548="","",AC548-AF548)</f>
        <v/>
      </c>
      <c r="AH548" s="7">
        <f>IF($C548="","",AG548-R548)</f>
        <v/>
      </c>
      <c r="AI548">
        <f>IF($C548="","",IF(COUNTIF($C$2:$C548,$C548)=1,1,0))</f>
        <v/>
      </c>
      <c r="AJ548">
        <f>IF($AI548=1,SUMPRODUCT(--($AL$2:$AL$1501&lt;$AL548))+1,"")</f>
        <v/>
      </c>
      <c r="AK548">
        <f>IF($C548="","",IF(OR($AD548=TRUE(),$AD548="TRUE"),0,1))</f>
        <v/>
      </c>
      <c r="AL548">
        <f>IF($AI548=1,IFERROR(IF(VALUE($C548)&lt;100000000,VALUE($C548),1000000000),IFERROR(IF(VALUE(MID($C548,2,20))&lt;100000000,VALUE(MID($C548,2,20)),1000000000),1000000000))+ROW()/100000,"")</f>
        <v/>
      </c>
    </row>
    <row r="549">
      <c r="J549" s="7" t="n"/>
      <c r="K549" s="7" t="n"/>
      <c r="R549" s="7">
        <f>IF($C549="","",Q549*AC549/100)</f>
        <v/>
      </c>
      <c r="S549" s="11" t="n"/>
      <c r="U549" s="11" t="n"/>
      <c r="AA549" s="7" t="n"/>
      <c r="AC549" s="7" t="n"/>
      <c r="AE549">
        <f>IF($C549="","",IF($AK549=1,Settings!$C$6,Settings!$C$7)*1)</f>
        <v/>
      </c>
      <c r="AF549" s="7">
        <f>IF($C549="","",AE549*AC549)</f>
        <v/>
      </c>
      <c r="AG549" s="7">
        <f>IF($C549="","",AC549-AF549)</f>
        <v/>
      </c>
      <c r="AH549" s="7">
        <f>IF($C549="","",AG549-R549)</f>
        <v/>
      </c>
      <c r="AI549">
        <f>IF($C549="","",IF(COUNTIF($C$2:$C549,$C549)=1,1,0))</f>
        <v/>
      </c>
      <c r="AJ549">
        <f>IF($AI549=1,SUMPRODUCT(--($AL$2:$AL$1501&lt;$AL549))+1,"")</f>
        <v/>
      </c>
      <c r="AK549">
        <f>IF($C549="","",IF(OR($AD549=TRUE(),$AD549="TRUE"),0,1))</f>
        <v/>
      </c>
      <c r="AL549">
        <f>IF($AI549=1,IFERROR(IF(VALUE($C549)&lt;100000000,VALUE($C549),1000000000),IFERROR(IF(VALUE(MID($C549,2,20))&lt;100000000,VALUE(MID($C549,2,20)),1000000000),1000000000))+ROW()/100000,"")</f>
        <v/>
      </c>
    </row>
    <row r="550">
      <c r="J550" s="7" t="n"/>
      <c r="K550" s="7" t="n"/>
      <c r="R550" s="7">
        <f>IF($C550="","",Q550*AC550/100)</f>
        <v/>
      </c>
      <c r="S550" s="11" t="n"/>
      <c r="U550" s="11" t="n"/>
      <c r="AA550" s="7" t="n"/>
      <c r="AC550" s="7" t="n"/>
      <c r="AE550">
        <f>IF($C550="","",IF($AK550=1,Settings!$C$6,Settings!$C$7)*1)</f>
        <v/>
      </c>
      <c r="AF550" s="7">
        <f>IF($C550="","",AE550*AC550)</f>
        <v/>
      </c>
      <c r="AG550" s="7">
        <f>IF($C550="","",AC550-AF550)</f>
        <v/>
      </c>
      <c r="AH550" s="7">
        <f>IF($C550="","",AG550-R550)</f>
        <v/>
      </c>
      <c r="AI550">
        <f>IF($C550="","",IF(COUNTIF($C$2:$C550,$C550)=1,1,0))</f>
        <v/>
      </c>
      <c r="AJ550">
        <f>IF($AI550=1,SUMPRODUCT(--($AL$2:$AL$1501&lt;$AL550))+1,"")</f>
        <v/>
      </c>
      <c r="AK550">
        <f>IF($C550="","",IF(OR($AD550=TRUE(),$AD550="TRUE"),0,1))</f>
        <v/>
      </c>
      <c r="AL550">
        <f>IF($AI550=1,IFERROR(IF(VALUE($C550)&lt;100000000,VALUE($C550),1000000000),IFERROR(IF(VALUE(MID($C550,2,20))&lt;100000000,VALUE(MID($C550,2,20)),1000000000),1000000000))+ROW()/100000,"")</f>
        <v/>
      </c>
    </row>
    <row r="551">
      <c r="J551" s="7" t="n"/>
      <c r="K551" s="7" t="n"/>
      <c r="R551" s="7">
        <f>IF($C551="","",Q551*AC551/100)</f>
        <v/>
      </c>
      <c r="S551" s="11" t="n"/>
      <c r="U551" s="11" t="n"/>
      <c r="AA551" s="7" t="n"/>
      <c r="AC551" s="7" t="n"/>
      <c r="AE551">
        <f>IF($C551="","",IF($AK551=1,Settings!$C$6,Settings!$C$7)*1)</f>
        <v/>
      </c>
      <c r="AF551" s="7">
        <f>IF($C551="","",AE551*AC551)</f>
        <v/>
      </c>
      <c r="AG551" s="7">
        <f>IF($C551="","",AC551-AF551)</f>
        <v/>
      </c>
      <c r="AH551" s="7">
        <f>IF($C551="","",AG551-R551)</f>
        <v/>
      </c>
      <c r="AI551">
        <f>IF($C551="","",IF(COUNTIF($C$2:$C551,$C551)=1,1,0))</f>
        <v/>
      </c>
      <c r="AJ551">
        <f>IF($AI551=1,SUMPRODUCT(--($AL$2:$AL$1501&lt;$AL551))+1,"")</f>
        <v/>
      </c>
      <c r="AK551">
        <f>IF($C551="","",IF(OR($AD551=TRUE(),$AD551="TRUE"),0,1))</f>
        <v/>
      </c>
      <c r="AL551">
        <f>IF($AI551=1,IFERROR(IF(VALUE($C551)&lt;100000000,VALUE($C551),1000000000),IFERROR(IF(VALUE(MID($C551,2,20))&lt;100000000,VALUE(MID($C551,2,20)),1000000000),1000000000))+ROW()/100000,"")</f>
        <v/>
      </c>
    </row>
    <row r="552">
      <c r="J552" s="7" t="n"/>
      <c r="K552" s="7" t="n"/>
      <c r="R552" s="7">
        <f>IF($C552="","",Q552*AC552/100)</f>
        <v/>
      </c>
      <c r="S552" s="11" t="n"/>
      <c r="U552" s="11" t="n"/>
      <c r="AA552" s="7" t="n"/>
      <c r="AC552" s="7" t="n"/>
      <c r="AE552">
        <f>IF($C552="","",IF($AK552=1,Settings!$C$6,Settings!$C$7)*1)</f>
        <v/>
      </c>
      <c r="AF552" s="7">
        <f>IF($C552="","",AE552*AC552)</f>
        <v/>
      </c>
      <c r="AG552" s="7">
        <f>IF($C552="","",AC552-AF552)</f>
        <v/>
      </c>
      <c r="AH552" s="7">
        <f>IF($C552="","",AG552-R552)</f>
        <v/>
      </c>
      <c r="AI552">
        <f>IF($C552="","",IF(COUNTIF($C$2:$C552,$C552)=1,1,0))</f>
        <v/>
      </c>
      <c r="AJ552">
        <f>IF($AI552=1,SUMPRODUCT(--($AL$2:$AL$1501&lt;$AL552))+1,"")</f>
        <v/>
      </c>
      <c r="AK552">
        <f>IF($C552="","",IF(OR($AD552=TRUE(),$AD552="TRUE"),0,1))</f>
        <v/>
      </c>
      <c r="AL552">
        <f>IF($AI552=1,IFERROR(IF(VALUE($C552)&lt;100000000,VALUE($C552),1000000000),IFERROR(IF(VALUE(MID($C552,2,20))&lt;100000000,VALUE(MID($C552,2,20)),1000000000),1000000000))+ROW()/100000,"")</f>
        <v/>
      </c>
    </row>
    <row r="553">
      <c r="J553" s="7" t="n"/>
      <c r="K553" s="7" t="n"/>
      <c r="R553" s="7">
        <f>IF($C553="","",Q553*AC553/100)</f>
        <v/>
      </c>
      <c r="S553" s="11" t="n"/>
      <c r="U553" s="11" t="n"/>
      <c r="AA553" s="7" t="n"/>
      <c r="AC553" s="7" t="n"/>
      <c r="AE553">
        <f>IF($C553="","",IF($AK553=1,Settings!$C$6,Settings!$C$7)*1)</f>
        <v/>
      </c>
      <c r="AF553" s="7">
        <f>IF($C553="","",AE553*AC553)</f>
        <v/>
      </c>
      <c r="AG553" s="7">
        <f>IF($C553="","",AC553-AF553)</f>
        <v/>
      </c>
      <c r="AH553" s="7">
        <f>IF($C553="","",AG553-R553)</f>
        <v/>
      </c>
      <c r="AI553">
        <f>IF($C553="","",IF(COUNTIF($C$2:$C553,$C553)=1,1,0))</f>
        <v/>
      </c>
      <c r="AJ553">
        <f>IF($AI553=1,SUMPRODUCT(--($AL$2:$AL$1501&lt;$AL553))+1,"")</f>
        <v/>
      </c>
      <c r="AK553">
        <f>IF($C553="","",IF(OR($AD553=TRUE(),$AD553="TRUE"),0,1))</f>
        <v/>
      </c>
      <c r="AL553">
        <f>IF($AI553=1,IFERROR(IF(VALUE($C553)&lt;100000000,VALUE($C553),1000000000),IFERROR(IF(VALUE(MID($C553,2,20))&lt;100000000,VALUE(MID($C553,2,20)),1000000000),1000000000))+ROW()/100000,"")</f>
        <v/>
      </c>
    </row>
    <row r="554">
      <c r="J554" s="7" t="n"/>
      <c r="K554" s="7" t="n"/>
      <c r="R554" s="7">
        <f>IF($C554="","",Q554*AC554/100)</f>
        <v/>
      </c>
      <c r="S554" s="11" t="n"/>
      <c r="U554" s="11" t="n"/>
      <c r="AA554" s="7" t="n"/>
      <c r="AC554" s="7" t="n"/>
      <c r="AE554">
        <f>IF($C554="","",IF($AK554=1,Settings!$C$6,Settings!$C$7)*1)</f>
        <v/>
      </c>
      <c r="AF554" s="7">
        <f>IF($C554="","",AE554*AC554)</f>
        <v/>
      </c>
      <c r="AG554" s="7">
        <f>IF($C554="","",AC554-AF554)</f>
        <v/>
      </c>
      <c r="AH554" s="7">
        <f>IF($C554="","",AG554-R554)</f>
        <v/>
      </c>
      <c r="AI554">
        <f>IF($C554="","",IF(COUNTIF($C$2:$C554,$C554)=1,1,0))</f>
        <v/>
      </c>
      <c r="AJ554">
        <f>IF($AI554=1,SUMPRODUCT(--($AL$2:$AL$1501&lt;$AL554))+1,"")</f>
        <v/>
      </c>
      <c r="AK554">
        <f>IF($C554="","",IF(OR($AD554=TRUE(),$AD554="TRUE"),0,1))</f>
        <v/>
      </c>
      <c r="AL554">
        <f>IF($AI554=1,IFERROR(IF(VALUE($C554)&lt;100000000,VALUE($C554),1000000000),IFERROR(IF(VALUE(MID($C554,2,20))&lt;100000000,VALUE(MID($C554,2,20)),1000000000),1000000000))+ROW()/100000,"")</f>
        <v/>
      </c>
    </row>
    <row r="555">
      <c r="J555" s="7" t="n"/>
      <c r="K555" s="7" t="n"/>
      <c r="R555" s="7">
        <f>IF($C555="","",Q555*AC555/100)</f>
        <v/>
      </c>
      <c r="S555" s="11" t="n"/>
      <c r="U555" s="11" t="n"/>
      <c r="AA555" s="7" t="n"/>
      <c r="AC555" s="7" t="n"/>
      <c r="AE555">
        <f>IF($C555="","",IF($AK555=1,Settings!$C$6,Settings!$C$7)*1)</f>
        <v/>
      </c>
      <c r="AF555" s="7">
        <f>IF($C555="","",AE555*AC555)</f>
        <v/>
      </c>
      <c r="AG555" s="7">
        <f>IF($C555="","",AC555-AF555)</f>
        <v/>
      </c>
      <c r="AH555" s="7">
        <f>IF($C555="","",AG555-R555)</f>
        <v/>
      </c>
      <c r="AI555">
        <f>IF($C555="","",IF(COUNTIF($C$2:$C555,$C555)=1,1,0))</f>
        <v/>
      </c>
      <c r="AJ555">
        <f>IF($AI555=1,SUMPRODUCT(--($AL$2:$AL$1501&lt;$AL555))+1,"")</f>
        <v/>
      </c>
      <c r="AK555">
        <f>IF($C555="","",IF(OR($AD555=TRUE(),$AD555="TRUE"),0,1))</f>
        <v/>
      </c>
      <c r="AL555">
        <f>IF($AI555=1,IFERROR(IF(VALUE($C555)&lt;100000000,VALUE($C555),1000000000),IFERROR(IF(VALUE(MID($C555,2,20))&lt;100000000,VALUE(MID($C555,2,20)),1000000000),1000000000))+ROW()/100000,"")</f>
        <v/>
      </c>
    </row>
    <row r="556">
      <c r="J556" s="7" t="n"/>
      <c r="K556" s="7" t="n"/>
      <c r="R556" s="7">
        <f>IF($C556="","",Q556*AC556/100)</f>
        <v/>
      </c>
      <c r="S556" s="11" t="n"/>
      <c r="U556" s="11" t="n"/>
      <c r="AA556" s="7" t="n"/>
      <c r="AC556" s="7" t="n"/>
      <c r="AE556">
        <f>IF($C556="","",IF($AK556=1,Settings!$C$6,Settings!$C$7)*1)</f>
        <v/>
      </c>
      <c r="AF556" s="7">
        <f>IF($C556="","",AE556*AC556)</f>
        <v/>
      </c>
      <c r="AG556" s="7">
        <f>IF($C556="","",AC556-AF556)</f>
        <v/>
      </c>
      <c r="AH556" s="7">
        <f>IF($C556="","",AG556-R556)</f>
        <v/>
      </c>
      <c r="AI556">
        <f>IF($C556="","",IF(COUNTIF($C$2:$C556,$C556)=1,1,0))</f>
        <v/>
      </c>
      <c r="AJ556">
        <f>IF($AI556=1,SUMPRODUCT(--($AL$2:$AL$1501&lt;$AL556))+1,"")</f>
        <v/>
      </c>
      <c r="AK556">
        <f>IF($C556="","",IF(OR($AD556=TRUE(),$AD556="TRUE"),0,1))</f>
        <v/>
      </c>
      <c r="AL556">
        <f>IF($AI556=1,IFERROR(IF(VALUE($C556)&lt;100000000,VALUE($C556),1000000000),IFERROR(IF(VALUE(MID($C556,2,20))&lt;100000000,VALUE(MID($C556,2,20)),1000000000),1000000000))+ROW()/100000,"")</f>
        <v/>
      </c>
    </row>
    <row r="557">
      <c r="J557" s="7" t="n"/>
      <c r="K557" s="7" t="n"/>
      <c r="R557" s="7">
        <f>IF($C557="","",Q557*AC557/100)</f>
        <v/>
      </c>
      <c r="S557" s="11" t="n"/>
      <c r="U557" s="11" t="n"/>
      <c r="AA557" s="7" t="n"/>
      <c r="AC557" s="7" t="n"/>
      <c r="AE557">
        <f>IF($C557="","",IF($AK557=1,Settings!$C$6,Settings!$C$7)*1)</f>
        <v/>
      </c>
      <c r="AF557" s="7">
        <f>IF($C557="","",AE557*AC557)</f>
        <v/>
      </c>
      <c r="AG557" s="7">
        <f>IF($C557="","",AC557-AF557)</f>
        <v/>
      </c>
      <c r="AH557" s="7">
        <f>IF($C557="","",AG557-R557)</f>
        <v/>
      </c>
      <c r="AI557">
        <f>IF($C557="","",IF(COUNTIF($C$2:$C557,$C557)=1,1,0))</f>
        <v/>
      </c>
      <c r="AJ557">
        <f>IF($AI557=1,SUMPRODUCT(--($AL$2:$AL$1501&lt;$AL557))+1,"")</f>
        <v/>
      </c>
      <c r="AK557">
        <f>IF($C557="","",IF(OR($AD557=TRUE(),$AD557="TRUE"),0,1))</f>
        <v/>
      </c>
      <c r="AL557">
        <f>IF($AI557=1,IFERROR(IF(VALUE($C557)&lt;100000000,VALUE($C557),1000000000),IFERROR(IF(VALUE(MID($C557,2,20))&lt;100000000,VALUE(MID($C557,2,20)),1000000000),1000000000))+ROW()/100000,"")</f>
        <v/>
      </c>
    </row>
    <row r="558">
      <c r="J558" s="7" t="n"/>
      <c r="K558" s="7" t="n"/>
      <c r="R558" s="7">
        <f>IF($C558="","",Q558*AC558/100)</f>
        <v/>
      </c>
      <c r="S558" s="11" t="n"/>
      <c r="U558" s="11" t="n"/>
      <c r="AA558" s="7" t="n"/>
      <c r="AC558" s="7" t="n"/>
      <c r="AE558">
        <f>IF($C558="","",IF($AK558=1,Settings!$C$6,Settings!$C$7)*1)</f>
        <v/>
      </c>
      <c r="AF558" s="7">
        <f>IF($C558="","",AE558*AC558)</f>
        <v/>
      </c>
      <c r="AG558" s="7">
        <f>IF($C558="","",AC558-AF558)</f>
        <v/>
      </c>
      <c r="AH558" s="7">
        <f>IF($C558="","",AG558-R558)</f>
        <v/>
      </c>
      <c r="AI558">
        <f>IF($C558="","",IF(COUNTIF($C$2:$C558,$C558)=1,1,0))</f>
        <v/>
      </c>
      <c r="AJ558">
        <f>IF($AI558=1,SUMPRODUCT(--($AL$2:$AL$1501&lt;$AL558))+1,"")</f>
        <v/>
      </c>
      <c r="AK558">
        <f>IF($C558="","",IF(OR($AD558=TRUE(),$AD558="TRUE"),0,1))</f>
        <v/>
      </c>
      <c r="AL558">
        <f>IF($AI558=1,IFERROR(IF(VALUE($C558)&lt;100000000,VALUE($C558),1000000000),IFERROR(IF(VALUE(MID($C558,2,20))&lt;100000000,VALUE(MID($C558,2,20)),1000000000),1000000000))+ROW()/100000,"")</f>
        <v/>
      </c>
    </row>
    <row r="559">
      <c r="J559" s="7" t="n"/>
      <c r="K559" s="7" t="n"/>
      <c r="R559" s="7">
        <f>IF($C559="","",Q559*AC559/100)</f>
        <v/>
      </c>
      <c r="S559" s="11" t="n"/>
      <c r="U559" s="11" t="n"/>
      <c r="AA559" s="7" t="n"/>
      <c r="AC559" s="7" t="n"/>
      <c r="AE559">
        <f>IF($C559="","",IF($AK559=1,Settings!$C$6,Settings!$C$7)*1)</f>
        <v/>
      </c>
      <c r="AF559" s="7">
        <f>IF($C559="","",AE559*AC559)</f>
        <v/>
      </c>
      <c r="AG559" s="7">
        <f>IF($C559="","",AC559-AF559)</f>
        <v/>
      </c>
      <c r="AH559" s="7">
        <f>IF($C559="","",AG559-R559)</f>
        <v/>
      </c>
      <c r="AI559">
        <f>IF($C559="","",IF(COUNTIF($C$2:$C559,$C559)=1,1,0))</f>
        <v/>
      </c>
      <c r="AJ559">
        <f>IF($AI559=1,SUMPRODUCT(--($AL$2:$AL$1501&lt;$AL559))+1,"")</f>
        <v/>
      </c>
      <c r="AK559">
        <f>IF($C559="","",IF(OR($AD559=TRUE(),$AD559="TRUE"),0,1))</f>
        <v/>
      </c>
      <c r="AL559">
        <f>IF($AI559=1,IFERROR(IF(VALUE($C559)&lt;100000000,VALUE($C559),1000000000),IFERROR(IF(VALUE(MID($C559,2,20))&lt;100000000,VALUE(MID($C559,2,20)),1000000000),1000000000))+ROW()/100000,"")</f>
        <v/>
      </c>
    </row>
    <row r="560">
      <c r="J560" s="7" t="n"/>
      <c r="K560" s="7" t="n"/>
      <c r="R560" s="7">
        <f>IF($C560="","",Q560*AC560/100)</f>
        <v/>
      </c>
      <c r="S560" s="11" t="n"/>
      <c r="U560" s="11" t="n"/>
      <c r="AA560" s="7" t="n"/>
      <c r="AC560" s="7" t="n"/>
      <c r="AE560">
        <f>IF($C560="","",IF($AK560=1,Settings!$C$6,Settings!$C$7)*1)</f>
        <v/>
      </c>
      <c r="AF560" s="7">
        <f>IF($C560="","",AE560*AC560)</f>
        <v/>
      </c>
      <c r="AG560" s="7">
        <f>IF($C560="","",AC560-AF560)</f>
        <v/>
      </c>
      <c r="AH560" s="7">
        <f>IF($C560="","",AG560-R560)</f>
        <v/>
      </c>
      <c r="AI560">
        <f>IF($C560="","",IF(COUNTIF($C$2:$C560,$C560)=1,1,0))</f>
        <v/>
      </c>
      <c r="AJ560">
        <f>IF($AI560=1,SUMPRODUCT(--($AL$2:$AL$1501&lt;$AL560))+1,"")</f>
        <v/>
      </c>
      <c r="AK560">
        <f>IF($C560="","",IF(OR($AD560=TRUE(),$AD560="TRUE"),0,1))</f>
        <v/>
      </c>
      <c r="AL560">
        <f>IF($AI560=1,IFERROR(IF(VALUE($C560)&lt;100000000,VALUE($C560),1000000000),IFERROR(IF(VALUE(MID($C560,2,20))&lt;100000000,VALUE(MID($C560,2,20)),1000000000),1000000000))+ROW()/100000,"")</f>
        <v/>
      </c>
    </row>
    <row r="561">
      <c r="J561" s="7" t="n"/>
      <c r="K561" s="7" t="n"/>
      <c r="R561" s="7">
        <f>IF($C561="","",Q561*AC561/100)</f>
        <v/>
      </c>
      <c r="S561" s="11" t="n"/>
      <c r="U561" s="11" t="n"/>
      <c r="AA561" s="7" t="n"/>
      <c r="AC561" s="7" t="n"/>
      <c r="AE561">
        <f>IF($C561="","",IF($AK561=1,Settings!$C$6,Settings!$C$7)*1)</f>
        <v/>
      </c>
      <c r="AF561" s="7">
        <f>IF($C561="","",AE561*AC561)</f>
        <v/>
      </c>
      <c r="AG561" s="7">
        <f>IF($C561="","",AC561-AF561)</f>
        <v/>
      </c>
      <c r="AH561" s="7">
        <f>IF($C561="","",AG561-R561)</f>
        <v/>
      </c>
      <c r="AI561">
        <f>IF($C561="","",IF(COUNTIF($C$2:$C561,$C561)=1,1,0))</f>
        <v/>
      </c>
      <c r="AJ561">
        <f>IF($AI561=1,SUMPRODUCT(--($AL$2:$AL$1501&lt;$AL561))+1,"")</f>
        <v/>
      </c>
      <c r="AK561">
        <f>IF($C561="","",IF(OR($AD561=TRUE(),$AD561="TRUE"),0,1))</f>
        <v/>
      </c>
      <c r="AL561">
        <f>IF($AI561=1,IFERROR(IF(VALUE($C561)&lt;100000000,VALUE($C561),1000000000),IFERROR(IF(VALUE(MID($C561,2,20))&lt;100000000,VALUE(MID($C561,2,20)),1000000000),1000000000))+ROW()/100000,"")</f>
        <v/>
      </c>
    </row>
    <row r="562">
      <c r="J562" s="7" t="n"/>
      <c r="K562" s="7" t="n"/>
      <c r="R562" s="7">
        <f>IF($C562="","",Q562*AC562/100)</f>
        <v/>
      </c>
      <c r="S562" s="11" t="n"/>
      <c r="U562" s="11" t="n"/>
      <c r="AA562" s="7" t="n"/>
      <c r="AC562" s="7" t="n"/>
      <c r="AE562">
        <f>IF($C562="","",IF($AK562=1,Settings!$C$6,Settings!$C$7)*1)</f>
        <v/>
      </c>
      <c r="AF562" s="7">
        <f>IF($C562="","",AE562*AC562)</f>
        <v/>
      </c>
      <c r="AG562" s="7">
        <f>IF($C562="","",AC562-AF562)</f>
        <v/>
      </c>
      <c r="AH562" s="7">
        <f>IF($C562="","",AG562-R562)</f>
        <v/>
      </c>
      <c r="AI562">
        <f>IF($C562="","",IF(COUNTIF($C$2:$C562,$C562)=1,1,0))</f>
        <v/>
      </c>
      <c r="AJ562">
        <f>IF($AI562=1,SUMPRODUCT(--($AL$2:$AL$1501&lt;$AL562))+1,"")</f>
        <v/>
      </c>
      <c r="AK562">
        <f>IF($C562="","",IF(OR($AD562=TRUE(),$AD562="TRUE"),0,1))</f>
        <v/>
      </c>
      <c r="AL562">
        <f>IF($AI562=1,IFERROR(IF(VALUE($C562)&lt;100000000,VALUE($C562),1000000000),IFERROR(IF(VALUE(MID($C562,2,20))&lt;100000000,VALUE(MID($C562,2,20)),1000000000),1000000000))+ROW()/100000,"")</f>
        <v/>
      </c>
    </row>
    <row r="563">
      <c r="J563" s="7" t="n"/>
      <c r="K563" s="7" t="n"/>
      <c r="R563" s="7">
        <f>IF($C563="","",Q563*AC563/100)</f>
        <v/>
      </c>
      <c r="S563" s="11" t="n"/>
      <c r="U563" s="11" t="n"/>
      <c r="AA563" s="7" t="n"/>
      <c r="AC563" s="7" t="n"/>
      <c r="AE563">
        <f>IF($C563="","",IF($AK563=1,Settings!$C$6,Settings!$C$7)*1)</f>
        <v/>
      </c>
      <c r="AF563" s="7">
        <f>IF($C563="","",AE563*AC563)</f>
        <v/>
      </c>
      <c r="AG563" s="7">
        <f>IF($C563="","",AC563-AF563)</f>
        <v/>
      </c>
      <c r="AH563" s="7">
        <f>IF($C563="","",AG563-R563)</f>
        <v/>
      </c>
      <c r="AI563">
        <f>IF($C563="","",IF(COUNTIF($C$2:$C563,$C563)=1,1,0))</f>
        <v/>
      </c>
      <c r="AJ563">
        <f>IF($AI563=1,SUMPRODUCT(--($AL$2:$AL$1501&lt;$AL563))+1,"")</f>
        <v/>
      </c>
      <c r="AK563">
        <f>IF($C563="","",IF(OR($AD563=TRUE(),$AD563="TRUE"),0,1))</f>
        <v/>
      </c>
      <c r="AL563">
        <f>IF($AI563=1,IFERROR(IF(VALUE($C563)&lt;100000000,VALUE($C563),1000000000),IFERROR(IF(VALUE(MID($C563,2,20))&lt;100000000,VALUE(MID($C563,2,20)),1000000000),1000000000))+ROW()/100000,"")</f>
        <v/>
      </c>
    </row>
    <row r="564">
      <c r="J564" s="7" t="n"/>
      <c r="K564" s="7" t="n"/>
      <c r="R564" s="7">
        <f>IF($C564="","",Q564*AC564/100)</f>
        <v/>
      </c>
      <c r="S564" s="11" t="n"/>
      <c r="U564" s="11" t="n"/>
      <c r="AA564" s="7" t="n"/>
      <c r="AC564" s="7" t="n"/>
      <c r="AE564">
        <f>IF($C564="","",IF($AK564=1,Settings!$C$6,Settings!$C$7)*1)</f>
        <v/>
      </c>
      <c r="AF564" s="7">
        <f>IF($C564="","",AE564*AC564)</f>
        <v/>
      </c>
      <c r="AG564" s="7">
        <f>IF($C564="","",AC564-AF564)</f>
        <v/>
      </c>
      <c r="AH564" s="7">
        <f>IF($C564="","",AG564-R564)</f>
        <v/>
      </c>
      <c r="AI564">
        <f>IF($C564="","",IF(COUNTIF($C$2:$C564,$C564)=1,1,0))</f>
        <v/>
      </c>
      <c r="AJ564">
        <f>IF($AI564=1,SUMPRODUCT(--($AL$2:$AL$1501&lt;$AL564))+1,"")</f>
        <v/>
      </c>
      <c r="AK564">
        <f>IF($C564="","",IF(OR($AD564=TRUE(),$AD564="TRUE"),0,1))</f>
        <v/>
      </c>
      <c r="AL564">
        <f>IF($AI564=1,IFERROR(IF(VALUE($C564)&lt;100000000,VALUE($C564),1000000000),IFERROR(IF(VALUE(MID($C564,2,20))&lt;100000000,VALUE(MID($C564,2,20)),1000000000),1000000000))+ROW()/100000,"")</f>
        <v/>
      </c>
    </row>
    <row r="565">
      <c r="J565" s="7" t="n"/>
      <c r="K565" s="7" t="n"/>
      <c r="R565" s="7">
        <f>IF($C565="","",Q565*AC565/100)</f>
        <v/>
      </c>
      <c r="S565" s="11" t="n"/>
      <c r="U565" s="11" t="n"/>
      <c r="AA565" s="7" t="n"/>
      <c r="AC565" s="7" t="n"/>
      <c r="AE565">
        <f>IF($C565="","",IF($AK565=1,Settings!$C$6,Settings!$C$7)*1)</f>
        <v/>
      </c>
      <c r="AF565" s="7">
        <f>IF($C565="","",AE565*AC565)</f>
        <v/>
      </c>
      <c r="AG565" s="7">
        <f>IF($C565="","",AC565-AF565)</f>
        <v/>
      </c>
      <c r="AH565" s="7">
        <f>IF($C565="","",AG565-R565)</f>
        <v/>
      </c>
      <c r="AI565">
        <f>IF($C565="","",IF(COUNTIF($C$2:$C565,$C565)=1,1,0))</f>
        <v/>
      </c>
      <c r="AJ565">
        <f>IF($AI565=1,SUMPRODUCT(--($AL$2:$AL$1501&lt;$AL565))+1,"")</f>
        <v/>
      </c>
      <c r="AK565">
        <f>IF($C565="","",IF(OR($AD565=TRUE(),$AD565="TRUE"),0,1))</f>
        <v/>
      </c>
      <c r="AL565">
        <f>IF($AI565=1,IFERROR(IF(VALUE($C565)&lt;100000000,VALUE($C565),1000000000),IFERROR(IF(VALUE(MID($C565,2,20))&lt;100000000,VALUE(MID($C565,2,20)),1000000000),1000000000))+ROW()/100000,"")</f>
        <v/>
      </c>
    </row>
    <row r="566">
      <c r="J566" s="7" t="n"/>
      <c r="K566" s="7" t="n"/>
      <c r="R566" s="7">
        <f>IF($C566="","",Q566*AC566/100)</f>
        <v/>
      </c>
      <c r="S566" s="11" t="n"/>
      <c r="U566" s="11" t="n"/>
      <c r="AA566" s="7" t="n"/>
      <c r="AC566" s="7" t="n"/>
      <c r="AE566">
        <f>IF($C566="","",IF($AK566=1,Settings!$C$6,Settings!$C$7)*1)</f>
        <v/>
      </c>
      <c r="AF566" s="7">
        <f>IF($C566="","",AE566*AC566)</f>
        <v/>
      </c>
      <c r="AG566" s="7">
        <f>IF($C566="","",AC566-AF566)</f>
        <v/>
      </c>
      <c r="AH566" s="7">
        <f>IF($C566="","",AG566-R566)</f>
        <v/>
      </c>
      <c r="AI566">
        <f>IF($C566="","",IF(COUNTIF($C$2:$C566,$C566)=1,1,0))</f>
        <v/>
      </c>
      <c r="AJ566">
        <f>IF($AI566=1,SUMPRODUCT(--($AL$2:$AL$1501&lt;$AL566))+1,"")</f>
        <v/>
      </c>
      <c r="AK566">
        <f>IF($C566="","",IF(OR($AD566=TRUE(),$AD566="TRUE"),0,1))</f>
        <v/>
      </c>
      <c r="AL566">
        <f>IF($AI566=1,IFERROR(IF(VALUE($C566)&lt;100000000,VALUE($C566),1000000000),IFERROR(IF(VALUE(MID($C566,2,20))&lt;100000000,VALUE(MID($C566,2,20)),1000000000),1000000000))+ROW()/100000,"")</f>
        <v/>
      </c>
    </row>
    <row r="567">
      <c r="J567" s="7" t="n"/>
      <c r="K567" s="7" t="n"/>
      <c r="R567" s="7">
        <f>IF($C567="","",Q567*AC567/100)</f>
        <v/>
      </c>
      <c r="S567" s="11" t="n"/>
      <c r="U567" s="11" t="n"/>
      <c r="AA567" s="7" t="n"/>
      <c r="AC567" s="7" t="n"/>
      <c r="AE567">
        <f>IF($C567="","",IF($AK567=1,Settings!$C$6,Settings!$C$7)*1)</f>
        <v/>
      </c>
      <c r="AF567" s="7">
        <f>IF($C567="","",AE567*AC567)</f>
        <v/>
      </c>
      <c r="AG567" s="7">
        <f>IF($C567="","",AC567-AF567)</f>
        <v/>
      </c>
      <c r="AH567" s="7">
        <f>IF($C567="","",AG567-R567)</f>
        <v/>
      </c>
      <c r="AI567">
        <f>IF($C567="","",IF(COUNTIF($C$2:$C567,$C567)=1,1,0))</f>
        <v/>
      </c>
      <c r="AJ567">
        <f>IF($AI567=1,SUMPRODUCT(--($AL$2:$AL$1501&lt;$AL567))+1,"")</f>
        <v/>
      </c>
      <c r="AK567">
        <f>IF($C567="","",IF(OR($AD567=TRUE(),$AD567="TRUE"),0,1))</f>
        <v/>
      </c>
      <c r="AL567">
        <f>IF($AI567=1,IFERROR(IF(VALUE($C567)&lt;100000000,VALUE($C567),1000000000),IFERROR(IF(VALUE(MID($C567,2,20))&lt;100000000,VALUE(MID($C567,2,20)),1000000000),1000000000))+ROW()/100000,"")</f>
        <v/>
      </c>
    </row>
    <row r="568">
      <c r="J568" s="7" t="n"/>
      <c r="K568" s="7" t="n"/>
      <c r="R568" s="7">
        <f>IF($C568="","",Q568*AC568/100)</f>
        <v/>
      </c>
      <c r="S568" s="11" t="n"/>
      <c r="U568" s="11" t="n"/>
      <c r="AA568" s="7" t="n"/>
      <c r="AC568" s="7" t="n"/>
      <c r="AE568">
        <f>IF($C568="","",IF($AK568=1,Settings!$C$6,Settings!$C$7)*1)</f>
        <v/>
      </c>
      <c r="AF568" s="7">
        <f>IF($C568="","",AE568*AC568)</f>
        <v/>
      </c>
      <c r="AG568" s="7">
        <f>IF($C568="","",AC568-AF568)</f>
        <v/>
      </c>
      <c r="AH568" s="7">
        <f>IF($C568="","",AG568-R568)</f>
        <v/>
      </c>
      <c r="AI568">
        <f>IF($C568="","",IF(COUNTIF($C$2:$C568,$C568)=1,1,0))</f>
        <v/>
      </c>
      <c r="AJ568">
        <f>IF($AI568=1,SUMPRODUCT(--($AL$2:$AL$1501&lt;$AL568))+1,"")</f>
        <v/>
      </c>
      <c r="AK568">
        <f>IF($C568="","",IF(OR($AD568=TRUE(),$AD568="TRUE"),0,1))</f>
        <v/>
      </c>
      <c r="AL568">
        <f>IF($AI568=1,IFERROR(IF(VALUE($C568)&lt;100000000,VALUE($C568),1000000000),IFERROR(IF(VALUE(MID($C568,2,20))&lt;100000000,VALUE(MID($C568,2,20)),1000000000),1000000000))+ROW()/100000,"")</f>
        <v/>
      </c>
    </row>
    <row r="569">
      <c r="J569" s="7" t="n"/>
      <c r="K569" s="7" t="n"/>
      <c r="R569" s="7">
        <f>IF($C569="","",Q569*AC569/100)</f>
        <v/>
      </c>
      <c r="S569" s="11" t="n"/>
      <c r="U569" s="11" t="n"/>
      <c r="AA569" s="7" t="n"/>
      <c r="AC569" s="7" t="n"/>
      <c r="AE569">
        <f>IF($C569="","",IF($AK569=1,Settings!$C$6,Settings!$C$7)*1)</f>
        <v/>
      </c>
      <c r="AF569" s="7">
        <f>IF($C569="","",AE569*AC569)</f>
        <v/>
      </c>
      <c r="AG569" s="7">
        <f>IF($C569="","",AC569-AF569)</f>
        <v/>
      </c>
      <c r="AH569" s="7">
        <f>IF($C569="","",AG569-R569)</f>
        <v/>
      </c>
      <c r="AI569">
        <f>IF($C569="","",IF(COUNTIF($C$2:$C569,$C569)=1,1,0))</f>
        <v/>
      </c>
      <c r="AJ569">
        <f>IF($AI569=1,SUMPRODUCT(--($AL$2:$AL$1501&lt;$AL569))+1,"")</f>
        <v/>
      </c>
      <c r="AK569">
        <f>IF($C569="","",IF(OR($AD569=TRUE(),$AD569="TRUE"),0,1))</f>
        <v/>
      </c>
      <c r="AL569">
        <f>IF($AI569=1,IFERROR(IF(VALUE($C569)&lt;100000000,VALUE($C569),1000000000),IFERROR(IF(VALUE(MID($C569,2,20))&lt;100000000,VALUE(MID($C569,2,20)),1000000000),1000000000))+ROW()/100000,"")</f>
        <v/>
      </c>
    </row>
    <row r="570">
      <c r="J570" s="7" t="n"/>
      <c r="K570" s="7" t="n"/>
      <c r="R570" s="7">
        <f>IF($C570="","",Q570*AC570/100)</f>
        <v/>
      </c>
      <c r="S570" s="11" t="n"/>
      <c r="U570" s="11" t="n"/>
      <c r="AA570" s="7" t="n"/>
      <c r="AC570" s="7" t="n"/>
      <c r="AE570">
        <f>IF($C570="","",IF($AK570=1,Settings!$C$6,Settings!$C$7)*1)</f>
        <v/>
      </c>
      <c r="AF570" s="7">
        <f>IF($C570="","",AE570*AC570)</f>
        <v/>
      </c>
      <c r="AG570" s="7">
        <f>IF($C570="","",AC570-AF570)</f>
        <v/>
      </c>
      <c r="AH570" s="7">
        <f>IF($C570="","",AG570-R570)</f>
        <v/>
      </c>
      <c r="AI570">
        <f>IF($C570="","",IF(COUNTIF($C$2:$C570,$C570)=1,1,0))</f>
        <v/>
      </c>
      <c r="AJ570">
        <f>IF($AI570=1,SUMPRODUCT(--($AL$2:$AL$1501&lt;$AL570))+1,"")</f>
        <v/>
      </c>
      <c r="AK570">
        <f>IF($C570="","",IF(OR($AD570=TRUE(),$AD570="TRUE"),0,1))</f>
        <v/>
      </c>
      <c r="AL570">
        <f>IF($AI570=1,IFERROR(IF(VALUE($C570)&lt;100000000,VALUE($C570),1000000000),IFERROR(IF(VALUE(MID($C570,2,20))&lt;100000000,VALUE(MID($C570,2,20)),1000000000),1000000000))+ROW()/100000,"")</f>
        <v/>
      </c>
    </row>
    <row r="571">
      <c r="J571" s="7" t="n"/>
      <c r="K571" s="7" t="n"/>
      <c r="R571" s="7">
        <f>IF($C571="","",Q571*AC571/100)</f>
        <v/>
      </c>
      <c r="S571" s="11" t="n"/>
      <c r="U571" s="11" t="n"/>
      <c r="AA571" s="7" t="n"/>
      <c r="AC571" s="7" t="n"/>
      <c r="AE571">
        <f>IF($C571="","",IF($AK571=1,Settings!$C$6,Settings!$C$7)*1)</f>
        <v/>
      </c>
      <c r="AF571" s="7">
        <f>IF($C571="","",AE571*AC571)</f>
        <v/>
      </c>
      <c r="AG571" s="7">
        <f>IF($C571="","",AC571-AF571)</f>
        <v/>
      </c>
      <c r="AH571" s="7">
        <f>IF($C571="","",AG571-R571)</f>
        <v/>
      </c>
      <c r="AI571">
        <f>IF($C571="","",IF(COUNTIF($C$2:$C571,$C571)=1,1,0))</f>
        <v/>
      </c>
      <c r="AJ571">
        <f>IF($AI571=1,SUMPRODUCT(--($AL$2:$AL$1501&lt;$AL571))+1,"")</f>
        <v/>
      </c>
      <c r="AK571">
        <f>IF($C571="","",IF(OR($AD571=TRUE(),$AD571="TRUE"),0,1))</f>
        <v/>
      </c>
      <c r="AL571">
        <f>IF($AI571=1,IFERROR(IF(VALUE($C571)&lt;100000000,VALUE($C571),1000000000),IFERROR(IF(VALUE(MID($C571,2,20))&lt;100000000,VALUE(MID($C571,2,20)),1000000000),1000000000))+ROW()/100000,"")</f>
        <v/>
      </c>
    </row>
    <row r="572">
      <c r="J572" s="7" t="n"/>
      <c r="K572" s="7" t="n"/>
      <c r="R572" s="7">
        <f>IF($C572="","",Q572*AC572/100)</f>
        <v/>
      </c>
      <c r="S572" s="11" t="n"/>
      <c r="U572" s="11" t="n"/>
      <c r="AA572" s="7" t="n"/>
      <c r="AC572" s="7" t="n"/>
      <c r="AE572">
        <f>IF($C572="","",IF($AK572=1,Settings!$C$6,Settings!$C$7)*1)</f>
        <v/>
      </c>
      <c r="AF572" s="7">
        <f>IF($C572="","",AE572*AC572)</f>
        <v/>
      </c>
      <c r="AG572" s="7">
        <f>IF($C572="","",AC572-AF572)</f>
        <v/>
      </c>
      <c r="AH572" s="7">
        <f>IF($C572="","",AG572-R572)</f>
        <v/>
      </c>
      <c r="AI572">
        <f>IF($C572="","",IF(COUNTIF($C$2:$C572,$C572)=1,1,0))</f>
        <v/>
      </c>
      <c r="AJ572">
        <f>IF($AI572=1,SUMPRODUCT(--($AL$2:$AL$1501&lt;$AL572))+1,"")</f>
        <v/>
      </c>
      <c r="AK572">
        <f>IF($C572="","",IF(OR($AD572=TRUE(),$AD572="TRUE"),0,1))</f>
        <v/>
      </c>
      <c r="AL572">
        <f>IF($AI572=1,IFERROR(IF(VALUE($C572)&lt;100000000,VALUE($C572),1000000000),IFERROR(IF(VALUE(MID($C572,2,20))&lt;100000000,VALUE(MID($C572,2,20)),1000000000),1000000000))+ROW()/100000,"")</f>
        <v/>
      </c>
    </row>
    <row r="573">
      <c r="J573" s="7" t="n"/>
      <c r="K573" s="7" t="n"/>
      <c r="R573" s="7">
        <f>IF($C573="","",Q573*AC573/100)</f>
        <v/>
      </c>
      <c r="S573" s="11" t="n"/>
      <c r="U573" s="11" t="n"/>
      <c r="AA573" s="7" t="n"/>
      <c r="AC573" s="7" t="n"/>
      <c r="AE573">
        <f>IF($C573="","",IF($AK573=1,Settings!$C$6,Settings!$C$7)*1)</f>
        <v/>
      </c>
      <c r="AF573" s="7">
        <f>IF($C573="","",AE573*AC573)</f>
        <v/>
      </c>
      <c r="AG573" s="7">
        <f>IF($C573="","",AC573-AF573)</f>
        <v/>
      </c>
      <c r="AH573" s="7">
        <f>IF($C573="","",AG573-R573)</f>
        <v/>
      </c>
      <c r="AI573">
        <f>IF($C573="","",IF(COUNTIF($C$2:$C573,$C573)=1,1,0))</f>
        <v/>
      </c>
      <c r="AJ573">
        <f>IF($AI573=1,SUMPRODUCT(--($AL$2:$AL$1501&lt;$AL573))+1,"")</f>
        <v/>
      </c>
      <c r="AK573">
        <f>IF($C573="","",IF(OR($AD573=TRUE(),$AD573="TRUE"),0,1))</f>
        <v/>
      </c>
      <c r="AL573">
        <f>IF($AI573=1,IFERROR(IF(VALUE($C573)&lt;100000000,VALUE($C573),1000000000),IFERROR(IF(VALUE(MID($C573,2,20))&lt;100000000,VALUE(MID($C573,2,20)),1000000000),1000000000))+ROW()/100000,"")</f>
        <v/>
      </c>
    </row>
    <row r="574">
      <c r="J574" s="7" t="n"/>
      <c r="K574" s="7" t="n"/>
      <c r="R574" s="7">
        <f>IF($C574="","",Q574*AC574/100)</f>
        <v/>
      </c>
      <c r="S574" s="11" t="n"/>
      <c r="U574" s="11" t="n"/>
      <c r="AA574" s="7" t="n"/>
      <c r="AC574" s="7" t="n"/>
      <c r="AE574">
        <f>IF($C574="","",IF($AK574=1,Settings!$C$6,Settings!$C$7)*1)</f>
        <v/>
      </c>
      <c r="AF574" s="7">
        <f>IF($C574="","",AE574*AC574)</f>
        <v/>
      </c>
      <c r="AG574" s="7">
        <f>IF($C574="","",AC574-AF574)</f>
        <v/>
      </c>
      <c r="AH574" s="7">
        <f>IF($C574="","",AG574-R574)</f>
        <v/>
      </c>
      <c r="AI574">
        <f>IF($C574="","",IF(COUNTIF($C$2:$C574,$C574)=1,1,0))</f>
        <v/>
      </c>
      <c r="AJ574">
        <f>IF($AI574=1,SUMPRODUCT(--($AL$2:$AL$1501&lt;$AL574))+1,"")</f>
        <v/>
      </c>
      <c r="AK574">
        <f>IF($C574="","",IF(OR($AD574=TRUE(),$AD574="TRUE"),0,1))</f>
        <v/>
      </c>
      <c r="AL574">
        <f>IF($AI574=1,IFERROR(IF(VALUE($C574)&lt;100000000,VALUE($C574),1000000000),IFERROR(IF(VALUE(MID($C574,2,20))&lt;100000000,VALUE(MID($C574,2,20)),1000000000),1000000000))+ROW()/100000,"")</f>
        <v/>
      </c>
    </row>
    <row r="575">
      <c r="J575" s="7" t="n"/>
      <c r="K575" s="7" t="n"/>
      <c r="R575" s="7">
        <f>IF($C575="","",Q575*AC575/100)</f>
        <v/>
      </c>
      <c r="S575" s="11" t="n"/>
      <c r="U575" s="11" t="n"/>
      <c r="AA575" s="7" t="n"/>
      <c r="AC575" s="7" t="n"/>
      <c r="AE575">
        <f>IF($C575="","",IF($AK575=1,Settings!$C$6,Settings!$C$7)*1)</f>
        <v/>
      </c>
      <c r="AF575" s="7">
        <f>IF($C575="","",AE575*AC575)</f>
        <v/>
      </c>
      <c r="AG575" s="7">
        <f>IF($C575="","",AC575-AF575)</f>
        <v/>
      </c>
      <c r="AH575" s="7">
        <f>IF($C575="","",AG575-R575)</f>
        <v/>
      </c>
      <c r="AI575">
        <f>IF($C575="","",IF(COUNTIF($C$2:$C575,$C575)=1,1,0))</f>
        <v/>
      </c>
      <c r="AJ575">
        <f>IF($AI575=1,SUMPRODUCT(--($AL$2:$AL$1501&lt;$AL575))+1,"")</f>
        <v/>
      </c>
      <c r="AK575">
        <f>IF($C575="","",IF(OR($AD575=TRUE(),$AD575="TRUE"),0,1))</f>
        <v/>
      </c>
      <c r="AL575">
        <f>IF($AI575=1,IFERROR(IF(VALUE($C575)&lt;100000000,VALUE($C575),1000000000),IFERROR(IF(VALUE(MID($C575,2,20))&lt;100000000,VALUE(MID($C575,2,20)),1000000000),1000000000))+ROW()/100000,"")</f>
        <v/>
      </c>
    </row>
    <row r="576">
      <c r="J576" s="7" t="n"/>
      <c r="K576" s="7" t="n"/>
      <c r="R576" s="7">
        <f>IF($C576="","",Q576*AC576/100)</f>
        <v/>
      </c>
      <c r="S576" s="11" t="n"/>
      <c r="U576" s="11" t="n"/>
      <c r="AA576" s="7" t="n"/>
      <c r="AC576" s="7" t="n"/>
      <c r="AE576">
        <f>IF($C576="","",IF($AK576=1,Settings!$C$6,Settings!$C$7)*1)</f>
        <v/>
      </c>
      <c r="AF576" s="7">
        <f>IF($C576="","",AE576*AC576)</f>
        <v/>
      </c>
      <c r="AG576" s="7">
        <f>IF($C576="","",AC576-AF576)</f>
        <v/>
      </c>
      <c r="AH576" s="7">
        <f>IF($C576="","",AG576-R576)</f>
        <v/>
      </c>
      <c r="AI576">
        <f>IF($C576="","",IF(COUNTIF($C$2:$C576,$C576)=1,1,0))</f>
        <v/>
      </c>
      <c r="AJ576">
        <f>IF($AI576=1,SUMPRODUCT(--($AL$2:$AL$1501&lt;$AL576))+1,"")</f>
        <v/>
      </c>
      <c r="AK576">
        <f>IF($C576="","",IF(OR($AD576=TRUE(),$AD576="TRUE"),0,1))</f>
        <v/>
      </c>
      <c r="AL576">
        <f>IF($AI576=1,IFERROR(IF(VALUE($C576)&lt;100000000,VALUE($C576),1000000000),IFERROR(IF(VALUE(MID($C576,2,20))&lt;100000000,VALUE(MID($C576,2,20)),1000000000),1000000000))+ROW()/100000,"")</f>
        <v/>
      </c>
    </row>
    <row r="577">
      <c r="J577" s="7" t="n"/>
      <c r="K577" s="7" t="n"/>
      <c r="R577" s="7">
        <f>IF($C577="","",Q577*AC577/100)</f>
        <v/>
      </c>
      <c r="S577" s="11" t="n"/>
      <c r="U577" s="11" t="n"/>
      <c r="AA577" s="7" t="n"/>
      <c r="AC577" s="7" t="n"/>
      <c r="AE577">
        <f>IF($C577="","",IF($AK577=1,Settings!$C$6,Settings!$C$7)*1)</f>
        <v/>
      </c>
      <c r="AF577" s="7">
        <f>IF($C577="","",AE577*AC577)</f>
        <v/>
      </c>
      <c r="AG577" s="7">
        <f>IF($C577="","",AC577-AF577)</f>
        <v/>
      </c>
      <c r="AH577" s="7">
        <f>IF($C577="","",AG577-R577)</f>
        <v/>
      </c>
      <c r="AI577">
        <f>IF($C577="","",IF(COUNTIF($C$2:$C577,$C577)=1,1,0))</f>
        <v/>
      </c>
      <c r="AJ577">
        <f>IF($AI577=1,SUMPRODUCT(--($AL$2:$AL$1501&lt;$AL577))+1,"")</f>
        <v/>
      </c>
      <c r="AK577">
        <f>IF($C577="","",IF(OR($AD577=TRUE(),$AD577="TRUE"),0,1))</f>
        <v/>
      </c>
      <c r="AL577">
        <f>IF($AI577=1,IFERROR(IF(VALUE($C577)&lt;100000000,VALUE($C577),1000000000),IFERROR(IF(VALUE(MID($C577,2,20))&lt;100000000,VALUE(MID($C577,2,20)),1000000000),1000000000))+ROW()/100000,"")</f>
        <v/>
      </c>
    </row>
    <row r="578">
      <c r="J578" s="7" t="n"/>
      <c r="K578" s="7" t="n"/>
      <c r="R578" s="7">
        <f>IF($C578="","",Q578*AC578/100)</f>
        <v/>
      </c>
      <c r="S578" s="11" t="n"/>
      <c r="U578" s="11" t="n"/>
      <c r="AA578" s="7" t="n"/>
      <c r="AC578" s="7" t="n"/>
      <c r="AE578">
        <f>IF($C578="","",IF($AK578=1,Settings!$C$6,Settings!$C$7)*1)</f>
        <v/>
      </c>
      <c r="AF578" s="7">
        <f>IF($C578="","",AE578*AC578)</f>
        <v/>
      </c>
      <c r="AG578" s="7">
        <f>IF($C578="","",AC578-AF578)</f>
        <v/>
      </c>
      <c r="AH578" s="7">
        <f>IF($C578="","",AG578-R578)</f>
        <v/>
      </c>
      <c r="AI578">
        <f>IF($C578="","",IF(COUNTIF($C$2:$C578,$C578)=1,1,0))</f>
        <v/>
      </c>
      <c r="AJ578">
        <f>IF($AI578=1,SUMPRODUCT(--($AL$2:$AL$1501&lt;$AL578))+1,"")</f>
        <v/>
      </c>
      <c r="AK578">
        <f>IF($C578="","",IF(OR($AD578=TRUE(),$AD578="TRUE"),0,1))</f>
        <v/>
      </c>
      <c r="AL578">
        <f>IF($AI578=1,IFERROR(IF(VALUE($C578)&lt;100000000,VALUE($C578),1000000000),IFERROR(IF(VALUE(MID($C578,2,20))&lt;100000000,VALUE(MID($C578,2,20)),1000000000),1000000000))+ROW()/100000,"")</f>
        <v/>
      </c>
    </row>
    <row r="579">
      <c r="J579" s="7" t="n"/>
      <c r="K579" s="7" t="n"/>
      <c r="R579" s="7">
        <f>IF($C579="","",Q579*AC579/100)</f>
        <v/>
      </c>
      <c r="S579" s="11" t="n"/>
      <c r="U579" s="11" t="n"/>
      <c r="AA579" s="7" t="n"/>
      <c r="AC579" s="7" t="n"/>
      <c r="AE579">
        <f>IF($C579="","",IF($AK579=1,Settings!$C$6,Settings!$C$7)*1)</f>
        <v/>
      </c>
      <c r="AF579" s="7">
        <f>IF($C579="","",AE579*AC579)</f>
        <v/>
      </c>
      <c r="AG579" s="7">
        <f>IF($C579="","",AC579-AF579)</f>
        <v/>
      </c>
      <c r="AH579" s="7">
        <f>IF($C579="","",AG579-R579)</f>
        <v/>
      </c>
      <c r="AI579">
        <f>IF($C579="","",IF(COUNTIF($C$2:$C579,$C579)=1,1,0))</f>
        <v/>
      </c>
      <c r="AJ579">
        <f>IF($AI579=1,SUMPRODUCT(--($AL$2:$AL$1501&lt;$AL579))+1,"")</f>
        <v/>
      </c>
      <c r="AK579">
        <f>IF($C579="","",IF(OR($AD579=TRUE(),$AD579="TRUE"),0,1))</f>
        <v/>
      </c>
      <c r="AL579">
        <f>IF($AI579=1,IFERROR(IF(VALUE($C579)&lt;100000000,VALUE($C579),1000000000),IFERROR(IF(VALUE(MID($C579,2,20))&lt;100000000,VALUE(MID($C579,2,20)),1000000000),1000000000))+ROW()/100000,"")</f>
        <v/>
      </c>
    </row>
    <row r="580">
      <c r="J580" s="7" t="n"/>
      <c r="K580" s="7" t="n"/>
      <c r="R580" s="7">
        <f>IF($C580="","",Q580*AC580/100)</f>
        <v/>
      </c>
      <c r="S580" s="11" t="n"/>
      <c r="U580" s="11" t="n"/>
      <c r="AA580" s="7" t="n"/>
      <c r="AC580" s="7" t="n"/>
      <c r="AE580">
        <f>IF($C580="","",IF($AK580=1,Settings!$C$6,Settings!$C$7)*1)</f>
        <v/>
      </c>
      <c r="AF580" s="7">
        <f>IF($C580="","",AE580*AC580)</f>
        <v/>
      </c>
      <c r="AG580" s="7">
        <f>IF($C580="","",AC580-AF580)</f>
        <v/>
      </c>
      <c r="AH580" s="7">
        <f>IF($C580="","",AG580-R580)</f>
        <v/>
      </c>
      <c r="AI580">
        <f>IF($C580="","",IF(COUNTIF($C$2:$C580,$C580)=1,1,0))</f>
        <v/>
      </c>
      <c r="AJ580">
        <f>IF($AI580=1,SUMPRODUCT(--($AL$2:$AL$1501&lt;$AL580))+1,"")</f>
        <v/>
      </c>
      <c r="AK580">
        <f>IF($C580="","",IF(OR($AD580=TRUE(),$AD580="TRUE"),0,1))</f>
        <v/>
      </c>
      <c r="AL580">
        <f>IF($AI580=1,IFERROR(IF(VALUE($C580)&lt;100000000,VALUE($C580),1000000000),IFERROR(IF(VALUE(MID($C580,2,20))&lt;100000000,VALUE(MID($C580,2,20)),1000000000),1000000000))+ROW()/100000,"")</f>
        <v/>
      </c>
    </row>
    <row r="581">
      <c r="J581" s="7" t="n"/>
      <c r="K581" s="7" t="n"/>
      <c r="R581" s="7">
        <f>IF($C581="","",Q581*AC581/100)</f>
        <v/>
      </c>
      <c r="S581" s="11" t="n"/>
      <c r="U581" s="11" t="n"/>
      <c r="AA581" s="7" t="n"/>
      <c r="AC581" s="7" t="n"/>
      <c r="AE581">
        <f>IF($C581="","",IF($AK581=1,Settings!$C$6,Settings!$C$7)*1)</f>
        <v/>
      </c>
      <c r="AF581" s="7">
        <f>IF($C581="","",AE581*AC581)</f>
        <v/>
      </c>
      <c r="AG581" s="7">
        <f>IF($C581="","",AC581-AF581)</f>
        <v/>
      </c>
      <c r="AH581" s="7">
        <f>IF($C581="","",AG581-R581)</f>
        <v/>
      </c>
      <c r="AI581">
        <f>IF($C581="","",IF(COUNTIF($C$2:$C581,$C581)=1,1,0))</f>
        <v/>
      </c>
      <c r="AJ581">
        <f>IF($AI581=1,SUMPRODUCT(--($AL$2:$AL$1501&lt;$AL581))+1,"")</f>
        <v/>
      </c>
      <c r="AK581">
        <f>IF($C581="","",IF(OR($AD581=TRUE(),$AD581="TRUE"),0,1))</f>
        <v/>
      </c>
      <c r="AL581">
        <f>IF($AI581=1,IFERROR(IF(VALUE($C581)&lt;100000000,VALUE($C581),1000000000),IFERROR(IF(VALUE(MID($C581,2,20))&lt;100000000,VALUE(MID($C581,2,20)),1000000000),1000000000))+ROW()/100000,"")</f>
        <v/>
      </c>
    </row>
    <row r="582">
      <c r="J582" s="7" t="n"/>
      <c r="K582" s="7" t="n"/>
      <c r="R582" s="7">
        <f>IF($C582="","",Q582*AC582/100)</f>
        <v/>
      </c>
      <c r="S582" s="11" t="n"/>
      <c r="U582" s="11" t="n"/>
      <c r="AA582" s="7" t="n"/>
      <c r="AC582" s="7" t="n"/>
      <c r="AE582">
        <f>IF($C582="","",IF($AK582=1,Settings!$C$6,Settings!$C$7)*1)</f>
        <v/>
      </c>
      <c r="AF582" s="7">
        <f>IF($C582="","",AE582*AC582)</f>
        <v/>
      </c>
      <c r="AG582" s="7">
        <f>IF($C582="","",AC582-AF582)</f>
        <v/>
      </c>
      <c r="AH582" s="7">
        <f>IF($C582="","",AG582-R582)</f>
        <v/>
      </c>
      <c r="AI582">
        <f>IF($C582="","",IF(COUNTIF($C$2:$C582,$C582)=1,1,0))</f>
        <v/>
      </c>
      <c r="AJ582">
        <f>IF($AI582=1,SUMPRODUCT(--($AL$2:$AL$1501&lt;$AL582))+1,"")</f>
        <v/>
      </c>
      <c r="AK582">
        <f>IF($C582="","",IF(OR($AD582=TRUE(),$AD582="TRUE"),0,1))</f>
        <v/>
      </c>
      <c r="AL582">
        <f>IF($AI582=1,IFERROR(IF(VALUE($C582)&lt;100000000,VALUE($C582),1000000000),IFERROR(IF(VALUE(MID($C582,2,20))&lt;100000000,VALUE(MID($C582,2,20)),1000000000),1000000000))+ROW()/100000,"")</f>
        <v/>
      </c>
    </row>
    <row r="583">
      <c r="J583" s="7" t="n"/>
      <c r="K583" s="7" t="n"/>
      <c r="R583" s="7">
        <f>IF($C583="","",Q583*AC583/100)</f>
        <v/>
      </c>
      <c r="S583" s="11" t="n"/>
      <c r="U583" s="11" t="n"/>
      <c r="AA583" s="7" t="n"/>
      <c r="AC583" s="7" t="n"/>
      <c r="AE583">
        <f>IF($C583="","",IF($AK583=1,Settings!$C$6,Settings!$C$7)*1)</f>
        <v/>
      </c>
      <c r="AF583" s="7">
        <f>IF($C583="","",AE583*AC583)</f>
        <v/>
      </c>
      <c r="AG583" s="7">
        <f>IF($C583="","",AC583-AF583)</f>
        <v/>
      </c>
      <c r="AH583" s="7">
        <f>IF($C583="","",AG583-R583)</f>
        <v/>
      </c>
      <c r="AI583">
        <f>IF($C583="","",IF(COUNTIF($C$2:$C583,$C583)=1,1,0))</f>
        <v/>
      </c>
      <c r="AJ583">
        <f>IF($AI583=1,SUMPRODUCT(--($AL$2:$AL$1501&lt;$AL583))+1,"")</f>
        <v/>
      </c>
      <c r="AK583">
        <f>IF($C583="","",IF(OR($AD583=TRUE(),$AD583="TRUE"),0,1))</f>
        <v/>
      </c>
      <c r="AL583">
        <f>IF($AI583=1,IFERROR(IF(VALUE($C583)&lt;100000000,VALUE($C583),1000000000),IFERROR(IF(VALUE(MID($C583,2,20))&lt;100000000,VALUE(MID($C583,2,20)),1000000000),1000000000))+ROW()/100000,"")</f>
        <v/>
      </c>
    </row>
    <row r="584">
      <c r="J584" s="7" t="n"/>
      <c r="K584" s="7" t="n"/>
      <c r="R584" s="7">
        <f>IF($C584="","",Q584*AC584/100)</f>
        <v/>
      </c>
      <c r="S584" s="11" t="n"/>
      <c r="U584" s="11" t="n"/>
      <c r="AA584" s="7" t="n"/>
      <c r="AC584" s="7" t="n"/>
      <c r="AE584">
        <f>IF($C584="","",IF($AK584=1,Settings!$C$6,Settings!$C$7)*1)</f>
        <v/>
      </c>
      <c r="AF584" s="7">
        <f>IF($C584="","",AE584*AC584)</f>
        <v/>
      </c>
      <c r="AG584" s="7">
        <f>IF($C584="","",AC584-AF584)</f>
        <v/>
      </c>
      <c r="AH584" s="7">
        <f>IF($C584="","",AG584-R584)</f>
        <v/>
      </c>
      <c r="AI584">
        <f>IF($C584="","",IF(COUNTIF($C$2:$C584,$C584)=1,1,0))</f>
        <v/>
      </c>
      <c r="AJ584">
        <f>IF($AI584=1,SUMPRODUCT(--($AL$2:$AL$1501&lt;$AL584))+1,"")</f>
        <v/>
      </c>
      <c r="AK584">
        <f>IF($C584="","",IF(OR($AD584=TRUE(),$AD584="TRUE"),0,1))</f>
        <v/>
      </c>
      <c r="AL584">
        <f>IF($AI584=1,IFERROR(IF(VALUE($C584)&lt;100000000,VALUE($C584),1000000000),IFERROR(IF(VALUE(MID($C584,2,20))&lt;100000000,VALUE(MID($C584,2,20)),1000000000),1000000000))+ROW()/100000,"")</f>
        <v/>
      </c>
    </row>
    <row r="585">
      <c r="J585" s="7" t="n"/>
      <c r="K585" s="7" t="n"/>
      <c r="R585" s="7">
        <f>IF($C585="","",Q585*AC585/100)</f>
        <v/>
      </c>
      <c r="S585" s="11" t="n"/>
      <c r="U585" s="11" t="n"/>
      <c r="AA585" s="7" t="n"/>
      <c r="AC585" s="7" t="n"/>
      <c r="AE585">
        <f>IF($C585="","",IF($AK585=1,Settings!$C$6,Settings!$C$7)*1)</f>
        <v/>
      </c>
      <c r="AF585" s="7">
        <f>IF($C585="","",AE585*AC585)</f>
        <v/>
      </c>
      <c r="AG585" s="7">
        <f>IF($C585="","",AC585-AF585)</f>
        <v/>
      </c>
      <c r="AH585" s="7">
        <f>IF($C585="","",AG585-R585)</f>
        <v/>
      </c>
      <c r="AI585">
        <f>IF($C585="","",IF(COUNTIF($C$2:$C585,$C585)=1,1,0))</f>
        <v/>
      </c>
      <c r="AJ585">
        <f>IF($AI585=1,SUMPRODUCT(--($AL$2:$AL$1501&lt;$AL585))+1,"")</f>
        <v/>
      </c>
      <c r="AK585">
        <f>IF($C585="","",IF(OR($AD585=TRUE(),$AD585="TRUE"),0,1))</f>
        <v/>
      </c>
      <c r="AL585">
        <f>IF($AI585=1,IFERROR(IF(VALUE($C585)&lt;100000000,VALUE($C585),1000000000),IFERROR(IF(VALUE(MID($C585,2,20))&lt;100000000,VALUE(MID($C585,2,20)),1000000000),1000000000))+ROW()/100000,"")</f>
        <v/>
      </c>
    </row>
    <row r="586">
      <c r="J586" s="7" t="n"/>
      <c r="K586" s="7" t="n"/>
      <c r="R586" s="7">
        <f>IF($C586="","",Q586*AC586/100)</f>
        <v/>
      </c>
      <c r="S586" s="11" t="n"/>
      <c r="U586" s="11" t="n"/>
      <c r="AA586" s="7" t="n"/>
      <c r="AC586" s="7" t="n"/>
      <c r="AE586">
        <f>IF($C586="","",IF($AK586=1,Settings!$C$6,Settings!$C$7)*1)</f>
        <v/>
      </c>
      <c r="AF586" s="7">
        <f>IF($C586="","",AE586*AC586)</f>
        <v/>
      </c>
      <c r="AG586" s="7">
        <f>IF($C586="","",AC586-AF586)</f>
        <v/>
      </c>
      <c r="AH586" s="7">
        <f>IF($C586="","",AG586-R586)</f>
        <v/>
      </c>
      <c r="AI586">
        <f>IF($C586="","",IF(COUNTIF($C$2:$C586,$C586)=1,1,0))</f>
        <v/>
      </c>
      <c r="AJ586">
        <f>IF($AI586=1,SUMPRODUCT(--($AL$2:$AL$1501&lt;$AL586))+1,"")</f>
        <v/>
      </c>
      <c r="AK586">
        <f>IF($C586="","",IF(OR($AD586=TRUE(),$AD586="TRUE"),0,1))</f>
        <v/>
      </c>
      <c r="AL586">
        <f>IF($AI586=1,IFERROR(IF(VALUE($C586)&lt;100000000,VALUE($C586),1000000000),IFERROR(IF(VALUE(MID($C586,2,20))&lt;100000000,VALUE(MID($C586,2,20)),1000000000),1000000000))+ROW()/100000,"")</f>
        <v/>
      </c>
    </row>
    <row r="587">
      <c r="J587" s="7" t="n"/>
      <c r="K587" s="7" t="n"/>
      <c r="R587" s="7">
        <f>IF($C587="","",Q587*AC587/100)</f>
        <v/>
      </c>
      <c r="S587" s="11" t="n"/>
      <c r="U587" s="11" t="n"/>
      <c r="AA587" s="7" t="n"/>
      <c r="AC587" s="7" t="n"/>
      <c r="AE587">
        <f>IF($C587="","",IF($AK587=1,Settings!$C$6,Settings!$C$7)*1)</f>
        <v/>
      </c>
      <c r="AF587" s="7">
        <f>IF($C587="","",AE587*AC587)</f>
        <v/>
      </c>
      <c r="AG587" s="7">
        <f>IF($C587="","",AC587-AF587)</f>
        <v/>
      </c>
      <c r="AH587" s="7">
        <f>IF($C587="","",AG587-R587)</f>
        <v/>
      </c>
      <c r="AI587">
        <f>IF($C587="","",IF(COUNTIF($C$2:$C587,$C587)=1,1,0))</f>
        <v/>
      </c>
      <c r="AJ587">
        <f>IF($AI587=1,SUMPRODUCT(--($AL$2:$AL$1501&lt;$AL587))+1,"")</f>
        <v/>
      </c>
      <c r="AK587">
        <f>IF($C587="","",IF(OR($AD587=TRUE(),$AD587="TRUE"),0,1))</f>
        <v/>
      </c>
      <c r="AL587">
        <f>IF($AI587=1,IFERROR(IF(VALUE($C587)&lt;100000000,VALUE($C587),1000000000),IFERROR(IF(VALUE(MID($C587,2,20))&lt;100000000,VALUE(MID($C587,2,20)),1000000000),1000000000))+ROW()/100000,"")</f>
        <v/>
      </c>
    </row>
    <row r="588">
      <c r="J588" s="7" t="n"/>
      <c r="K588" s="7" t="n"/>
      <c r="R588" s="7">
        <f>IF($C588="","",Q588*AC588/100)</f>
        <v/>
      </c>
      <c r="S588" s="11" t="n"/>
      <c r="U588" s="11" t="n"/>
      <c r="AA588" s="7" t="n"/>
      <c r="AC588" s="7" t="n"/>
      <c r="AE588">
        <f>IF($C588="","",IF($AK588=1,Settings!$C$6,Settings!$C$7)*1)</f>
        <v/>
      </c>
      <c r="AF588" s="7">
        <f>IF($C588="","",AE588*AC588)</f>
        <v/>
      </c>
      <c r="AG588" s="7">
        <f>IF($C588="","",AC588-AF588)</f>
        <v/>
      </c>
      <c r="AH588" s="7">
        <f>IF($C588="","",AG588-R588)</f>
        <v/>
      </c>
      <c r="AI588">
        <f>IF($C588="","",IF(COUNTIF($C$2:$C588,$C588)=1,1,0))</f>
        <v/>
      </c>
      <c r="AJ588">
        <f>IF($AI588=1,SUMPRODUCT(--($AL$2:$AL$1501&lt;$AL588))+1,"")</f>
        <v/>
      </c>
      <c r="AK588">
        <f>IF($C588="","",IF(OR($AD588=TRUE(),$AD588="TRUE"),0,1))</f>
        <v/>
      </c>
      <c r="AL588">
        <f>IF($AI588=1,IFERROR(IF(VALUE($C588)&lt;100000000,VALUE($C588),1000000000),IFERROR(IF(VALUE(MID($C588,2,20))&lt;100000000,VALUE(MID($C588,2,20)),1000000000),1000000000))+ROW()/100000,"")</f>
        <v/>
      </c>
    </row>
    <row r="589">
      <c r="J589" s="7" t="n"/>
      <c r="K589" s="7" t="n"/>
      <c r="R589" s="7">
        <f>IF($C589="","",Q589*AC589/100)</f>
        <v/>
      </c>
      <c r="S589" s="11" t="n"/>
      <c r="U589" s="11" t="n"/>
      <c r="AA589" s="7" t="n"/>
      <c r="AC589" s="7" t="n"/>
      <c r="AE589">
        <f>IF($C589="","",IF($AK589=1,Settings!$C$6,Settings!$C$7)*1)</f>
        <v/>
      </c>
      <c r="AF589" s="7">
        <f>IF($C589="","",AE589*AC589)</f>
        <v/>
      </c>
      <c r="AG589" s="7">
        <f>IF($C589="","",AC589-AF589)</f>
        <v/>
      </c>
      <c r="AH589" s="7">
        <f>IF($C589="","",AG589-R589)</f>
        <v/>
      </c>
      <c r="AI589">
        <f>IF($C589="","",IF(COUNTIF($C$2:$C589,$C589)=1,1,0))</f>
        <v/>
      </c>
      <c r="AJ589">
        <f>IF($AI589=1,SUMPRODUCT(--($AL$2:$AL$1501&lt;$AL589))+1,"")</f>
        <v/>
      </c>
      <c r="AK589">
        <f>IF($C589="","",IF(OR($AD589=TRUE(),$AD589="TRUE"),0,1))</f>
        <v/>
      </c>
      <c r="AL589">
        <f>IF($AI589=1,IFERROR(IF(VALUE($C589)&lt;100000000,VALUE($C589),1000000000),IFERROR(IF(VALUE(MID($C589,2,20))&lt;100000000,VALUE(MID($C589,2,20)),1000000000),1000000000))+ROW()/100000,"")</f>
        <v/>
      </c>
    </row>
    <row r="590">
      <c r="J590" s="7" t="n"/>
      <c r="K590" s="7" t="n"/>
      <c r="R590" s="7">
        <f>IF($C590="","",Q590*AC590/100)</f>
        <v/>
      </c>
      <c r="S590" s="11" t="n"/>
      <c r="U590" s="11" t="n"/>
      <c r="AA590" s="7" t="n"/>
      <c r="AC590" s="7" t="n"/>
      <c r="AE590">
        <f>IF($C590="","",IF($AK590=1,Settings!$C$6,Settings!$C$7)*1)</f>
        <v/>
      </c>
      <c r="AF590" s="7">
        <f>IF($C590="","",AE590*AC590)</f>
        <v/>
      </c>
      <c r="AG590" s="7">
        <f>IF($C590="","",AC590-AF590)</f>
        <v/>
      </c>
      <c r="AH590" s="7">
        <f>IF($C590="","",AG590-R590)</f>
        <v/>
      </c>
      <c r="AI590">
        <f>IF($C590="","",IF(COUNTIF($C$2:$C590,$C590)=1,1,0))</f>
        <v/>
      </c>
      <c r="AJ590">
        <f>IF($AI590=1,SUMPRODUCT(--($AL$2:$AL$1501&lt;$AL590))+1,"")</f>
        <v/>
      </c>
      <c r="AK590">
        <f>IF($C590="","",IF(OR($AD590=TRUE(),$AD590="TRUE"),0,1))</f>
        <v/>
      </c>
      <c r="AL590">
        <f>IF($AI590=1,IFERROR(IF(VALUE($C590)&lt;100000000,VALUE($C590),1000000000),IFERROR(IF(VALUE(MID($C590,2,20))&lt;100000000,VALUE(MID($C590,2,20)),1000000000),1000000000))+ROW()/100000,"")</f>
        <v/>
      </c>
    </row>
    <row r="591">
      <c r="J591" s="7" t="n"/>
      <c r="K591" s="7" t="n"/>
      <c r="R591" s="7">
        <f>IF($C591="","",Q591*AC591/100)</f>
        <v/>
      </c>
      <c r="S591" s="11" t="n"/>
      <c r="U591" s="11" t="n"/>
      <c r="AA591" s="7" t="n"/>
      <c r="AC591" s="7" t="n"/>
      <c r="AE591">
        <f>IF($C591="","",IF($AK591=1,Settings!$C$6,Settings!$C$7)*1)</f>
        <v/>
      </c>
      <c r="AF591" s="7">
        <f>IF($C591="","",AE591*AC591)</f>
        <v/>
      </c>
      <c r="AG591" s="7">
        <f>IF($C591="","",AC591-AF591)</f>
        <v/>
      </c>
      <c r="AH591" s="7">
        <f>IF($C591="","",AG591-R591)</f>
        <v/>
      </c>
      <c r="AI591">
        <f>IF($C591="","",IF(COUNTIF($C$2:$C591,$C591)=1,1,0))</f>
        <v/>
      </c>
      <c r="AJ591">
        <f>IF($AI591=1,SUMPRODUCT(--($AL$2:$AL$1501&lt;$AL591))+1,"")</f>
        <v/>
      </c>
      <c r="AK591">
        <f>IF($C591="","",IF(OR($AD591=TRUE(),$AD591="TRUE"),0,1))</f>
        <v/>
      </c>
      <c r="AL591">
        <f>IF($AI591=1,IFERROR(IF(VALUE($C591)&lt;100000000,VALUE($C591),1000000000),IFERROR(IF(VALUE(MID($C591,2,20))&lt;100000000,VALUE(MID($C591,2,20)),1000000000),1000000000))+ROW()/100000,"")</f>
        <v/>
      </c>
    </row>
    <row r="592">
      <c r="J592" s="7" t="n"/>
      <c r="K592" s="7" t="n"/>
      <c r="R592" s="7">
        <f>IF($C592="","",Q592*AC592/100)</f>
        <v/>
      </c>
      <c r="S592" s="11" t="n"/>
      <c r="U592" s="11" t="n"/>
      <c r="AA592" s="7" t="n"/>
      <c r="AC592" s="7" t="n"/>
      <c r="AE592">
        <f>IF($C592="","",IF($AK592=1,Settings!$C$6,Settings!$C$7)*1)</f>
        <v/>
      </c>
      <c r="AF592" s="7">
        <f>IF($C592="","",AE592*AC592)</f>
        <v/>
      </c>
      <c r="AG592" s="7">
        <f>IF($C592="","",AC592-AF592)</f>
        <v/>
      </c>
      <c r="AH592" s="7">
        <f>IF($C592="","",AG592-R592)</f>
        <v/>
      </c>
      <c r="AI592">
        <f>IF($C592="","",IF(COUNTIF($C$2:$C592,$C592)=1,1,0))</f>
        <v/>
      </c>
      <c r="AJ592">
        <f>IF($AI592=1,SUMPRODUCT(--($AL$2:$AL$1501&lt;$AL592))+1,"")</f>
        <v/>
      </c>
      <c r="AK592">
        <f>IF($C592="","",IF(OR($AD592=TRUE(),$AD592="TRUE"),0,1))</f>
        <v/>
      </c>
      <c r="AL592">
        <f>IF($AI592=1,IFERROR(IF(VALUE($C592)&lt;100000000,VALUE($C592),1000000000),IFERROR(IF(VALUE(MID($C592,2,20))&lt;100000000,VALUE(MID($C592,2,20)),1000000000),1000000000))+ROW()/100000,"")</f>
        <v/>
      </c>
    </row>
    <row r="593">
      <c r="J593" s="7" t="n"/>
      <c r="K593" s="7" t="n"/>
      <c r="R593" s="7">
        <f>IF($C593="","",Q593*AC593/100)</f>
        <v/>
      </c>
      <c r="S593" s="11" t="n"/>
      <c r="U593" s="11" t="n"/>
      <c r="AA593" s="7" t="n"/>
      <c r="AC593" s="7" t="n"/>
      <c r="AE593">
        <f>IF($C593="","",IF($AK593=1,Settings!$C$6,Settings!$C$7)*1)</f>
        <v/>
      </c>
      <c r="AF593" s="7">
        <f>IF($C593="","",AE593*AC593)</f>
        <v/>
      </c>
      <c r="AG593" s="7">
        <f>IF($C593="","",AC593-AF593)</f>
        <v/>
      </c>
      <c r="AH593" s="7">
        <f>IF($C593="","",AG593-R593)</f>
        <v/>
      </c>
      <c r="AI593">
        <f>IF($C593="","",IF(COUNTIF($C$2:$C593,$C593)=1,1,0))</f>
        <v/>
      </c>
      <c r="AJ593">
        <f>IF($AI593=1,SUMPRODUCT(--($AL$2:$AL$1501&lt;$AL593))+1,"")</f>
        <v/>
      </c>
      <c r="AK593">
        <f>IF($C593="","",IF(OR($AD593=TRUE(),$AD593="TRUE"),0,1))</f>
        <v/>
      </c>
      <c r="AL593">
        <f>IF($AI593=1,IFERROR(IF(VALUE($C593)&lt;100000000,VALUE($C593),1000000000),IFERROR(IF(VALUE(MID($C593,2,20))&lt;100000000,VALUE(MID($C593,2,20)),1000000000),1000000000))+ROW()/100000,"")</f>
        <v/>
      </c>
    </row>
    <row r="594">
      <c r="J594" s="7" t="n"/>
      <c r="K594" s="7" t="n"/>
      <c r="R594" s="7">
        <f>IF($C594="","",Q594*AC594/100)</f>
        <v/>
      </c>
      <c r="S594" s="11" t="n"/>
      <c r="U594" s="11" t="n"/>
      <c r="AA594" s="7" t="n"/>
      <c r="AC594" s="7" t="n"/>
      <c r="AE594">
        <f>IF($C594="","",IF($AK594=1,Settings!$C$6,Settings!$C$7)*1)</f>
        <v/>
      </c>
      <c r="AF594" s="7">
        <f>IF($C594="","",AE594*AC594)</f>
        <v/>
      </c>
      <c r="AG594" s="7">
        <f>IF($C594="","",AC594-AF594)</f>
        <v/>
      </c>
      <c r="AH594" s="7">
        <f>IF($C594="","",AG594-R594)</f>
        <v/>
      </c>
      <c r="AI594">
        <f>IF($C594="","",IF(COUNTIF($C$2:$C594,$C594)=1,1,0))</f>
        <v/>
      </c>
      <c r="AJ594">
        <f>IF($AI594=1,SUMPRODUCT(--($AL$2:$AL$1501&lt;$AL594))+1,"")</f>
        <v/>
      </c>
      <c r="AK594">
        <f>IF($C594="","",IF(OR($AD594=TRUE(),$AD594="TRUE"),0,1))</f>
        <v/>
      </c>
      <c r="AL594">
        <f>IF($AI594=1,IFERROR(IF(VALUE($C594)&lt;100000000,VALUE($C594),1000000000),IFERROR(IF(VALUE(MID($C594,2,20))&lt;100000000,VALUE(MID($C594,2,20)),1000000000),1000000000))+ROW()/100000,"")</f>
        <v/>
      </c>
    </row>
    <row r="595">
      <c r="J595" s="7" t="n"/>
      <c r="K595" s="7" t="n"/>
      <c r="R595" s="7">
        <f>IF($C595="","",Q595*AC595/100)</f>
        <v/>
      </c>
      <c r="S595" s="11" t="n"/>
      <c r="U595" s="11" t="n"/>
      <c r="AA595" s="7" t="n"/>
      <c r="AC595" s="7" t="n"/>
      <c r="AE595">
        <f>IF($C595="","",IF($AK595=1,Settings!$C$6,Settings!$C$7)*1)</f>
        <v/>
      </c>
      <c r="AF595" s="7">
        <f>IF($C595="","",AE595*AC595)</f>
        <v/>
      </c>
      <c r="AG595" s="7">
        <f>IF($C595="","",AC595-AF595)</f>
        <v/>
      </c>
      <c r="AH595" s="7">
        <f>IF($C595="","",AG595-R595)</f>
        <v/>
      </c>
      <c r="AI595">
        <f>IF($C595="","",IF(COUNTIF($C$2:$C595,$C595)=1,1,0))</f>
        <v/>
      </c>
      <c r="AJ595">
        <f>IF($AI595=1,SUMPRODUCT(--($AL$2:$AL$1501&lt;$AL595))+1,"")</f>
        <v/>
      </c>
      <c r="AK595">
        <f>IF($C595="","",IF(OR($AD595=TRUE(),$AD595="TRUE"),0,1))</f>
        <v/>
      </c>
      <c r="AL595">
        <f>IF($AI595=1,IFERROR(IF(VALUE($C595)&lt;100000000,VALUE($C595),1000000000),IFERROR(IF(VALUE(MID($C595,2,20))&lt;100000000,VALUE(MID($C595,2,20)),1000000000),1000000000))+ROW()/100000,"")</f>
        <v/>
      </c>
    </row>
    <row r="596">
      <c r="J596" s="7" t="n"/>
      <c r="K596" s="7" t="n"/>
      <c r="R596" s="7">
        <f>IF($C596="","",Q596*AC596/100)</f>
        <v/>
      </c>
      <c r="S596" s="11" t="n"/>
      <c r="U596" s="11" t="n"/>
      <c r="AA596" s="7" t="n"/>
      <c r="AC596" s="7" t="n"/>
      <c r="AE596">
        <f>IF($C596="","",IF($AK596=1,Settings!$C$6,Settings!$C$7)*1)</f>
        <v/>
      </c>
      <c r="AF596" s="7">
        <f>IF($C596="","",AE596*AC596)</f>
        <v/>
      </c>
      <c r="AG596" s="7">
        <f>IF($C596="","",AC596-AF596)</f>
        <v/>
      </c>
      <c r="AH596" s="7">
        <f>IF($C596="","",AG596-R596)</f>
        <v/>
      </c>
      <c r="AI596">
        <f>IF($C596="","",IF(COUNTIF($C$2:$C596,$C596)=1,1,0))</f>
        <v/>
      </c>
      <c r="AJ596">
        <f>IF($AI596=1,SUMPRODUCT(--($AL$2:$AL$1501&lt;$AL596))+1,"")</f>
        <v/>
      </c>
      <c r="AK596">
        <f>IF($C596="","",IF(OR($AD596=TRUE(),$AD596="TRUE"),0,1))</f>
        <v/>
      </c>
      <c r="AL596">
        <f>IF($AI596=1,IFERROR(IF(VALUE($C596)&lt;100000000,VALUE($C596),1000000000),IFERROR(IF(VALUE(MID($C596,2,20))&lt;100000000,VALUE(MID($C596,2,20)),1000000000),1000000000))+ROW()/100000,"")</f>
        <v/>
      </c>
    </row>
    <row r="597">
      <c r="J597" s="7" t="n"/>
      <c r="K597" s="7" t="n"/>
      <c r="R597" s="7">
        <f>IF($C597="","",Q597*AC597/100)</f>
        <v/>
      </c>
      <c r="S597" s="11" t="n"/>
      <c r="U597" s="11" t="n"/>
      <c r="AA597" s="7" t="n"/>
      <c r="AC597" s="7" t="n"/>
      <c r="AE597">
        <f>IF($C597="","",IF($AK597=1,Settings!$C$6,Settings!$C$7)*1)</f>
        <v/>
      </c>
      <c r="AF597" s="7">
        <f>IF($C597="","",AE597*AC597)</f>
        <v/>
      </c>
      <c r="AG597" s="7">
        <f>IF($C597="","",AC597-AF597)</f>
        <v/>
      </c>
      <c r="AH597" s="7">
        <f>IF($C597="","",AG597-R597)</f>
        <v/>
      </c>
      <c r="AI597">
        <f>IF($C597="","",IF(COUNTIF($C$2:$C597,$C597)=1,1,0))</f>
        <v/>
      </c>
      <c r="AJ597">
        <f>IF($AI597=1,SUMPRODUCT(--($AL$2:$AL$1501&lt;$AL597))+1,"")</f>
        <v/>
      </c>
      <c r="AK597">
        <f>IF($C597="","",IF(OR($AD597=TRUE(),$AD597="TRUE"),0,1))</f>
        <v/>
      </c>
      <c r="AL597">
        <f>IF($AI597=1,IFERROR(IF(VALUE($C597)&lt;100000000,VALUE($C597),1000000000),IFERROR(IF(VALUE(MID($C597,2,20))&lt;100000000,VALUE(MID($C597,2,20)),1000000000),1000000000))+ROW()/100000,"")</f>
        <v/>
      </c>
    </row>
    <row r="598">
      <c r="J598" s="7" t="n"/>
      <c r="K598" s="7" t="n"/>
      <c r="R598" s="7">
        <f>IF($C598="","",Q598*AC598/100)</f>
        <v/>
      </c>
      <c r="S598" s="11" t="n"/>
      <c r="U598" s="11" t="n"/>
      <c r="AA598" s="7" t="n"/>
      <c r="AC598" s="7" t="n"/>
      <c r="AE598">
        <f>IF($C598="","",IF($AK598=1,Settings!$C$6,Settings!$C$7)*1)</f>
        <v/>
      </c>
      <c r="AF598" s="7">
        <f>IF($C598="","",AE598*AC598)</f>
        <v/>
      </c>
      <c r="AG598" s="7">
        <f>IF($C598="","",AC598-AF598)</f>
        <v/>
      </c>
      <c r="AH598" s="7">
        <f>IF($C598="","",AG598-R598)</f>
        <v/>
      </c>
      <c r="AI598">
        <f>IF($C598="","",IF(COUNTIF($C$2:$C598,$C598)=1,1,0))</f>
        <v/>
      </c>
      <c r="AJ598">
        <f>IF($AI598=1,SUMPRODUCT(--($AL$2:$AL$1501&lt;$AL598))+1,"")</f>
        <v/>
      </c>
      <c r="AK598">
        <f>IF($C598="","",IF(OR($AD598=TRUE(),$AD598="TRUE"),0,1))</f>
        <v/>
      </c>
      <c r="AL598">
        <f>IF($AI598=1,IFERROR(IF(VALUE($C598)&lt;100000000,VALUE($C598),1000000000),IFERROR(IF(VALUE(MID($C598,2,20))&lt;100000000,VALUE(MID($C598,2,20)),1000000000),1000000000))+ROW()/100000,"")</f>
        <v/>
      </c>
    </row>
    <row r="599">
      <c r="J599" s="7" t="n"/>
      <c r="K599" s="7" t="n"/>
      <c r="R599" s="7">
        <f>IF($C599="","",Q599*AC599/100)</f>
        <v/>
      </c>
      <c r="S599" s="11" t="n"/>
      <c r="U599" s="11" t="n"/>
      <c r="AA599" s="7" t="n"/>
      <c r="AC599" s="7" t="n"/>
      <c r="AE599">
        <f>IF($C599="","",IF($AK599=1,Settings!$C$6,Settings!$C$7)*1)</f>
        <v/>
      </c>
      <c r="AF599" s="7">
        <f>IF($C599="","",AE599*AC599)</f>
        <v/>
      </c>
      <c r="AG599" s="7">
        <f>IF($C599="","",AC599-AF599)</f>
        <v/>
      </c>
      <c r="AH599" s="7">
        <f>IF($C599="","",AG599-R599)</f>
        <v/>
      </c>
      <c r="AI599">
        <f>IF($C599="","",IF(COUNTIF($C$2:$C599,$C599)=1,1,0))</f>
        <v/>
      </c>
      <c r="AJ599">
        <f>IF($AI599=1,SUMPRODUCT(--($AL$2:$AL$1501&lt;$AL599))+1,"")</f>
        <v/>
      </c>
      <c r="AK599">
        <f>IF($C599="","",IF(OR($AD599=TRUE(),$AD599="TRUE"),0,1))</f>
        <v/>
      </c>
      <c r="AL599">
        <f>IF($AI599=1,IFERROR(IF(VALUE($C599)&lt;100000000,VALUE($C599),1000000000),IFERROR(IF(VALUE(MID($C599,2,20))&lt;100000000,VALUE(MID($C599,2,20)),1000000000),1000000000))+ROW()/100000,"")</f>
        <v/>
      </c>
    </row>
    <row r="600">
      <c r="J600" s="7" t="n"/>
      <c r="K600" s="7" t="n"/>
      <c r="R600" s="7">
        <f>IF($C600="","",Q600*AC600/100)</f>
        <v/>
      </c>
      <c r="S600" s="11" t="n"/>
      <c r="U600" s="11" t="n"/>
      <c r="AA600" s="7" t="n"/>
      <c r="AC600" s="7" t="n"/>
      <c r="AE600">
        <f>IF($C600="","",IF($AK600=1,Settings!$C$6,Settings!$C$7)*1)</f>
        <v/>
      </c>
      <c r="AF600" s="7">
        <f>IF($C600="","",AE600*AC600)</f>
        <v/>
      </c>
      <c r="AG600" s="7">
        <f>IF($C600="","",AC600-AF600)</f>
        <v/>
      </c>
      <c r="AH600" s="7">
        <f>IF($C600="","",AG600-R600)</f>
        <v/>
      </c>
      <c r="AI600">
        <f>IF($C600="","",IF(COUNTIF($C$2:$C600,$C600)=1,1,0))</f>
        <v/>
      </c>
      <c r="AJ600">
        <f>IF($AI600=1,SUMPRODUCT(--($AL$2:$AL$1501&lt;$AL600))+1,"")</f>
        <v/>
      </c>
      <c r="AK600">
        <f>IF($C600="","",IF(OR($AD600=TRUE(),$AD600="TRUE"),0,1))</f>
        <v/>
      </c>
      <c r="AL600">
        <f>IF($AI600=1,IFERROR(IF(VALUE($C600)&lt;100000000,VALUE($C600),1000000000),IFERROR(IF(VALUE(MID($C600,2,20))&lt;100000000,VALUE(MID($C600,2,20)),1000000000),1000000000))+ROW()/100000,"")</f>
        <v/>
      </c>
    </row>
    <row r="601">
      <c r="J601" s="7" t="n"/>
      <c r="K601" s="7" t="n"/>
      <c r="R601" s="7">
        <f>IF($C601="","",Q601*AC601/100)</f>
        <v/>
      </c>
      <c r="S601" s="11" t="n"/>
      <c r="U601" s="11" t="n"/>
      <c r="AA601" s="7" t="n"/>
      <c r="AC601" s="7" t="n"/>
      <c r="AE601">
        <f>IF($C601="","",IF($AK601=1,Settings!$C$6,Settings!$C$7)*1)</f>
        <v/>
      </c>
      <c r="AF601" s="7">
        <f>IF($C601="","",AE601*AC601)</f>
        <v/>
      </c>
      <c r="AG601" s="7">
        <f>IF($C601="","",AC601-AF601)</f>
        <v/>
      </c>
      <c r="AH601" s="7">
        <f>IF($C601="","",AG601-R601)</f>
        <v/>
      </c>
      <c r="AI601">
        <f>IF($C601="","",IF(COUNTIF($C$2:$C601,$C601)=1,1,0))</f>
        <v/>
      </c>
      <c r="AJ601">
        <f>IF($AI601=1,SUMPRODUCT(--($AL$2:$AL$1501&lt;$AL601))+1,"")</f>
        <v/>
      </c>
      <c r="AK601">
        <f>IF($C601="","",IF(OR($AD601=TRUE(),$AD601="TRUE"),0,1))</f>
        <v/>
      </c>
      <c r="AL601">
        <f>IF($AI601=1,IFERROR(IF(VALUE($C601)&lt;100000000,VALUE($C601),1000000000),IFERROR(IF(VALUE(MID($C601,2,20))&lt;100000000,VALUE(MID($C601,2,20)),1000000000),1000000000))+ROW()/100000,"")</f>
        <v/>
      </c>
    </row>
    <row r="602">
      <c r="J602" s="7" t="n"/>
      <c r="K602" s="7" t="n"/>
      <c r="R602" s="7">
        <f>IF($C602="","",Q602*AC602/100)</f>
        <v/>
      </c>
      <c r="S602" s="11" t="n"/>
      <c r="U602" s="11" t="n"/>
      <c r="AA602" s="7" t="n"/>
      <c r="AC602" s="7" t="n"/>
      <c r="AE602">
        <f>IF($C602="","",IF($AK602=1,Settings!$C$6,Settings!$C$7)*1)</f>
        <v/>
      </c>
      <c r="AF602" s="7">
        <f>IF($C602="","",AE602*AC602)</f>
        <v/>
      </c>
      <c r="AG602" s="7">
        <f>IF($C602="","",AC602-AF602)</f>
        <v/>
      </c>
      <c r="AH602" s="7">
        <f>IF($C602="","",AG602-R602)</f>
        <v/>
      </c>
      <c r="AI602">
        <f>IF($C602="","",IF(COUNTIF($C$2:$C602,$C602)=1,1,0))</f>
        <v/>
      </c>
      <c r="AJ602">
        <f>IF($AI602=1,SUMPRODUCT(--($AL$2:$AL$1501&lt;$AL602))+1,"")</f>
        <v/>
      </c>
      <c r="AK602">
        <f>IF($C602="","",IF(OR($AD602=TRUE(),$AD602="TRUE"),0,1))</f>
        <v/>
      </c>
      <c r="AL602">
        <f>IF($AI602=1,IFERROR(IF(VALUE($C602)&lt;100000000,VALUE($C602),1000000000),IFERROR(IF(VALUE(MID($C602,2,20))&lt;100000000,VALUE(MID($C602,2,20)),1000000000),1000000000))+ROW()/100000,"")</f>
        <v/>
      </c>
    </row>
    <row r="603">
      <c r="J603" s="7" t="n"/>
      <c r="K603" s="7" t="n"/>
      <c r="R603" s="7">
        <f>IF($C603="","",Q603*AC603/100)</f>
        <v/>
      </c>
      <c r="S603" s="11" t="n"/>
      <c r="U603" s="11" t="n"/>
      <c r="AA603" s="7" t="n"/>
      <c r="AC603" s="7" t="n"/>
      <c r="AE603">
        <f>IF($C603="","",IF($AK603=1,Settings!$C$6,Settings!$C$7)*1)</f>
        <v/>
      </c>
      <c r="AF603" s="7">
        <f>IF($C603="","",AE603*AC603)</f>
        <v/>
      </c>
      <c r="AG603" s="7">
        <f>IF($C603="","",AC603-AF603)</f>
        <v/>
      </c>
      <c r="AH603" s="7">
        <f>IF($C603="","",AG603-R603)</f>
        <v/>
      </c>
      <c r="AI603">
        <f>IF($C603="","",IF(COUNTIF($C$2:$C603,$C603)=1,1,0))</f>
        <v/>
      </c>
      <c r="AJ603">
        <f>IF($AI603=1,SUMPRODUCT(--($AL$2:$AL$1501&lt;$AL603))+1,"")</f>
        <v/>
      </c>
      <c r="AK603">
        <f>IF($C603="","",IF(OR($AD603=TRUE(),$AD603="TRUE"),0,1))</f>
        <v/>
      </c>
      <c r="AL603">
        <f>IF($AI603=1,IFERROR(IF(VALUE($C603)&lt;100000000,VALUE($C603),1000000000),IFERROR(IF(VALUE(MID($C603,2,20))&lt;100000000,VALUE(MID($C603,2,20)),1000000000),1000000000))+ROW()/100000,"")</f>
        <v/>
      </c>
    </row>
    <row r="604">
      <c r="J604" s="7" t="n"/>
      <c r="K604" s="7" t="n"/>
      <c r="R604" s="7">
        <f>IF($C604="","",Q604*AC604/100)</f>
        <v/>
      </c>
      <c r="S604" s="11" t="n"/>
      <c r="U604" s="11" t="n"/>
      <c r="AA604" s="7" t="n"/>
      <c r="AC604" s="7" t="n"/>
      <c r="AE604">
        <f>IF($C604="","",IF($AK604=1,Settings!$C$6,Settings!$C$7)*1)</f>
        <v/>
      </c>
      <c r="AF604" s="7">
        <f>IF($C604="","",AE604*AC604)</f>
        <v/>
      </c>
      <c r="AG604" s="7">
        <f>IF($C604="","",AC604-AF604)</f>
        <v/>
      </c>
      <c r="AH604" s="7">
        <f>IF($C604="","",AG604-R604)</f>
        <v/>
      </c>
      <c r="AI604">
        <f>IF($C604="","",IF(COUNTIF($C$2:$C604,$C604)=1,1,0))</f>
        <v/>
      </c>
      <c r="AJ604">
        <f>IF($AI604=1,SUMPRODUCT(--($AL$2:$AL$1501&lt;$AL604))+1,"")</f>
        <v/>
      </c>
      <c r="AK604">
        <f>IF($C604="","",IF(OR($AD604=TRUE(),$AD604="TRUE"),0,1))</f>
        <v/>
      </c>
      <c r="AL604">
        <f>IF($AI604=1,IFERROR(IF(VALUE($C604)&lt;100000000,VALUE($C604),1000000000),IFERROR(IF(VALUE(MID($C604,2,20))&lt;100000000,VALUE(MID($C604,2,20)),1000000000),1000000000))+ROW()/100000,"")</f>
        <v/>
      </c>
    </row>
    <row r="605">
      <c r="J605" s="7" t="n"/>
      <c r="K605" s="7" t="n"/>
      <c r="R605" s="7">
        <f>IF($C605="","",Q605*AC605/100)</f>
        <v/>
      </c>
      <c r="S605" s="11" t="n"/>
      <c r="U605" s="11" t="n"/>
      <c r="AA605" s="7" t="n"/>
      <c r="AC605" s="7" t="n"/>
      <c r="AE605">
        <f>IF($C605="","",IF($AK605=1,Settings!$C$6,Settings!$C$7)*1)</f>
        <v/>
      </c>
      <c r="AF605" s="7">
        <f>IF($C605="","",AE605*AC605)</f>
        <v/>
      </c>
      <c r="AG605" s="7">
        <f>IF($C605="","",AC605-AF605)</f>
        <v/>
      </c>
      <c r="AH605" s="7">
        <f>IF($C605="","",AG605-R605)</f>
        <v/>
      </c>
      <c r="AI605">
        <f>IF($C605="","",IF(COUNTIF($C$2:$C605,$C605)=1,1,0))</f>
        <v/>
      </c>
      <c r="AJ605">
        <f>IF($AI605=1,SUMPRODUCT(--($AL$2:$AL$1501&lt;$AL605))+1,"")</f>
        <v/>
      </c>
      <c r="AK605">
        <f>IF($C605="","",IF(OR($AD605=TRUE(),$AD605="TRUE"),0,1))</f>
        <v/>
      </c>
      <c r="AL605">
        <f>IF($AI605=1,IFERROR(IF(VALUE($C605)&lt;100000000,VALUE($C605),1000000000),IFERROR(IF(VALUE(MID($C605,2,20))&lt;100000000,VALUE(MID($C605,2,20)),1000000000),1000000000))+ROW()/100000,"")</f>
        <v/>
      </c>
    </row>
    <row r="606">
      <c r="J606" s="7" t="n"/>
      <c r="K606" s="7" t="n"/>
      <c r="R606" s="7">
        <f>IF($C606="","",Q606*AC606/100)</f>
        <v/>
      </c>
      <c r="S606" s="11" t="n"/>
      <c r="U606" s="11" t="n"/>
      <c r="AA606" s="7" t="n"/>
      <c r="AC606" s="7" t="n"/>
      <c r="AE606">
        <f>IF($C606="","",IF($AK606=1,Settings!$C$6,Settings!$C$7)*1)</f>
        <v/>
      </c>
      <c r="AF606" s="7">
        <f>IF($C606="","",AE606*AC606)</f>
        <v/>
      </c>
      <c r="AG606" s="7">
        <f>IF($C606="","",AC606-AF606)</f>
        <v/>
      </c>
      <c r="AH606" s="7">
        <f>IF($C606="","",AG606-R606)</f>
        <v/>
      </c>
      <c r="AI606">
        <f>IF($C606="","",IF(COUNTIF($C$2:$C606,$C606)=1,1,0))</f>
        <v/>
      </c>
      <c r="AJ606">
        <f>IF($AI606=1,SUMPRODUCT(--($AL$2:$AL$1501&lt;$AL606))+1,"")</f>
        <v/>
      </c>
      <c r="AK606">
        <f>IF($C606="","",IF(OR($AD606=TRUE(),$AD606="TRUE"),0,1))</f>
        <v/>
      </c>
      <c r="AL606">
        <f>IF($AI606=1,IFERROR(IF(VALUE($C606)&lt;100000000,VALUE($C606),1000000000),IFERROR(IF(VALUE(MID($C606,2,20))&lt;100000000,VALUE(MID($C606,2,20)),1000000000),1000000000))+ROW()/100000,"")</f>
        <v/>
      </c>
    </row>
    <row r="607">
      <c r="J607" s="7" t="n"/>
      <c r="K607" s="7" t="n"/>
      <c r="R607" s="7">
        <f>IF($C607="","",Q607*AC607/100)</f>
        <v/>
      </c>
      <c r="S607" s="11" t="n"/>
      <c r="U607" s="11" t="n"/>
      <c r="AA607" s="7" t="n"/>
      <c r="AC607" s="7" t="n"/>
      <c r="AE607">
        <f>IF($C607="","",IF($AK607=1,Settings!$C$6,Settings!$C$7)*1)</f>
        <v/>
      </c>
      <c r="AF607" s="7">
        <f>IF($C607="","",AE607*AC607)</f>
        <v/>
      </c>
      <c r="AG607" s="7">
        <f>IF($C607="","",AC607-AF607)</f>
        <v/>
      </c>
      <c r="AH607" s="7">
        <f>IF($C607="","",AG607-R607)</f>
        <v/>
      </c>
      <c r="AI607">
        <f>IF($C607="","",IF(COUNTIF($C$2:$C607,$C607)=1,1,0))</f>
        <v/>
      </c>
      <c r="AJ607">
        <f>IF($AI607=1,SUMPRODUCT(--($AL$2:$AL$1501&lt;$AL607))+1,"")</f>
        <v/>
      </c>
      <c r="AK607">
        <f>IF($C607="","",IF(OR($AD607=TRUE(),$AD607="TRUE"),0,1))</f>
        <v/>
      </c>
      <c r="AL607">
        <f>IF($AI607=1,IFERROR(IF(VALUE($C607)&lt;100000000,VALUE($C607),1000000000),IFERROR(IF(VALUE(MID($C607,2,20))&lt;100000000,VALUE(MID($C607,2,20)),1000000000),1000000000))+ROW()/100000,"")</f>
        <v/>
      </c>
    </row>
    <row r="608">
      <c r="J608" s="7" t="n"/>
      <c r="K608" s="7" t="n"/>
      <c r="R608" s="7">
        <f>IF($C608="","",Q608*AC608/100)</f>
        <v/>
      </c>
      <c r="S608" s="11" t="n"/>
      <c r="U608" s="11" t="n"/>
      <c r="AA608" s="7" t="n"/>
      <c r="AC608" s="7" t="n"/>
      <c r="AE608">
        <f>IF($C608="","",IF($AK608=1,Settings!$C$6,Settings!$C$7)*1)</f>
        <v/>
      </c>
      <c r="AF608" s="7">
        <f>IF($C608="","",AE608*AC608)</f>
        <v/>
      </c>
      <c r="AG608" s="7">
        <f>IF($C608="","",AC608-AF608)</f>
        <v/>
      </c>
      <c r="AH608" s="7">
        <f>IF($C608="","",AG608-R608)</f>
        <v/>
      </c>
      <c r="AI608">
        <f>IF($C608="","",IF(COUNTIF($C$2:$C608,$C608)=1,1,0))</f>
        <v/>
      </c>
      <c r="AJ608">
        <f>IF($AI608=1,SUMPRODUCT(--($AL$2:$AL$1501&lt;$AL608))+1,"")</f>
        <v/>
      </c>
      <c r="AK608">
        <f>IF($C608="","",IF(OR($AD608=TRUE(),$AD608="TRUE"),0,1))</f>
        <v/>
      </c>
      <c r="AL608">
        <f>IF($AI608=1,IFERROR(IF(VALUE($C608)&lt;100000000,VALUE($C608),1000000000),IFERROR(IF(VALUE(MID($C608,2,20))&lt;100000000,VALUE(MID($C608,2,20)),1000000000),1000000000))+ROW()/100000,"")</f>
        <v/>
      </c>
    </row>
    <row r="609">
      <c r="J609" s="7" t="n"/>
      <c r="K609" s="7" t="n"/>
      <c r="R609" s="7">
        <f>IF($C609="","",Q609*AC609/100)</f>
        <v/>
      </c>
      <c r="S609" s="11" t="n"/>
      <c r="U609" s="11" t="n"/>
      <c r="AA609" s="7" t="n"/>
      <c r="AC609" s="7" t="n"/>
      <c r="AE609">
        <f>IF($C609="","",IF($AK609=1,Settings!$C$6,Settings!$C$7)*1)</f>
        <v/>
      </c>
      <c r="AF609" s="7">
        <f>IF($C609="","",AE609*AC609)</f>
        <v/>
      </c>
      <c r="AG609" s="7">
        <f>IF($C609="","",AC609-AF609)</f>
        <v/>
      </c>
      <c r="AH609" s="7">
        <f>IF($C609="","",AG609-R609)</f>
        <v/>
      </c>
      <c r="AI609">
        <f>IF($C609="","",IF(COUNTIF($C$2:$C609,$C609)=1,1,0))</f>
        <v/>
      </c>
      <c r="AJ609">
        <f>IF($AI609=1,SUMPRODUCT(--($AL$2:$AL$1501&lt;$AL609))+1,"")</f>
        <v/>
      </c>
      <c r="AK609">
        <f>IF($C609="","",IF(OR($AD609=TRUE(),$AD609="TRUE"),0,1))</f>
        <v/>
      </c>
      <c r="AL609">
        <f>IF($AI609=1,IFERROR(IF(VALUE($C609)&lt;100000000,VALUE($C609),1000000000),IFERROR(IF(VALUE(MID($C609,2,20))&lt;100000000,VALUE(MID($C609,2,20)),1000000000),1000000000))+ROW()/100000,"")</f>
        <v/>
      </c>
    </row>
    <row r="610">
      <c r="J610" s="7" t="n"/>
      <c r="K610" s="7" t="n"/>
      <c r="R610" s="7">
        <f>IF($C610="","",Q610*AC610/100)</f>
        <v/>
      </c>
      <c r="S610" s="11" t="n"/>
      <c r="U610" s="11" t="n"/>
      <c r="AA610" s="7" t="n"/>
      <c r="AC610" s="7" t="n"/>
      <c r="AE610">
        <f>IF($C610="","",IF($AK610=1,Settings!$C$6,Settings!$C$7)*1)</f>
        <v/>
      </c>
      <c r="AF610" s="7">
        <f>IF($C610="","",AE610*AC610)</f>
        <v/>
      </c>
      <c r="AG610" s="7">
        <f>IF($C610="","",AC610-AF610)</f>
        <v/>
      </c>
      <c r="AH610" s="7">
        <f>IF($C610="","",AG610-R610)</f>
        <v/>
      </c>
      <c r="AI610">
        <f>IF($C610="","",IF(COUNTIF($C$2:$C610,$C610)=1,1,0))</f>
        <v/>
      </c>
      <c r="AJ610">
        <f>IF($AI610=1,SUMPRODUCT(--($AL$2:$AL$1501&lt;$AL610))+1,"")</f>
        <v/>
      </c>
      <c r="AK610">
        <f>IF($C610="","",IF(OR($AD610=TRUE(),$AD610="TRUE"),0,1))</f>
        <v/>
      </c>
      <c r="AL610">
        <f>IF($AI610=1,IFERROR(IF(VALUE($C610)&lt;100000000,VALUE($C610),1000000000),IFERROR(IF(VALUE(MID($C610,2,20))&lt;100000000,VALUE(MID($C610,2,20)),1000000000),1000000000))+ROW()/100000,"")</f>
        <v/>
      </c>
    </row>
    <row r="611">
      <c r="J611" s="7" t="n"/>
      <c r="K611" s="7" t="n"/>
      <c r="R611" s="7">
        <f>IF($C611="","",Q611*AC611/100)</f>
        <v/>
      </c>
      <c r="S611" s="11" t="n"/>
      <c r="U611" s="11" t="n"/>
      <c r="AA611" s="7" t="n"/>
      <c r="AC611" s="7" t="n"/>
      <c r="AE611">
        <f>IF($C611="","",IF($AK611=1,Settings!$C$6,Settings!$C$7)*1)</f>
        <v/>
      </c>
      <c r="AF611" s="7">
        <f>IF($C611="","",AE611*AC611)</f>
        <v/>
      </c>
      <c r="AG611" s="7">
        <f>IF($C611="","",AC611-AF611)</f>
        <v/>
      </c>
      <c r="AH611" s="7">
        <f>IF($C611="","",AG611-R611)</f>
        <v/>
      </c>
      <c r="AI611">
        <f>IF($C611="","",IF(COUNTIF($C$2:$C611,$C611)=1,1,0))</f>
        <v/>
      </c>
      <c r="AJ611">
        <f>IF($AI611=1,SUMPRODUCT(--($AL$2:$AL$1501&lt;$AL611))+1,"")</f>
        <v/>
      </c>
      <c r="AK611">
        <f>IF($C611="","",IF(OR($AD611=TRUE(),$AD611="TRUE"),0,1))</f>
        <v/>
      </c>
      <c r="AL611">
        <f>IF($AI611=1,IFERROR(IF(VALUE($C611)&lt;100000000,VALUE($C611),1000000000),IFERROR(IF(VALUE(MID($C611,2,20))&lt;100000000,VALUE(MID($C611,2,20)),1000000000),1000000000))+ROW()/100000,"")</f>
        <v/>
      </c>
    </row>
    <row r="612">
      <c r="J612" s="7" t="n"/>
      <c r="K612" s="7" t="n"/>
      <c r="R612" s="7">
        <f>IF($C612="","",Q612*AC612/100)</f>
        <v/>
      </c>
      <c r="S612" s="11" t="n"/>
      <c r="U612" s="11" t="n"/>
      <c r="AA612" s="7" t="n"/>
      <c r="AC612" s="7" t="n"/>
      <c r="AE612">
        <f>IF($C612="","",IF($AK612=1,Settings!$C$6,Settings!$C$7)*1)</f>
        <v/>
      </c>
      <c r="AF612" s="7">
        <f>IF($C612="","",AE612*AC612)</f>
        <v/>
      </c>
      <c r="AG612" s="7">
        <f>IF($C612="","",AC612-AF612)</f>
        <v/>
      </c>
      <c r="AH612" s="7">
        <f>IF($C612="","",AG612-R612)</f>
        <v/>
      </c>
      <c r="AI612">
        <f>IF($C612="","",IF(COUNTIF($C$2:$C612,$C612)=1,1,0))</f>
        <v/>
      </c>
      <c r="AJ612">
        <f>IF($AI612=1,SUMPRODUCT(--($AL$2:$AL$1501&lt;$AL612))+1,"")</f>
        <v/>
      </c>
      <c r="AK612">
        <f>IF($C612="","",IF(OR($AD612=TRUE(),$AD612="TRUE"),0,1))</f>
        <v/>
      </c>
      <c r="AL612">
        <f>IF($AI612=1,IFERROR(IF(VALUE($C612)&lt;100000000,VALUE($C612),1000000000),IFERROR(IF(VALUE(MID($C612,2,20))&lt;100000000,VALUE(MID($C612,2,20)),1000000000),1000000000))+ROW()/100000,"")</f>
        <v/>
      </c>
    </row>
    <row r="613">
      <c r="J613" s="7" t="n"/>
      <c r="K613" s="7" t="n"/>
      <c r="R613" s="7">
        <f>IF($C613="","",Q613*AC613/100)</f>
        <v/>
      </c>
      <c r="S613" s="11" t="n"/>
      <c r="U613" s="11" t="n"/>
      <c r="AA613" s="7" t="n"/>
      <c r="AC613" s="7" t="n"/>
      <c r="AE613">
        <f>IF($C613="","",IF($AK613=1,Settings!$C$6,Settings!$C$7)*1)</f>
        <v/>
      </c>
      <c r="AF613" s="7">
        <f>IF($C613="","",AE613*AC613)</f>
        <v/>
      </c>
      <c r="AG613" s="7">
        <f>IF($C613="","",AC613-AF613)</f>
        <v/>
      </c>
      <c r="AH613" s="7">
        <f>IF($C613="","",AG613-R613)</f>
        <v/>
      </c>
      <c r="AI613">
        <f>IF($C613="","",IF(COUNTIF($C$2:$C613,$C613)=1,1,0))</f>
        <v/>
      </c>
      <c r="AJ613">
        <f>IF($AI613=1,SUMPRODUCT(--($AL$2:$AL$1501&lt;$AL613))+1,"")</f>
        <v/>
      </c>
      <c r="AK613">
        <f>IF($C613="","",IF(OR($AD613=TRUE(),$AD613="TRUE"),0,1))</f>
        <v/>
      </c>
      <c r="AL613">
        <f>IF($AI613=1,IFERROR(IF(VALUE($C613)&lt;100000000,VALUE($C613),1000000000),IFERROR(IF(VALUE(MID($C613,2,20))&lt;100000000,VALUE(MID($C613,2,20)),1000000000),1000000000))+ROW()/100000,"")</f>
        <v/>
      </c>
    </row>
    <row r="614">
      <c r="J614" s="7" t="n"/>
      <c r="K614" s="7" t="n"/>
      <c r="R614" s="7">
        <f>IF($C614="","",Q614*AC614/100)</f>
        <v/>
      </c>
      <c r="S614" s="11" t="n"/>
      <c r="U614" s="11" t="n"/>
      <c r="AA614" s="7" t="n"/>
      <c r="AC614" s="7" t="n"/>
      <c r="AE614">
        <f>IF($C614="","",IF($AK614=1,Settings!$C$6,Settings!$C$7)*1)</f>
        <v/>
      </c>
      <c r="AF614" s="7">
        <f>IF($C614="","",AE614*AC614)</f>
        <v/>
      </c>
      <c r="AG614" s="7">
        <f>IF($C614="","",AC614-AF614)</f>
        <v/>
      </c>
      <c r="AH614" s="7">
        <f>IF($C614="","",AG614-R614)</f>
        <v/>
      </c>
      <c r="AI614">
        <f>IF($C614="","",IF(COUNTIF($C$2:$C614,$C614)=1,1,0))</f>
        <v/>
      </c>
      <c r="AJ614">
        <f>IF($AI614=1,SUMPRODUCT(--($AL$2:$AL$1501&lt;$AL614))+1,"")</f>
        <v/>
      </c>
      <c r="AK614">
        <f>IF($C614="","",IF(OR($AD614=TRUE(),$AD614="TRUE"),0,1))</f>
        <v/>
      </c>
      <c r="AL614">
        <f>IF($AI614=1,IFERROR(IF(VALUE($C614)&lt;100000000,VALUE($C614),1000000000),IFERROR(IF(VALUE(MID($C614,2,20))&lt;100000000,VALUE(MID($C614,2,20)),1000000000),1000000000))+ROW()/100000,"")</f>
        <v/>
      </c>
    </row>
    <row r="615">
      <c r="J615" s="7" t="n"/>
      <c r="K615" s="7" t="n"/>
      <c r="R615" s="7">
        <f>IF($C615="","",Q615*AC615/100)</f>
        <v/>
      </c>
      <c r="S615" s="11" t="n"/>
      <c r="U615" s="11" t="n"/>
      <c r="AA615" s="7" t="n"/>
      <c r="AC615" s="7" t="n"/>
      <c r="AE615">
        <f>IF($C615="","",IF($AK615=1,Settings!$C$6,Settings!$C$7)*1)</f>
        <v/>
      </c>
      <c r="AF615" s="7">
        <f>IF($C615="","",AE615*AC615)</f>
        <v/>
      </c>
      <c r="AG615" s="7">
        <f>IF($C615="","",AC615-AF615)</f>
        <v/>
      </c>
      <c r="AH615" s="7">
        <f>IF($C615="","",AG615-R615)</f>
        <v/>
      </c>
      <c r="AI615">
        <f>IF($C615="","",IF(COUNTIF($C$2:$C615,$C615)=1,1,0))</f>
        <v/>
      </c>
      <c r="AJ615">
        <f>IF($AI615=1,SUMPRODUCT(--($AL$2:$AL$1501&lt;$AL615))+1,"")</f>
        <v/>
      </c>
      <c r="AK615">
        <f>IF($C615="","",IF(OR($AD615=TRUE(),$AD615="TRUE"),0,1))</f>
        <v/>
      </c>
      <c r="AL615">
        <f>IF($AI615=1,IFERROR(IF(VALUE($C615)&lt;100000000,VALUE($C615),1000000000),IFERROR(IF(VALUE(MID($C615,2,20))&lt;100000000,VALUE(MID($C615,2,20)),1000000000),1000000000))+ROW()/100000,"")</f>
        <v/>
      </c>
    </row>
    <row r="616">
      <c r="J616" s="7" t="n"/>
      <c r="K616" s="7" t="n"/>
      <c r="R616" s="7">
        <f>IF($C616="","",Q616*AC616/100)</f>
        <v/>
      </c>
      <c r="S616" s="11" t="n"/>
      <c r="U616" s="11" t="n"/>
      <c r="AA616" s="7" t="n"/>
      <c r="AC616" s="7" t="n"/>
      <c r="AE616">
        <f>IF($C616="","",IF($AK616=1,Settings!$C$6,Settings!$C$7)*1)</f>
        <v/>
      </c>
      <c r="AF616" s="7">
        <f>IF($C616="","",AE616*AC616)</f>
        <v/>
      </c>
      <c r="AG616" s="7">
        <f>IF($C616="","",AC616-AF616)</f>
        <v/>
      </c>
      <c r="AH616" s="7">
        <f>IF($C616="","",AG616-R616)</f>
        <v/>
      </c>
      <c r="AI616">
        <f>IF($C616="","",IF(COUNTIF($C$2:$C616,$C616)=1,1,0))</f>
        <v/>
      </c>
      <c r="AJ616">
        <f>IF($AI616=1,SUMPRODUCT(--($AL$2:$AL$1501&lt;$AL616))+1,"")</f>
        <v/>
      </c>
      <c r="AK616">
        <f>IF($C616="","",IF(OR($AD616=TRUE(),$AD616="TRUE"),0,1))</f>
        <v/>
      </c>
      <c r="AL616">
        <f>IF($AI616=1,IFERROR(IF(VALUE($C616)&lt;100000000,VALUE($C616),1000000000),IFERROR(IF(VALUE(MID($C616,2,20))&lt;100000000,VALUE(MID($C616,2,20)),1000000000),1000000000))+ROW()/100000,"")</f>
        <v/>
      </c>
    </row>
    <row r="617">
      <c r="J617" s="7" t="n"/>
      <c r="K617" s="7" t="n"/>
      <c r="R617" s="7">
        <f>IF($C617="","",Q617*AC617/100)</f>
        <v/>
      </c>
      <c r="S617" s="11" t="n"/>
      <c r="U617" s="11" t="n"/>
      <c r="AA617" s="7" t="n"/>
      <c r="AC617" s="7" t="n"/>
      <c r="AE617">
        <f>IF($C617="","",IF($AK617=1,Settings!$C$6,Settings!$C$7)*1)</f>
        <v/>
      </c>
      <c r="AF617" s="7">
        <f>IF($C617="","",AE617*AC617)</f>
        <v/>
      </c>
      <c r="AG617" s="7">
        <f>IF($C617="","",AC617-AF617)</f>
        <v/>
      </c>
      <c r="AH617" s="7">
        <f>IF($C617="","",AG617-R617)</f>
        <v/>
      </c>
      <c r="AI617">
        <f>IF($C617="","",IF(COUNTIF($C$2:$C617,$C617)=1,1,0))</f>
        <v/>
      </c>
      <c r="AJ617">
        <f>IF($AI617=1,SUMPRODUCT(--($AL$2:$AL$1501&lt;$AL617))+1,"")</f>
        <v/>
      </c>
      <c r="AK617">
        <f>IF($C617="","",IF(OR($AD617=TRUE(),$AD617="TRUE"),0,1))</f>
        <v/>
      </c>
      <c r="AL617">
        <f>IF($AI617=1,IFERROR(IF(VALUE($C617)&lt;100000000,VALUE($C617),1000000000),IFERROR(IF(VALUE(MID($C617,2,20))&lt;100000000,VALUE(MID($C617,2,20)),1000000000),1000000000))+ROW()/100000,"")</f>
        <v/>
      </c>
    </row>
    <row r="618">
      <c r="J618" s="7" t="n"/>
      <c r="K618" s="7" t="n"/>
      <c r="R618" s="7">
        <f>IF($C618="","",Q618*AC618/100)</f>
        <v/>
      </c>
      <c r="S618" s="11" t="n"/>
      <c r="U618" s="11" t="n"/>
      <c r="AA618" s="7" t="n"/>
      <c r="AC618" s="7" t="n"/>
      <c r="AE618">
        <f>IF($C618="","",IF($AK618=1,Settings!$C$6,Settings!$C$7)*1)</f>
        <v/>
      </c>
      <c r="AF618" s="7">
        <f>IF($C618="","",AE618*AC618)</f>
        <v/>
      </c>
      <c r="AG618" s="7">
        <f>IF($C618="","",AC618-AF618)</f>
        <v/>
      </c>
      <c r="AH618" s="7">
        <f>IF($C618="","",AG618-R618)</f>
        <v/>
      </c>
      <c r="AI618">
        <f>IF($C618="","",IF(COUNTIF($C$2:$C618,$C618)=1,1,0))</f>
        <v/>
      </c>
      <c r="AJ618">
        <f>IF($AI618=1,SUMPRODUCT(--($AL$2:$AL$1501&lt;$AL618))+1,"")</f>
        <v/>
      </c>
      <c r="AK618">
        <f>IF($C618="","",IF(OR($AD618=TRUE(),$AD618="TRUE"),0,1))</f>
        <v/>
      </c>
      <c r="AL618">
        <f>IF($AI618=1,IFERROR(IF(VALUE($C618)&lt;100000000,VALUE($C618),1000000000),IFERROR(IF(VALUE(MID($C618,2,20))&lt;100000000,VALUE(MID($C618,2,20)),1000000000),1000000000))+ROW()/100000,"")</f>
        <v/>
      </c>
    </row>
    <row r="619">
      <c r="J619" s="7" t="n"/>
      <c r="K619" s="7" t="n"/>
      <c r="R619" s="7">
        <f>IF($C619="","",Q619*AC619/100)</f>
        <v/>
      </c>
      <c r="S619" s="11" t="n"/>
      <c r="U619" s="11" t="n"/>
      <c r="AA619" s="7" t="n"/>
      <c r="AC619" s="7" t="n"/>
      <c r="AE619">
        <f>IF($C619="","",IF($AK619=1,Settings!$C$6,Settings!$C$7)*1)</f>
        <v/>
      </c>
      <c r="AF619" s="7">
        <f>IF($C619="","",AE619*AC619)</f>
        <v/>
      </c>
      <c r="AG619" s="7">
        <f>IF($C619="","",AC619-AF619)</f>
        <v/>
      </c>
      <c r="AH619" s="7">
        <f>IF($C619="","",AG619-R619)</f>
        <v/>
      </c>
      <c r="AI619">
        <f>IF($C619="","",IF(COUNTIF($C$2:$C619,$C619)=1,1,0))</f>
        <v/>
      </c>
      <c r="AJ619">
        <f>IF($AI619=1,SUMPRODUCT(--($AL$2:$AL$1501&lt;$AL619))+1,"")</f>
        <v/>
      </c>
      <c r="AK619">
        <f>IF($C619="","",IF(OR($AD619=TRUE(),$AD619="TRUE"),0,1))</f>
        <v/>
      </c>
      <c r="AL619">
        <f>IF($AI619=1,IFERROR(IF(VALUE($C619)&lt;100000000,VALUE($C619),1000000000),IFERROR(IF(VALUE(MID($C619,2,20))&lt;100000000,VALUE(MID($C619,2,20)),1000000000),1000000000))+ROW()/100000,"")</f>
        <v/>
      </c>
    </row>
    <row r="620">
      <c r="J620" s="7" t="n"/>
      <c r="K620" s="7" t="n"/>
      <c r="R620" s="7">
        <f>IF($C620="","",Q620*AC620/100)</f>
        <v/>
      </c>
      <c r="S620" s="11" t="n"/>
      <c r="U620" s="11" t="n"/>
      <c r="AA620" s="7" t="n"/>
      <c r="AC620" s="7" t="n"/>
      <c r="AE620">
        <f>IF($C620="","",IF($AK620=1,Settings!$C$6,Settings!$C$7)*1)</f>
        <v/>
      </c>
      <c r="AF620" s="7">
        <f>IF($C620="","",AE620*AC620)</f>
        <v/>
      </c>
      <c r="AG620" s="7">
        <f>IF($C620="","",AC620-AF620)</f>
        <v/>
      </c>
      <c r="AH620" s="7">
        <f>IF($C620="","",AG620-R620)</f>
        <v/>
      </c>
      <c r="AI620">
        <f>IF($C620="","",IF(COUNTIF($C$2:$C620,$C620)=1,1,0))</f>
        <v/>
      </c>
      <c r="AJ620">
        <f>IF($AI620=1,SUMPRODUCT(--($AL$2:$AL$1501&lt;$AL620))+1,"")</f>
        <v/>
      </c>
      <c r="AK620">
        <f>IF($C620="","",IF(OR($AD620=TRUE(),$AD620="TRUE"),0,1))</f>
        <v/>
      </c>
      <c r="AL620">
        <f>IF($AI620=1,IFERROR(IF(VALUE($C620)&lt;100000000,VALUE($C620),1000000000),IFERROR(IF(VALUE(MID($C620,2,20))&lt;100000000,VALUE(MID($C620,2,20)),1000000000),1000000000))+ROW()/100000,"")</f>
        <v/>
      </c>
    </row>
    <row r="621">
      <c r="J621" s="7" t="n"/>
      <c r="K621" s="7" t="n"/>
      <c r="R621" s="7">
        <f>IF($C621="","",Q621*AC621/100)</f>
        <v/>
      </c>
      <c r="S621" s="11" t="n"/>
      <c r="U621" s="11" t="n"/>
      <c r="AA621" s="7" t="n"/>
      <c r="AC621" s="7" t="n"/>
      <c r="AE621">
        <f>IF($C621="","",IF($AK621=1,Settings!$C$6,Settings!$C$7)*1)</f>
        <v/>
      </c>
      <c r="AF621" s="7">
        <f>IF($C621="","",AE621*AC621)</f>
        <v/>
      </c>
      <c r="AG621" s="7">
        <f>IF($C621="","",AC621-AF621)</f>
        <v/>
      </c>
      <c r="AH621" s="7">
        <f>IF($C621="","",AG621-R621)</f>
        <v/>
      </c>
      <c r="AI621">
        <f>IF($C621="","",IF(COUNTIF($C$2:$C621,$C621)=1,1,0))</f>
        <v/>
      </c>
      <c r="AJ621">
        <f>IF($AI621=1,SUMPRODUCT(--($AL$2:$AL$1501&lt;$AL621))+1,"")</f>
        <v/>
      </c>
      <c r="AK621">
        <f>IF($C621="","",IF(OR($AD621=TRUE(),$AD621="TRUE"),0,1))</f>
        <v/>
      </c>
      <c r="AL621">
        <f>IF($AI621=1,IFERROR(IF(VALUE($C621)&lt;100000000,VALUE($C621),1000000000),IFERROR(IF(VALUE(MID($C621,2,20))&lt;100000000,VALUE(MID($C621,2,20)),1000000000),1000000000))+ROW()/100000,"")</f>
        <v/>
      </c>
    </row>
    <row r="622">
      <c r="J622" s="7" t="n"/>
      <c r="K622" s="7" t="n"/>
      <c r="R622" s="7">
        <f>IF($C622="","",Q622*AC622/100)</f>
        <v/>
      </c>
      <c r="S622" s="11" t="n"/>
      <c r="U622" s="11" t="n"/>
      <c r="AA622" s="7" t="n"/>
      <c r="AC622" s="7" t="n"/>
      <c r="AE622">
        <f>IF($C622="","",IF($AK622=1,Settings!$C$6,Settings!$C$7)*1)</f>
        <v/>
      </c>
      <c r="AF622" s="7">
        <f>IF($C622="","",AE622*AC622)</f>
        <v/>
      </c>
      <c r="AG622" s="7">
        <f>IF($C622="","",AC622-AF622)</f>
        <v/>
      </c>
      <c r="AH622" s="7">
        <f>IF($C622="","",AG622-R622)</f>
        <v/>
      </c>
      <c r="AI622">
        <f>IF($C622="","",IF(COUNTIF($C$2:$C622,$C622)=1,1,0))</f>
        <v/>
      </c>
      <c r="AJ622">
        <f>IF($AI622=1,SUMPRODUCT(--($AL$2:$AL$1501&lt;$AL622))+1,"")</f>
        <v/>
      </c>
      <c r="AK622">
        <f>IF($C622="","",IF(OR($AD622=TRUE(),$AD622="TRUE"),0,1))</f>
        <v/>
      </c>
      <c r="AL622">
        <f>IF($AI622=1,IFERROR(IF(VALUE($C622)&lt;100000000,VALUE($C622),1000000000),IFERROR(IF(VALUE(MID($C622,2,20))&lt;100000000,VALUE(MID($C622,2,20)),1000000000),1000000000))+ROW()/100000,"")</f>
        <v/>
      </c>
    </row>
    <row r="623">
      <c r="J623" s="7" t="n"/>
      <c r="K623" s="7" t="n"/>
      <c r="R623" s="7">
        <f>IF($C623="","",Q623*AC623/100)</f>
        <v/>
      </c>
      <c r="S623" s="11" t="n"/>
      <c r="U623" s="11" t="n"/>
      <c r="AA623" s="7" t="n"/>
      <c r="AC623" s="7" t="n"/>
      <c r="AE623">
        <f>IF($C623="","",IF($AK623=1,Settings!$C$6,Settings!$C$7)*1)</f>
        <v/>
      </c>
      <c r="AF623" s="7">
        <f>IF($C623="","",AE623*AC623)</f>
        <v/>
      </c>
      <c r="AG623" s="7">
        <f>IF($C623="","",AC623-AF623)</f>
        <v/>
      </c>
      <c r="AH623" s="7">
        <f>IF($C623="","",AG623-R623)</f>
        <v/>
      </c>
      <c r="AI623">
        <f>IF($C623="","",IF(COUNTIF($C$2:$C623,$C623)=1,1,0))</f>
        <v/>
      </c>
      <c r="AJ623">
        <f>IF($AI623=1,SUMPRODUCT(--($AL$2:$AL$1501&lt;$AL623))+1,"")</f>
        <v/>
      </c>
      <c r="AK623">
        <f>IF($C623="","",IF(OR($AD623=TRUE(),$AD623="TRUE"),0,1))</f>
        <v/>
      </c>
      <c r="AL623">
        <f>IF($AI623=1,IFERROR(IF(VALUE($C623)&lt;100000000,VALUE($C623),1000000000),IFERROR(IF(VALUE(MID($C623,2,20))&lt;100000000,VALUE(MID($C623,2,20)),1000000000),1000000000))+ROW()/100000,"")</f>
        <v/>
      </c>
    </row>
    <row r="624">
      <c r="J624" s="7" t="n"/>
      <c r="K624" s="7" t="n"/>
      <c r="R624" s="7">
        <f>IF($C624="","",Q624*AC624/100)</f>
        <v/>
      </c>
      <c r="S624" s="11" t="n"/>
      <c r="U624" s="11" t="n"/>
      <c r="AA624" s="7" t="n"/>
      <c r="AC624" s="7" t="n"/>
      <c r="AE624">
        <f>IF($C624="","",IF($AK624=1,Settings!$C$6,Settings!$C$7)*1)</f>
        <v/>
      </c>
      <c r="AF624" s="7">
        <f>IF($C624="","",AE624*AC624)</f>
        <v/>
      </c>
      <c r="AG624" s="7">
        <f>IF($C624="","",AC624-AF624)</f>
        <v/>
      </c>
      <c r="AH624" s="7">
        <f>IF($C624="","",AG624-R624)</f>
        <v/>
      </c>
      <c r="AI624">
        <f>IF($C624="","",IF(COUNTIF($C$2:$C624,$C624)=1,1,0))</f>
        <v/>
      </c>
      <c r="AJ624">
        <f>IF($AI624=1,SUMPRODUCT(--($AL$2:$AL$1501&lt;$AL624))+1,"")</f>
        <v/>
      </c>
      <c r="AK624">
        <f>IF($C624="","",IF(OR($AD624=TRUE(),$AD624="TRUE"),0,1))</f>
        <v/>
      </c>
      <c r="AL624">
        <f>IF($AI624=1,IFERROR(IF(VALUE($C624)&lt;100000000,VALUE($C624),1000000000),IFERROR(IF(VALUE(MID($C624,2,20))&lt;100000000,VALUE(MID($C624,2,20)),1000000000),1000000000))+ROW()/100000,"")</f>
        <v/>
      </c>
    </row>
    <row r="625">
      <c r="J625" s="7" t="n"/>
      <c r="K625" s="7" t="n"/>
      <c r="R625" s="7">
        <f>IF($C625="","",Q625*AC625/100)</f>
        <v/>
      </c>
      <c r="S625" s="11" t="n"/>
      <c r="U625" s="11" t="n"/>
      <c r="AA625" s="7" t="n"/>
      <c r="AC625" s="7" t="n"/>
      <c r="AE625">
        <f>IF($C625="","",IF($AK625=1,Settings!$C$6,Settings!$C$7)*1)</f>
        <v/>
      </c>
      <c r="AF625" s="7">
        <f>IF($C625="","",AE625*AC625)</f>
        <v/>
      </c>
      <c r="AG625" s="7">
        <f>IF($C625="","",AC625-AF625)</f>
        <v/>
      </c>
      <c r="AH625" s="7">
        <f>IF($C625="","",AG625-R625)</f>
        <v/>
      </c>
      <c r="AI625">
        <f>IF($C625="","",IF(COUNTIF($C$2:$C625,$C625)=1,1,0))</f>
        <v/>
      </c>
      <c r="AJ625">
        <f>IF($AI625=1,SUMPRODUCT(--($AL$2:$AL$1501&lt;$AL625))+1,"")</f>
        <v/>
      </c>
      <c r="AK625">
        <f>IF($C625="","",IF(OR($AD625=TRUE(),$AD625="TRUE"),0,1))</f>
        <v/>
      </c>
      <c r="AL625">
        <f>IF($AI625=1,IFERROR(IF(VALUE($C625)&lt;100000000,VALUE($C625),1000000000),IFERROR(IF(VALUE(MID($C625,2,20))&lt;100000000,VALUE(MID($C625,2,20)),1000000000),1000000000))+ROW()/100000,"")</f>
        <v/>
      </c>
    </row>
    <row r="626">
      <c r="J626" s="7" t="n"/>
      <c r="K626" s="7" t="n"/>
      <c r="R626" s="7">
        <f>IF($C626="","",Q626*AC626/100)</f>
        <v/>
      </c>
      <c r="S626" s="11" t="n"/>
      <c r="U626" s="11" t="n"/>
      <c r="AA626" s="7" t="n"/>
      <c r="AC626" s="7" t="n"/>
      <c r="AE626">
        <f>IF($C626="","",IF($AK626=1,Settings!$C$6,Settings!$C$7)*1)</f>
        <v/>
      </c>
      <c r="AF626" s="7">
        <f>IF($C626="","",AE626*AC626)</f>
        <v/>
      </c>
      <c r="AG626" s="7">
        <f>IF($C626="","",AC626-AF626)</f>
        <v/>
      </c>
      <c r="AH626" s="7">
        <f>IF($C626="","",AG626-R626)</f>
        <v/>
      </c>
      <c r="AI626">
        <f>IF($C626="","",IF(COUNTIF($C$2:$C626,$C626)=1,1,0))</f>
        <v/>
      </c>
      <c r="AJ626">
        <f>IF($AI626=1,SUMPRODUCT(--($AL$2:$AL$1501&lt;$AL626))+1,"")</f>
        <v/>
      </c>
      <c r="AK626">
        <f>IF($C626="","",IF(OR($AD626=TRUE(),$AD626="TRUE"),0,1))</f>
        <v/>
      </c>
      <c r="AL626">
        <f>IF($AI626=1,IFERROR(IF(VALUE($C626)&lt;100000000,VALUE($C626),1000000000),IFERROR(IF(VALUE(MID($C626,2,20))&lt;100000000,VALUE(MID($C626,2,20)),1000000000),1000000000))+ROW()/100000,"")</f>
        <v/>
      </c>
    </row>
    <row r="627">
      <c r="J627" s="7" t="n"/>
      <c r="K627" s="7" t="n"/>
      <c r="R627" s="7">
        <f>IF($C627="","",Q627*AC627/100)</f>
        <v/>
      </c>
      <c r="S627" s="11" t="n"/>
      <c r="U627" s="11" t="n"/>
      <c r="AA627" s="7" t="n"/>
      <c r="AC627" s="7" t="n"/>
      <c r="AE627">
        <f>IF($C627="","",IF($AK627=1,Settings!$C$6,Settings!$C$7)*1)</f>
        <v/>
      </c>
      <c r="AF627" s="7">
        <f>IF($C627="","",AE627*AC627)</f>
        <v/>
      </c>
      <c r="AG627" s="7">
        <f>IF($C627="","",AC627-AF627)</f>
        <v/>
      </c>
      <c r="AH627" s="7">
        <f>IF($C627="","",AG627-R627)</f>
        <v/>
      </c>
      <c r="AI627">
        <f>IF($C627="","",IF(COUNTIF($C$2:$C627,$C627)=1,1,0))</f>
        <v/>
      </c>
      <c r="AJ627">
        <f>IF($AI627=1,SUMPRODUCT(--($AL$2:$AL$1501&lt;$AL627))+1,"")</f>
        <v/>
      </c>
      <c r="AK627">
        <f>IF($C627="","",IF(OR($AD627=TRUE(),$AD627="TRUE"),0,1))</f>
        <v/>
      </c>
      <c r="AL627">
        <f>IF($AI627=1,IFERROR(IF(VALUE($C627)&lt;100000000,VALUE($C627),1000000000),IFERROR(IF(VALUE(MID($C627,2,20))&lt;100000000,VALUE(MID($C627,2,20)),1000000000),1000000000))+ROW()/100000,"")</f>
        <v/>
      </c>
    </row>
    <row r="628">
      <c r="J628" s="7" t="n"/>
      <c r="K628" s="7" t="n"/>
      <c r="R628" s="7">
        <f>IF($C628="","",Q628*AC628/100)</f>
        <v/>
      </c>
      <c r="S628" s="11" t="n"/>
      <c r="U628" s="11" t="n"/>
      <c r="AA628" s="7" t="n"/>
      <c r="AC628" s="7" t="n"/>
      <c r="AE628">
        <f>IF($C628="","",IF($AK628=1,Settings!$C$6,Settings!$C$7)*1)</f>
        <v/>
      </c>
      <c r="AF628" s="7">
        <f>IF($C628="","",AE628*AC628)</f>
        <v/>
      </c>
      <c r="AG628" s="7">
        <f>IF($C628="","",AC628-AF628)</f>
        <v/>
      </c>
      <c r="AH628" s="7">
        <f>IF($C628="","",AG628-R628)</f>
        <v/>
      </c>
      <c r="AI628">
        <f>IF($C628="","",IF(COUNTIF($C$2:$C628,$C628)=1,1,0))</f>
        <v/>
      </c>
      <c r="AJ628">
        <f>IF($AI628=1,SUMPRODUCT(--($AL$2:$AL$1501&lt;$AL628))+1,"")</f>
        <v/>
      </c>
      <c r="AK628">
        <f>IF($C628="","",IF(OR($AD628=TRUE(),$AD628="TRUE"),0,1))</f>
        <v/>
      </c>
      <c r="AL628">
        <f>IF($AI628=1,IFERROR(IF(VALUE($C628)&lt;100000000,VALUE($C628),1000000000),IFERROR(IF(VALUE(MID($C628,2,20))&lt;100000000,VALUE(MID($C628,2,20)),1000000000),1000000000))+ROW()/100000,"")</f>
        <v/>
      </c>
    </row>
    <row r="629">
      <c r="J629" s="7" t="n"/>
      <c r="K629" s="7" t="n"/>
      <c r="R629" s="7">
        <f>IF($C629="","",Q629*AC629/100)</f>
        <v/>
      </c>
      <c r="S629" s="11" t="n"/>
      <c r="U629" s="11" t="n"/>
      <c r="AA629" s="7" t="n"/>
      <c r="AC629" s="7" t="n"/>
      <c r="AE629">
        <f>IF($C629="","",IF($AK629=1,Settings!$C$6,Settings!$C$7)*1)</f>
        <v/>
      </c>
      <c r="AF629" s="7">
        <f>IF($C629="","",AE629*AC629)</f>
        <v/>
      </c>
      <c r="AG629" s="7">
        <f>IF($C629="","",AC629-AF629)</f>
        <v/>
      </c>
      <c r="AH629" s="7">
        <f>IF($C629="","",AG629-R629)</f>
        <v/>
      </c>
      <c r="AI629">
        <f>IF($C629="","",IF(COUNTIF($C$2:$C629,$C629)=1,1,0))</f>
        <v/>
      </c>
      <c r="AJ629">
        <f>IF($AI629=1,SUMPRODUCT(--($AL$2:$AL$1501&lt;$AL629))+1,"")</f>
        <v/>
      </c>
      <c r="AK629">
        <f>IF($C629="","",IF(OR($AD629=TRUE(),$AD629="TRUE"),0,1))</f>
        <v/>
      </c>
      <c r="AL629">
        <f>IF($AI629=1,IFERROR(IF(VALUE($C629)&lt;100000000,VALUE($C629),1000000000),IFERROR(IF(VALUE(MID($C629,2,20))&lt;100000000,VALUE(MID($C629,2,20)),1000000000),1000000000))+ROW()/100000,"")</f>
        <v/>
      </c>
    </row>
    <row r="630">
      <c r="J630" s="7" t="n"/>
      <c r="K630" s="7" t="n"/>
      <c r="R630" s="7">
        <f>IF($C630="","",Q630*AC630/100)</f>
        <v/>
      </c>
      <c r="S630" s="11" t="n"/>
      <c r="U630" s="11" t="n"/>
      <c r="AA630" s="7" t="n"/>
      <c r="AC630" s="7" t="n"/>
      <c r="AE630">
        <f>IF($C630="","",IF($AK630=1,Settings!$C$6,Settings!$C$7)*1)</f>
        <v/>
      </c>
      <c r="AF630" s="7">
        <f>IF($C630="","",AE630*AC630)</f>
        <v/>
      </c>
      <c r="AG630" s="7">
        <f>IF($C630="","",AC630-AF630)</f>
        <v/>
      </c>
      <c r="AH630" s="7">
        <f>IF($C630="","",AG630-R630)</f>
        <v/>
      </c>
      <c r="AI630">
        <f>IF($C630="","",IF(COUNTIF($C$2:$C630,$C630)=1,1,0))</f>
        <v/>
      </c>
      <c r="AJ630">
        <f>IF($AI630=1,SUMPRODUCT(--($AL$2:$AL$1501&lt;$AL630))+1,"")</f>
        <v/>
      </c>
      <c r="AK630">
        <f>IF($C630="","",IF(OR($AD630=TRUE(),$AD630="TRUE"),0,1))</f>
        <v/>
      </c>
      <c r="AL630">
        <f>IF($AI630=1,IFERROR(IF(VALUE($C630)&lt;100000000,VALUE($C630),1000000000),IFERROR(IF(VALUE(MID($C630,2,20))&lt;100000000,VALUE(MID($C630,2,20)),1000000000),1000000000))+ROW()/100000,"")</f>
        <v/>
      </c>
    </row>
    <row r="631">
      <c r="J631" s="7" t="n"/>
      <c r="K631" s="7" t="n"/>
      <c r="R631" s="7">
        <f>IF($C631="","",Q631*AC631/100)</f>
        <v/>
      </c>
      <c r="S631" s="11" t="n"/>
      <c r="U631" s="11" t="n"/>
      <c r="AA631" s="7" t="n"/>
      <c r="AC631" s="7" t="n"/>
      <c r="AE631">
        <f>IF($C631="","",IF($AK631=1,Settings!$C$6,Settings!$C$7)*1)</f>
        <v/>
      </c>
      <c r="AF631" s="7">
        <f>IF($C631="","",AE631*AC631)</f>
        <v/>
      </c>
      <c r="AG631" s="7">
        <f>IF($C631="","",AC631-AF631)</f>
        <v/>
      </c>
      <c r="AH631" s="7">
        <f>IF($C631="","",AG631-R631)</f>
        <v/>
      </c>
      <c r="AI631">
        <f>IF($C631="","",IF(COUNTIF($C$2:$C631,$C631)=1,1,0))</f>
        <v/>
      </c>
      <c r="AJ631">
        <f>IF($AI631=1,SUMPRODUCT(--($AL$2:$AL$1501&lt;$AL631))+1,"")</f>
        <v/>
      </c>
      <c r="AK631">
        <f>IF($C631="","",IF(OR($AD631=TRUE(),$AD631="TRUE"),0,1))</f>
        <v/>
      </c>
      <c r="AL631">
        <f>IF($AI631=1,IFERROR(IF(VALUE($C631)&lt;100000000,VALUE($C631),1000000000),IFERROR(IF(VALUE(MID($C631,2,20))&lt;100000000,VALUE(MID($C631,2,20)),1000000000),1000000000))+ROW()/100000,"")</f>
        <v/>
      </c>
    </row>
    <row r="632">
      <c r="J632" s="7" t="n"/>
      <c r="K632" s="7" t="n"/>
      <c r="R632" s="7">
        <f>IF($C632="","",Q632*AC632/100)</f>
        <v/>
      </c>
      <c r="S632" s="11" t="n"/>
      <c r="U632" s="11" t="n"/>
      <c r="AA632" s="7" t="n"/>
      <c r="AC632" s="7" t="n"/>
      <c r="AE632">
        <f>IF($C632="","",IF($AK632=1,Settings!$C$6,Settings!$C$7)*1)</f>
        <v/>
      </c>
      <c r="AF632" s="7">
        <f>IF($C632="","",AE632*AC632)</f>
        <v/>
      </c>
      <c r="AG632" s="7">
        <f>IF($C632="","",AC632-AF632)</f>
        <v/>
      </c>
      <c r="AH632" s="7">
        <f>IF($C632="","",AG632-R632)</f>
        <v/>
      </c>
      <c r="AI632">
        <f>IF($C632="","",IF(COUNTIF($C$2:$C632,$C632)=1,1,0))</f>
        <v/>
      </c>
      <c r="AJ632">
        <f>IF($AI632=1,SUMPRODUCT(--($AL$2:$AL$1501&lt;$AL632))+1,"")</f>
        <v/>
      </c>
      <c r="AK632">
        <f>IF($C632="","",IF(OR($AD632=TRUE(),$AD632="TRUE"),0,1))</f>
        <v/>
      </c>
      <c r="AL632">
        <f>IF($AI632=1,IFERROR(IF(VALUE($C632)&lt;100000000,VALUE($C632),1000000000),IFERROR(IF(VALUE(MID($C632,2,20))&lt;100000000,VALUE(MID($C632,2,20)),1000000000),1000000000))+ROW()/100000,"")</f>
        <v/>
      </c>
    </row>
    <row r="633">
      <c r="J633" s="7" t="n"/>
      <c r="K633" s="7" t="n"/>
      <c r="R633" s="7">
        <f>IF($C633="","",Q633*AC633/100)</f>
        <v/>
      </c>
      <c r="S633" s="11" t="n"/>
      <c r="U633" s="11" t="n"/>
      <c r="AA633" s="7" t="n"/>
      <c r="AC633" s="7" t="n"/>
      <c r="AE633">
        <f>IF($C633="","",IF($AK633=1,Settings!$C$6,Settings!$C$7)*1)</f>
        <v/>
      </c>
      <c r="AF633" s="7">
        <f>IF($C633="","",AE633*AC633)</f>
        <v/>
      </c>
      <c r="AG633" s="7">
        <f>IF($C633="","",AC633-AF633)</f>
        <v/>
      </c>
      <c r="AH633" s="7">
        <f>IF($C633="","",AG633-R633)</f>
        <v/>
      </c>
      <c r="AI633">
        <f>IF($C633="","",IF(COUNTIF($C$2:$C633,$C633)=1,1,0))</f>
        <v/>
      </c>
      <c r="AJ633">
        <f>IF($AI633=1,SUMPRODUCT(--($AL$2:$AL$1501&lt;$AL633))+1,"")</f>
        <v/>
      </c>
      <c r="AK633">
        <f>IF($C633="","",IF(OR($AD633=TRUE(),$AD633="TRUE"),0,1))</f>
        <v/>
      </c>
      <c r="AL633">
        <f>IF($AI633=1,IFERROR(IF(VALUE($C633)&lt;100000000,VALUE($C633),1000000000),IFERROR(IF(VALUE(MID($C633,2,20))&lt;100000000,VALUE(MID($C633,2,20)),1000000000),1000000000))+ROW()/100000,"")</f>
        <v/>
      </c>
    </row>
    <row r="634">
      <c r="J634" s="7" t="n"/>
      <c r="K634" s="7" t="n"/>
      <c r="R634" s="7">
        <f>IF($C634="","",Q634*AC634/100)</f>
        <v/>
      </c>
      <c r="S634" s="11" t="n"/>
      <c r="U634" s="11" t="n"/>
      <c r="AA634" s="7" t="n"/>
      <c r="AC634" s="7" t="n"/>
      <c r="AE634">
        <f>IF($C634="","",IF($AK634=1,Settings!$C$6,Settings!$C$7)*1)</f>
        <v/>
      </c>
      <c r="AF634" s="7">
        <f>IF($C634="","",AE634*AC634)</f>
        <v/>
      </c>
      <c r="AG634" s="7">
        <f>IF($C634="","",AC634-AF634)</f>
        <v/>
      </c>
      <c r="AH634" s="7">
        <f>IF($C634="","",AG634-R634)</f>
        <v/>
      </c>
      <c r="AI634">
        <f>IF($C634="","",IF(COUNTIF($C$2:$C634,$C634)=1,1,0))</f>
        <v/>
      </c>
      <c r="AJ634">
        <f>IF($AI634=1,SUMPRODUCT(--($AL$2:$AL$1501&lt;$AL634))+1,"")</f>
        <v/>
      </c>
      <c r="AK634">
        <f>IF($C634="","",IF(OR($AD634=TRUE(),$AD634="TRUE"),0,1))</f>
        <v/>
      </c>
      <c r="AL634">
        <f>IF($AI634=1,IFERROR(IF(VALUE($C634)&lt;100000000,VALUE($C634),1000000000),IFERROR(IF(VALUE(MID($C634,2,20))&lt;100000000,VALUE(MID($C634,2,20)),1000000000),1000000000))+ROW()/100000,"")</f>
        <v/>
      </c>
    </row>
    <row r="635">
      <c r="J635" s="7" t="n"/>
      <c r="K635" s="7" t="n"/>
      <c r="R635" s="7">
        <f>IF($C635="","",Q635*AC635/100)</f>
        <v/>
      </c>
      <c r="S635" s="11" t="n"/>
      <c r="U635" s="11" t="n"/>
      <c r="AA635" s="7" t="n"/>
      <c r="AC635" s="7" t="n"/>
      <c r="AE635">
        <f>IF($C635="","",IF($AK635=1,Settings!$C$6,Settings!$C$7)*1)</f>
        <v/>
      </c>
      <c r="AF635" s="7">
        <f>IF($C635="","",AE635*AC635)</f>
        <v/>
      </c>
      <c r="AG635" s="7">
        <f>IF($C635="","",AC635-AF635)</f>
        <v/>
      </c>
      <c r="AH635" s="7">
        <f>IF($C635="","",AG635-R635)</f>
        <v/>
      </c>
      <c r="AI635">
        <f>IF($C635="","",IF(COUNTIF($C$2:$C635,$C635)=1,1,0))</f>
        <v/>
      </c>
      <c r="AJ635">
        <f>IF($AI635=1,SUMPRODUCT(--($AL$2:$AL$1501&lt;$AL635))+1,"")</f>
        <v/>
      </c>
      <c r="AK635">
        <f>IF($C635="","",IF(OR($AD635=TRUE(),$AD635="TRUE"),0,1))</f>
        <v/>
      </c>
      <c r="AL635">
        <f>IF($AI635=1,IFERROR(IF(VALUE($C635)&lt;100000000,VALUE($C635),1000000000),IFERROR(IF(VALUE(MID($C635,2,20))&lt;100000000,VALUE(MID($C635,2,20)),1000000000),1000000000))+ROW()/100000,"")</f>
        <v/>
      </c>
    </row>
    <row r="636">
      <c r="J636" s="7" t="n"/>
      <c r="K636" s="7" t="n"/>
      <c r="R636" s="7">
        <f>IF($C636="","",Q636*AC636/100)</f>
        <v/>
      </c>
      <c r="S636" s="11" t="n"/>
      <c r="U636" s="11" t="n"/>
      <c r="AA636" s="7" t="n"/>
      <c r="AC636" s="7" t="n"/>
      <c r="AE636">
        <f>IF($C636="","",IF($AK636=1,Settings!$C$6,Settings!$C$7)*1)</f>
        <v/>
      </c>
      <c r="AF636" s="7">
        <f>IF($C636="","",AE636*AC636)</f>
        <v/>
      </c>
      <c r="AG636" s="7">
        <f>IF($C636="","",AC636-AF636)</f>
        <v/>
      </c>
      <c r="AH636" s="7">
        <f>IF($C636="","",AG636-R636)</f>
        <v/>
      </c>
      <c r="AI636">
        <f>IF($C636="","",IF(COUNTIF($C$2:$C636,$C636)=1,1,0))</f>
        <v/>
      </c>
      <c r="AJ636">
        <f>IF($AI636=1,SUMPRODUCT(--($AL$2:$AL$1501&lt;$AL636))+1,"")</f>
        <v/>
      </c>
      <c r="AK636">
        <f>IF($C636="","",IF(OR($AD636=TRUE(),$AD636="TRUE"),0,1))</f>
        <v/>
      </c>
      <c r="AL636">
        <f>IF($AI636=1,IFERROR(IF(VALUE($C636)&lt;100000000,VALUE($C636),1000000000),IFERROR(IF(VALUE(MID($C636,2,20))&lt;100000000,VALUE(MID($C636,2,20)),1000000000),1000000000))+ROW()/100000,"")</f>
        <v/>
      </c>
    </row>
    <row r="637">
      <c r="J637" s="7" t="n"/>
      <c r="K637" s="7" t="n"/>
      <c r="R637" s="7">
        <f>IF($C637="","",Q637*AC637/100)</f>
        <v/>
      </c>
      <c r="S637" s="11" t="n"/>
      <c r="U637" s="11" t="n"/>
      <c r="AA637" s="7" t="n"/>
      <c r="AC637" s="7" t="n"/>
      <c r="AE637">
        <f>IF($C637="","",IF($AK637=1,Settings!$C$6,Settings!$C$7)*1)</f>
        <v/>
      </c>
      <c r="AF637" s="7">
        <f>IF($C637="","",AE637*AC637)</f>
        <v/>
      </c>
      <c r="AG637" s="7">
        <f>IF($C637="","",AC637-AF637)</f>
        <v/>
      </c>
      <c r="AH637" s="7">
        <f>IF($C637="","",AG637-R637)</f>
        <v/>
      </c>
      <c r="AI637">
        <f>IF($C637="","",IF(COUNTIF($C$2:$C637,$C637)=1,1,0))</f>
        <v/>
      </c>
      <c r="AJ637">
        <f>IF($AI637=1,SUMPRODUCT(--($AL$2:$AL$1501&lt;$AL637))+1,"")</f>
        <v/>
      </c>
      <c r="AK637">
        <f>IF($C637="","",IF(OR($AD637=TRUE(),$AD637="TRUE"),0,1))</f>
        <v/>
      </c>
      <c r="AL637">
        <f>IF($AI637=1,IFERROR(IF(VALUE($C637)&lt;100000000,VALUE($C637),1000000000),IFERROR(IF(VALUE(MID($C637,2,20))&lt;100000000,VALUE(MID($C637,2,20)),1000000000),1000000000))+ROW()/100000,"")</f>
        <v/>
      </c>
    </row>
    <row r="638">
      <c r="J638" s="7" t="n"/>
      <c r="K638" s="7" t="n"/>
      <c r="R638" s="7">
        <f>IF($C638="","",Q638*AC638/100)</f>
        <v/>
      </c>
      <c r="S638" s="11" t="n"/>
      <c r="U638" s="11" t="n"/>
      <c r="AA638" s="7" t="n"/>
      <c r="AC638" s="7" t="n"/>
      <c r="AE638">
        <f>IF($C638="","",IF($AK638=1,Settings!$C$6,Settings!$C$7)*1)</f>
        <v/>
      </c>
      <c r="AF638" s="7">
        <f>IF($C638="","",AE638*AC638)</f>
        <v/>
      </c>
      <c r="AG638" s="7">
        <f>IF($C638="","",AC638-AF638)</f>
        <v/>
      </c>
      <c r="AH638" s="7">
        <f>IF($C638="","",AG638-R638)</f>
        <v/>
      </c>
      <c r="AI638">
        <f>IF($C638="","",IF(COUNTIF($C$2:$C638,$C638)=1,1,0))</f>
        <v/>
      </c>
      <c r="AJ638">
        <f>IF($AI638=1,SUMPRODUCT(--($AL$2:$AL$1501&lt;$AL638))+1,"")</f>
        <v/>
      </c>
      <c r="AK638">
        <f>IF($C638="","",IF(OR($AD638=TRUE(),$AD638="TRUE"),0,1))</f>
        <v/>
      </c>
      <c r="AL638">
        <f>IF($AI638=1,IFERROR(IF(VALUE($C638)&lt;100000000,VALUE($C638),1000000000),IFERROR(IF(VALUE(MID($C638,2,20))&lt;100000000,VALUE(MID($C638,2,20)),1000000000),1000000000))+ROW()/100000,"")</f>
        <v/>
      </c>
    </row>
    <row r="639">
      <c r="J639" s="7" t="n"/>
      <c r="K639" s="7" t="n"/>
      <c r="R639" s="7">
        <f>IF($C639="","",Q639*AC639/100)</f>
        <v/>
      </c>
      <c r="S639" s="11" t="n"/>
      <c r="U639" s="11" t="n"/>
      <c r="AA639" s="7" t="n"/>
      <c r="AC639" s="7" t="n"/>
      <c r="AE639">
        <f>IF($C639="","",IF($AK639=1,Settings!$C$6,Settings!$C$7)*1)</f>
        <v/>
      </c>
      <c r="AF639" s="7">
        <f>IF($C639="","",AE639*AC639)</f>
        <v/>
      </c>
      <c r="AG639" s="7">
        <f>IF($C639="","",AC639-AF639)</f>
        <v/>
      </c>
      <c r="AH639" s="7">
        <f>IF($C639="","",AG639-R639)</f>
        <v/>
      </c>
      <c r="AI639">
        <f>IF($C639="","",IF(COUNTIF($C$2:$C639,$C639)=1,1,0))</f>
        <v/>
      </c>
      <c r="AJ639">
        <f>IF($AI639=1,SUMPRODUCT(--($AL$2:$AL$1501&lt;$AL639))+1,"")</f>
        <v/>
      </c>
      <c r="AK639">
        <f>IF($C639="","",IF(OR($AD639=TRUE(),$AD639="TRUE"),0,1))</f>
        <v/>
      </c>
      <c r="AL639">
        <f>IF($AI639=1,IFERROR(IF(VALUE($C639)&lt;100000000,VALUE($C639),1000000000),IFERROR(IF(VALUE(MID($C639,2,20))&lt;100000000,VALUE(MID($C639,2,20)),1000000000),1000000000))+ROW()/100000,"")</f>
        <v/>
      </c>
    </row>
    <row r="640">
      <c r="J640" s="7" t="n"/>
      <c r="K640" s="7" t="n"/>
      <c r="R640" s="7">
        <f>IF($C640="","",Q640*AC640/100)</f>
        <v/>
      </c>
      <c r="S640" s="11" t="n"/>
      <c r="U640" s="11" t="n"/>
      <c r="AA640" s="7" t="n"/>
      <c r="AC640" s="7" t="n"/>
      <c r="AE640">
        <f>IF($C640="","",IF($AK640=1,Settings!$C$6,Settings!$C$7)*1)</f>
        <v/>
      </c>
      <c r="AF640" s="7">
        <f>IF($C640="","",AE640*AC640)</f>
        <v/>
      </c>
      <c r="AG640" s="7">
        <f>IF($C640="","",AC640-AF640)</f>
        <v/>
      </c>
      <c r="AH640" s="7">
        <f>IF($C640="","",AG640-R640)</f>
        <v/>
      </c>
      <c r="AI640">
        <f>IF($C640="","",IF(COUNTIF($C$2:$C640,$C640)=1,1,0))</f>
        <v/>
      </c>
      <c r="AJ640">
        <f>IF($AI640=1,SUMPRODUCT(--($AL$2:$AL$1501&lt;$AL640))+1,"")</f>
        <v/>
      </c>
      <c r="AK640">
        <f>IF($C640="","",IF(OR($AD640=TRUE(),$AD640="TRUE"),0,1))</f>
        <v/>
      </c>
      <c r="AL640">
        <f>IF($AI640=1,IFERROR(IF(VALUE($C640)&lt;100000000,VALUE($C640),1000000000),IFERROR(IF(VALUE(MID($C640,2,20))&lt;100000000,VALUE(MID($C640,2,20)),1000000000),1000000000))+ROW()/100000,"")</f>
        <v/>
      </c>
    </row>
    <row r="641">
      <c r="J641" s="7" t="n"/>
      <c r="K641" s="7" t="n"/>
      <c r="R641" s="7">
        <f>IF($C641="","",Q641*AC641/100)</f>
        <v/>
      </c>
      <c r="S641" s="11" t="n"/>
      <c r="U641" s="11" t="n"/>
      <c r="AA641" s="7" t="n"/>
      <c r="AC641" s="7" t="n"/>
      <c r="AE641">
        <f>IF($C641="","",IF($AK641=1,Settings!$C$6,Settings!$C$7)*1)</f>
        <v/>
      </c>
      <c r="AF641" s="7">
        <f>IF($C641="","",AE641*AC641)</f>
        <v/>
      </c>
      <c r="AG641" s="7">
        <f>IF($C641="","",AC641-AF641)</f>
        <v/>
      </c>
      <c r="AH641" s="7">
        <f>IF($C641="","",AG641-R641)</f>
        <v/>
      </c>
      <c r="AI641">
        <f>IF($C641="","",IF(COUNTIF($C$2:$C641,$C641)=1,1,0))</f>
        <v/>
      </c>
      <c r="AJ641">
        <f>IF($AI641=1,SUMPRODUCT(--($AL$2:$AL$1501&lt;$AL641))+1,"")</f>
        <v/>
      </c>
      <c r="AK641">
        <f>IF($C641="","",IF(OR($AD641=TRUE(),$AD641="TRUE"),0,1))</f>
        <v/>
      </c>
      <c r="AL641">
        <f>IF($AI641=1,IFERROR(IF(VALUE($C641)&lt;100000000,VALUE($C641),1000000000),IFERROR(IF(VALUE(MID($C641,2,20))&lt;100000000,VALUE(MID($C641,2,20)),1000000000),1000000000))+ROW()/100000,"")</f>
        <v/>
      </c>
    </row>
    <row r="642">
      <c r="J642" s="7" t="n"/>
      <c r="K642" s="7" t="n"/>
      <c r="R642" s="7">
        <f>IF($C642="","",Q642*AC642/100)</f>
        <v/>
      </c>
      <c r="S642" s="11" t="n"/>
      <c r="U642" s="11" t="n"/>
      <c r="AA642" s="7" t="n"/>
      <c r="AC642" s="7" t="n"/>
      <c r="AE642">
        <f>IF($C642="","",IF($AK642=1,Settings!$C$6,Settings!$C$7)*1)</f>
        <v/>
      </c>
      <c r="AF642" s="7">
        <f>IF($C642="","",AE642*AC642)</f>
        <v/>
      </c>
      <c r="AG642" s="7">
        <f>IF($C642="","",AC642-AF642)</f>
        <v/>
      </c>
      <c r="AH642" s="7">
        <f>IF($C642="","",AG642-R642)</f>
        <v/>
      </c>
      <c r="AI642">
        <f>IF($C642="","",IF(COUNTIF($C$2:$C642,$C642)=1,1,0))</f>
        <v/>
      </c>
      <c r="AJ642">
        <f>IF($AI642=1,SUMPRODUCT(--($AL$2:$AL$1501&lt;$AL642))+1,"")</f>
        <v/>
      </c>
      <c r="AK642">
        <f>IF($C642="","",IF(OR($AD642=TRUE(),$AD642="TRUE"),0,1))</f>
        <v/>
      </c>
      <c r="AL642">
        <f>IF($AI642=1,IFERROR(IF(VALUE($C642)&lt;100000000,VALUE($C642),1000000000),IFERROR(IF(VALUE(MID($C642,2,20))&lt;100000000,VALUE(MID($C642,2,20)),1000000000),1000000000))+ROW()/100000,"")</f>
        <v/>
      </c>
    </row>
    <row r="643">
      <c r="J643" s="7" t="n"/>
      <c r="K643" s="7" t="n"/>
      <c r="R643" s="7">
        <f>IF($C643="","",Q643*AC643/100)</f>
        <v/>
      </c>
      <c r="S643" s="11" t="n"/>
      <c r="U643" s="11" t="n"/>
      <c r="AA643" s="7" t="n"/>
      <c r="AC643" s="7" t="n"/>
      <c r="AE643">
        <f>IF($C643="","",IF($AK643=1,Settings!$C$6,Settings!$C$7)*1)</f>
        <v/>
      </c>
      <c r="AF643" s="7">
        <f>IF($C643="","",AE643*AC643)</f>
        <v/>
      </c>
      <c r="AG643" s="7">
        <f>IF($C643="","",AC643-AF643)</f>
        <v/>
      </c>
      <c r="AH643" s="7">
        <f>IF($C643="","",AG643-R643)</f>
        <v/>
      </c>
      <c r="AI643">
        <f>IF($C643="","",IF(COUNTIF($C$2:$C643,$C643)=1,1,0))</f>
        <v/>
      </c>
      <c r="AJ643">
        <f>IF($AI643=1,SUMPRODUCT(--($AL$2:$AL$1501&lt;$AL643))+1,"")</f>
        <v/>
      </c>
      <c r="AK643">
        <f>IF($C643="","",IF(OR($AD643=TRUE(),$AD643="TRUE"),0,1))</f>
        <v/>
      </c>
      <c r="AL643">
        <f>IF($AI643=1,IFERROR(IF(VALUE($C643)&lt;100000000,VALUE($C643),1000000000),IFERROR(IF(VALUE(MID($C643,2,20))&lt;100000000,VALUE(MID($C643,2,20)),1000000000),1000000000))+ROW()/100000,"")</f>
        <v/>
      </c>
    </row>
    <row r="644">
      <c r="J644" s="7" t="n"/>
      <c r="K644" s="7" t="n"/>
      <c r="R644" s="7">
        <f>IF($C644="","",Q644*AC644/100)</f>
        <v/>
      </c>
      <c r="S644" s="11" t="n"/>
      <c r="U644" s="11" t="n"/>
      <c r="AA644" s="7" t="n"/>
      <c r="AC644" s="7" t="n"/>
      <c r="AE644">
        <f>IF($C644="","",IF($AK644=1,Settings!$C$6,Settings!$C$7)*1)</f>
        <v/>
      </c>
      <c r="AF644" s="7">
        <f>IF($C644="","",AE644*AC644)</f>
        <v/>
      </c>
      <c r="AG644" s="7">
        <f>IF($C644="","",AC644-AF644)</f>
        <v/>
      </c>
      <c r="AH644" s="7">
        <f>IF($C644="","",AG644-R644)</f>
        <v/>
      </c>
      <c r="AI644">
        <f>IF($C644="","",IF(COUNTIF($C$2:$C644,$C644)=1,1,0))</f>
        <v/>
      </c>
      <c r="AJ644">
        <f>IF($AI644=1,SUMPRODUCT(--($AL$2:$AL$1501&lt;$AL644))+1,"")</f>
        <v/>
      </c>
      <c r="AK644">
        <f>IF($C644="","",IF(OR($AD644=TRUE(),$AD644="TRUE"),0,1))</f>
        <v/>
      </c>
      <c r="AL644">
        <f>IF($AI644=1,IFERROR(IF(VALUE($C644)&lt;100000000,VALUE($C644),1000000000),IFERROR(IF(VALUE(MID($C644,2,20))&lt;100000000,VALUE(MID($C644,2,20)),1000000000),1000000000))+ROW()/100000,"")</f>
        <v/>
      </c>
    </row>
    <row r="645">
      <c r="J645" s="7" t="n"/>
      <c r="K645" s="7" t="n"/>
      <c r="R645" s="7">
        <f>IF($C645="","",Q645*AC645/100)</f>
        <v/>
      </c>
      <c r="S645" s="11" t="n"/>
      <c r="U645" s="11" t="n"/>
      <c r="AA645" s="7" t="n"/>
      <c r="AC645" s="7" t="n"/>
      <c r="AE645">
        <f>IF($C645="","",IF($AK645=1,Settings!$C$6,Settings!$C$7)*1)</f>
        <v/>
      </c>
      <c r="AF645" s="7">
        <f>IF($C645="","",AE645*AC645)</f>
        <v/>
      </c>
      <c r="AG645" s="7">
        <f>IF($C645="","",AC645-AF645)</f>
        <v/>
      </c>
      <c r="AH645" s="7">
        <f>IF($C645="","",AG645-R645)</f>
        <v/>
      </c>
      <c r="AI645">
        <f>IF($C645="","",IF(COUNTIF($C$2:$C645,$C645)=1,1,0))</f>
        <v/>
      </c>
      <c r="AJ645">
        <f>IF($AI645=1,SUMPRODUCT(--($AL$2:$AL$1501&lt;$AL645))+1,"")</f>
        <v/>
      </c>
      <c r="AK645">
        <f>IF($C645="","",IF(OR($AD645=TRUE(),$AD645="TRUE"),0,1))</f>
        <v/>
      </c>
      <c r="AL645">
        <f>IF($AI645=1,IFERROR(IF(VALUE($C645)&lt;100000000,VALUE($C645),1000000000),IFERROR(IF(VALUE(MID($C645,2,20))&lt;100000000,VALUE(MID($C645,2,20)),1000000000),1000000000))+ROW()/100000,"")</f>
        <v/>
      </c>
    </row>
    <row r="646">
      <c r="J646" s="7" t="n"/>
      <c r="K646" s="7" t="n"/>
      <c r="R646" s="7">
        <f>IF($C646="","",Q646*AC646/100)</f>
        <v/>
      </c>
      <c r="S646" s="11" t="n"/>
      <c r="U646" s="11" t="n"/>
      <c r="AA646" s="7" t="n"/>
      <c r="AC646" s="7" t="n"/>
      <c r="AE646">
        <f>IF($C646="","",IF($AK646=1,Settings!$C$6,Settings!$C$7)*1)</f>
        <v/>
      </c>
      <c r="AF646" s="7">
        <f>IF($C646="","",AE646*AC646)</f>
        <v/>
      </c>
      <c r="AG646" s="7">
        <f>IF($C646="","",AC646-AF646)</f>
        <v/>
      </c>
      <c r="AH646" s="7">
        <f>IF($C646="","",AG646-R646)</f>
        <v/>
      </c>
      <c r="AI646">
        <f>IF($C646="","",IF(COUNTIF($C$2:$C646,$C646)=1,1,0))</f>
        <v/>
      </c>
      <c r="AJ646">
        <f>IF($AI646=1,SUMPRODUCT(--($AL$2:$AL$1501&lt;$AL646))+1,"")</f>
        <v/>
      </c>
      <c r="AK646">
        <f>IF($C646="","",IF(OR($AD646=TRUE(),$AD646="TRUE"),0,1))</f>
        <v/>
      </c>
      <c r="AL646">
        <f>IF($AI646=1,IFERROR(IF(VALUE($C646)&lt;100000000,VALUE($C646),1000000000),IFERROR(IF(VALUE(MID($C646,2,20))&lt;100000000,VALUE(MID($C646,2,20)),1000000000),1000000000))+ROW()/100000,"")</f>
        <v/>
      </c>
    </row>
    <row r="647">
      <c r="J647" s="7" t="n"/>
      <c r="K647" s="7" t="n"/>
      <c r="R647" s="7">
        <f>IF($C647="","",Q647*AC647/100)</f>
        <v/>
      </c>
      <c r="S647" s="11" t="n"/>
      <c r="U647" s="11" t="n"/>
      <c r="AA647" s="7" t="n"/>
      <c r="AC647" s="7" t="n"/>
      <c r="AE647">
        <f>IF($C647="","",IF($AK647=1,Settings!$C$6,Settings!$C$7)*1)</f>
        <v/>
      </c>
      <c r="AF647" s="7">
        <f>IF($C647="","",AE647*AC647)</f>
        <v/>
      </c>
      <c r="AG647" s="7">
        <f>IF($C647="","",AC647-AF647)</f>
        <v/>
      </c>
      <c r="AH647" s="7">
        <f>IF($C647="","",AG647-R647)</f>
        <v/>
      </c>
      <c r="AI647">
        <f>IF($C647="","",IF(COUNTIF($C$2:$C647,$C647)=1,1,0))</f>
        <v/>
      </c>
      <c r="AJ647">
        <f>IF($AI647=1,SUMPRODUCT(--($AL$2:$AL$1501&lt;$AL647))+1,"")</f>
        <v/>
      </c>
      <c r="AK647">
        <f>IF($C647="","",IF(OR($AD647=TRUE(),$AD647="TRUE"),0,1))</f>
        <v/>
      </c>
      <c r="AL647">
        <f>IF($AI647=1,IFERROR(IF(VALUE($C647)&lt;100000000,VALUE($C647),1000000000),IFERROR(IF(VALUE(MID($C647,2,20))&lt;100000000,VALUE(MID($C647,2,20)),1000000000),1000000000))+ROW()/100000,"")</f>
        <v/>
      </c>
    </row>
    <row r="648">
      <c r="J648" s="7" t="n"/>
      <c r="K648" s="7" t="n"/>
      <c r="R648" s="7">
        <f>IF($C648="","",Q648*AC648/100)</f>
        <v/>
      </c>
      <c r="S648" s="11" t="n"/>
      <c r="U648" s="11" t="n"/>
      <c r="AA648" s="7" t="n"/>
      <c r="AC648" s="7" t="n"/>
      <c r="AE648">
        <f>IF($C648="","",IF($AK648=1,Settings!$C$6,Settings!$C$7)*1)</f>
        <v/>
      </c>
      <c r="AF648" s="7">
        <f>IF($C648="","",AE648*AC648)</f>
        <v/>
      </c>
      <c r="AG648" s="7">
        <f>IF($C648="","",AC648-AF648)</f>
        <v/>
      </c>
      <c r="AH648" s="7">
        <f>IF($C648="","",AG648-R648)</f>
        <v/>
      </c>
      <c r="AI648">
        <f>IF($C648="","",IF(COUNTIF($C$2:$C648,$C648)=1,1,0))</f>
        <v/>
      </c>
      <c r="AJ648">
        <f>IF($AI648=1,SUMPRODUCT(--($AL$2:$AL$1501&lt;$AL648))+1,"")</f>
        <v/>
      </c>
      <c r="AK648">
        <f>IF($C648="","",IF(OR($AD648=TRUE(),$AD648="TRUE"),0,1))</f>
        <v/>
      </c>
      <c r="AL648">
        <f>IF($AI648=1,IFERROR(IF(VALUE($C648)&lt;100000000,VALUE($C648),1000000000),IFERROR(IF(VALUE(MID($C648,2,20))&lt;100000000,VALUE(MID($C648,2,20)),1000000000),1000000000))+ROW()/100000,"")</f>
        <v/>
      </c>
    </row>
    <row r="649">
      <c r="J649" s="7" t="n"/>
      <c r="K649" s="7" t="n"/>
      <c r="R649" s="7">
        <f>IF($C649="","",Q649*AC649/100)</f>
        <v/>
      </c>
      <c r="S649" s="11" t="n"/>
      <c r="U649" s="11" t="n"/>
      <c r="AA649" s="7" t="n"/>
      <c r="AC649" s="7" t="n"/>
      <c r="AE649">
        <f>IF($C649="","",IF($AK649=1,Settings!$C$6,Settings!$C$7)*1)</f>
        <v/>
      </c>
      <c r="AF649" s="7">
        <f>IF($C649="","",AE649*AC649)</f>
        <v/>
      </c>
      <c r="AG649" s="7">
        <f>IF($C649="","",AC649-AF649)</f>
        <v/>
      </c>
      <c r="AH649" s="7">
        <f>IF($C649="","",AG649-R649)</f>
        <v/>
      </c>
      <c r="AI649">
        <f>IF($C649="","",IF(COUNTIF($C$2:$C649,$C649)=1,1,0))</f>
        <v/>
      </c>
      <c r="AJ649">
        <f>IF($AI649=1,SUMPRODUCT(--($AL$2:$AL$1501&lt;$AL649))+1,"")</f>
        <v/>
      </c>
      <c r="AK649">
        <f>IF($C649="","",IF(OR($AD649=TRUE(),$AD649="TRUE"),0,1))</f>
        <v/>
      </c>
      <c r="AL649">
        <f>IF($AI649=1,IFERROR(IF(VALUE($C649)&lt;100000000,VALUE($C649),1000000000),IFERROR(IF(VALUE(MID($C649,2,20))&lt;100000000,VALUE(MID($C649,2,20)),1000000000),1000000000))+ROW()/100000,"")</f>
        <v/>
      </c>
    </row>
    <row r="650">
      <c r="J650" s="7" t="n"/>
      <c r="K650" s="7" t="n"/>
      <c r="R650" s="7">
        <f>IF($C650="","",Q650*AC650/100)</f>
        <v/>
      </c>
      <c r="S650" s="11" t="n"/>
      <c r="U650" s="11" t="n"/>
      <c r="AA650" s="7" t="n"/>
      <c r="AC650" s="7" t="n"/>
      <c r="AE650">
        <f>IF($C650="","",IF($AK650=1,Settings!$C$6,Settings!$C$7)*1)</f>
        <v/>
      </c>
      <c r="AF650" s="7">
        <f>IF($C650="","",AE650*AC650)</f>
        <v/>
      </c>
      <c r="AG650" s="7">
        <f>IF($C650="","",AC650-AF650)</f>
        <v/>
      </c>
      <c r="AH650" s="7">
        <f>IF($C650="","",AG650-R650)</f>
        <v/>
      </c>
      <c r="AI650">
        <f>IF($C650="","",IF(COUNTIF($C$2:$C650,$C650)=1,1,0))</f>
        <v/>
      </c>
      <c r="AJ650">
        <f>IF($AI650=1,SUMPRODUCT(--($AL$2:$AL$1501&lt;$AL650))+1,"")</f>
        <v/>
      </c>
      <c r="AK650">
        <f>IF($C650="","",IF(OR($AD650=TRUE(),$AD650="TRUE"),0,1))</f>
        <v/>
      </c>
      <c r="AL650">
        <f>IF($AI650=1,IFERROR(IF(VALUE($C650)&lt;100000000,VALUE($C650),1000000000),IFERROR(IF(VALUE(MID($C650,2,20))&lt;100000000,VALUE(MID($C650,2,20)),1000000000),1000000000))+ROW()/100000,"")</f>
        <v/>
      </c>
    </row>
    <row r="651">
      <c r="J651" s="7" t="n"/>
      <c r="K651" s="7" t="n"/>
      <c r="R651" s="7">
        <f>IF($C651="","",Q651*AC651/100)</f>
        <v/>
      </c>
      <c r="S651" s="11" t="n"/>
      <c r="U651" s="11" t="n"/>
      <c r="AA651" s="7" t="n"/>
      <c r="AC651" s="7" t="n"/>
      <c r="AE651">
        <f>IF($C651="","",IF($AK651=1,Settings!$C$6,Settings!$C$7)*1)</f>
        <v/>
      </c>
      <c r="AF651" s="7">
        <f>IF($C651="","",AE651*AC651)</f>
        <v/>
      </c>
      <c r="AG651" s="7">
        <f>IF($C651="","",AC651-AF651)</f>
        <v/>
      </c>
      <c r="AH651" s="7">
        <f>IF($C651="","",AG651-R651)</f>
        <v/>
      </c>
      <c r="AI651">
        <f>IF($C651="","",IF(COUNTIF($C$2:$C651,$C651)=1,1,0))</f>
        <v/>
      </c>
      <c r="AJ651">
        <f>IF($AI651=1,SUMPRODUCT(--($AL$2:$AL$1501&lt;$AL651))+1,"")</f>
        <v/>
      </c>
      <c r="AK651">
        <f>IF($C651="","",IF(OR($AD651=TRUE(),$AD651="TRUE"),0,1))</f>
        <v/>
      </c>
      <c r="AL651">
        <f>IF($AI651=1,IFERROR(IF(VALUE($C651)&lt;100000000,VALUE($C651),1000000000),IFERROR(IF(VALUE(MID($C651,2,20))&lt;100000000,VALUE(MID($C651,2,20)),1000000000),1000000000))+ROW()/100000,"")</f>
        <v/>
      </c>
    </row>
    <row r="652">
      <c r="J652" s="7" t="n"/>
      <c r="K652" s="7" t="n"/>
      <c r="R652" s="7">
        <f>IF($C652="","",Q652*AC652/100)</f>
        <v/>
      </c>
      <c r="S652" s="11" t="n"/>
      <c r="U652" s="11" t="n"/>
      <c r="AA652" s="7" t="n"/>
      <c r="AC652" s="7" t="n"/>
      <c r="AE652">
        <f>IF($C652="","",IF($AK652=1,Settings!$C$6,Settings!$C$7)*1)</f>
        <v/>
      </c>
      <c r="AF652" s="7">
        <f>IF($C652="","",AE652*AC652)</f>
        <v/>
      </c>
      <c r="AG652" s="7">
        <f>IF($C652="","",AC652-AF652)</f>
        <v/>
      </c>
      <c r="AH652" s="7">
        <f>IF($C652="","",AG652-R652)</f>
        <v/>
      </c>
      <c r="AI652">
        <f>IF($C652="","",IF(COUNTIF($C$2:$C652,$C652)=1,1,0))</f>
        <v/>
      </c>
      <c r="AJ652">
        <f>IF($AI652=1,SUMPRODUCT(--($AL$2:$AL$1501&lt;$AL652))+1,"")</f>
        <v/>
      </c>
      <c r="AK652">
        <f>IF($C652="","",IF(OR($AD652=TRUE(),$AD652="TRUE"),0,1))</f>
        <v/>
      </c>
      <c r="AL652">
        <f>IF($AI652=1,IFERROR(IF(VALUE($C652)&lt;100000000,VALUE($C652),1000000000),IFERROR(IF(VALUE(MID($C652,2,20))&lt;100000000,VALUE(MID($C652,2,20)),1000000000),1000000000))+ROW()/100000,"")</f>
        <v/>
      </c>
    </row>
    <row r="653">
      <c r="J653" s="7" t="n"/>
      <c r="K653" s="7" t="n"/>
      <c r="R653" s="7">
        <f>IF($C653="","",Q653*AC653/100)</f>
        <v/>
      </c>
      <c r="S653" s="11" t="n"/>
      <c r="U653" s="11" t="n"/>
      <c r="AA653" s="7" t="n"/>
      <c r="AC653" s="7" t="n"/>
      <c r="AE653">
        <f>IF($C653="","",IF($AK653=1,Settings!$C$6,Settings!$C$7)*1)</f>
        <v/>
      </c>
      <c r="AF653" s="7">
        <f>IF($C653="","",AE653*AC653)</f>
        <v/>
      </c>
      <c r="AG653" s="7">
        <f>IF($C653="","",AC653-AF653)</f>
        <v/>
      </c>
      <c r="AH653" s="7">
        <f>IF($C653="","",AG653-R653)</f>
        <v/>
      </c>
      <c r="AI653">
        <f>IF($C653="","",IF(COUNTIF($C$2:$C653,$C653)=1,1,0))</f>
        <v/>
      </c>
      <c r="AJ653">
        <f>IF($AI653=1,SUMPRODUCT(--($AL$2:$AL$1501&lt;$AL653))+1,"")</f>
        <v/>
      </c>
      <c r="AK653">
        <f>IF($C653="","",IF(OR($AD653=TRUE(),$AD653="TRUE"),0,1))</f>
        <v/>
      </c>
      <c r="AL653">
        <f>IF($AI653=1,IFERROR(IF(VALUE($C653)&lt;100000000,VALUE($C653),1000000000),IFERROR(IF(VALUE(MID($C653,2,20))&lt;100000000,VALUE(MID($C653,2,20)),1000000000),1000000000))+ROW()/100000,"")</f>
        <v/>
      </c>
    </row>
    <row r="654">
      <c r="J654" s="7" t="n"/>
      <c r="K654" s="7" t="n"/>
      <c r="R654" s="7">
        <f>IF($C654="","",Q654*AC654/100)</f>
        <v/>
      </c>
      <c r="S654" s="11" t="n"/>
      <c r="U654" s="11" t="n"/>
      <c r="AA654" s="7" t="n"/>
      <c r="AC654" s="7" t="n"/>
      <c r="AE654">
        <f>IF($C654="","",IF($AK654=1,Settings!$C$6,Settings!$C$7)*1)</f>
        <v/>
      </c>
      <c r="AF654" s="7">
        <f>IF($C654="","",AE654*AC654)</f>
        <v/>
      </c>
      <c r="AG654" s="7">
        <f>IF($C654="","",AC654-AF654)</f>
        <v/>
      </c>
      <c r="AH654" s="7">
        <f>IF($C654="","",AG654-R654)</f>
        <v/>
      </c>
      <c r="AI654">
        <f>IF($C654="","",IF(COUNTIF($C$2:$C654,$C654)=1,1,0))</f>
        <v/>
      </c>
      <c r="AJ654">
        <f>IF($AI654=1,SUMPRODUCT(--($AL$2:$AL$1501&lt;$AL654))+1,"")</f>
        <v/>
      </c>
      <c r="AK654">
        <f>IF($C654="","",IF(OR($AD654=TRUE(),$AD654="TRUE"),0,1))</f>
        <v/>
      </c>
      <c r="AL654">
        <f>IF($AI654=1,IFERROR(IF(VALUE($C654)&lt;100000000,VALUE($C654),1000000000),IFERROR(IF(VALUE(MID($C654,2,20))&lt;100000000,VALUE(MID($C654,2,20)),1000000000),1000000000))+ROW()/100000,"")</f>
        <v/>
      </c>
    </row>
    <row r="655">
      <c r="J655" s="7" t="n"/>
      <c r="K655" s="7" t="n"/>
      <c r="R655" s="7">
        <f>IF($C655="","",Q655*AC655/100)</f>
        <v/>
      </c>
      <c r="S655" s="11" t="n"/>
      <c r="U655" s="11" t="n"/>
      <c r="AA655" s="7" t="n"/>
      <c r="AC655" s="7" t="n"/>
      <c r="AE655">
        <f>IF($C655="","",IF($AK655=1,Settings!$C$6,Settings!$C$7)*1)</f>
        <v/>
      </c>
      <c r="AF655" s="7">
        <f>IF($C655="","",AE655*AC655)</f>
        <v/>
      </c>
      <c r="AG655" s="7">
        <f>IF($C655="","",AC655-AF655)</f>
        <v/>
      </c>
      <c r="AH655" s="7">
        <f>IF($C655="","",AG655-R655)</f>
        <v/>
      </c>
      <c r="AI655">
        <f>IF($C655="","",IF(COUNTIF($C$2:$C655,$C655)=1,1,0))</f>
        <v/>
      </c>
      <c r="AJ655">
        <f>IF($AI655=1,SUMPRODUCT(--($AL$2:$AL$1501&lt;$AL655))+1,"")</f>
        <v/>
      </c>
      <c r="AK655">
        <f>IF($C655="","",IF(OR($AD655=TRUE(),$AD655="TRUE"),0,1))</f>
        <v/>
      </c>
      <c r="AL655">
        <f>IF($AI655=1,IFERROR(IF(VALUE($C655)&lt;100000000,VALUE($C655),1000000000),IFERROR(IF(VALUE(MID($C655,2,20))&lt;100000000,VALUE(MID($C655,2,20)),1000000000),1000000000))+ROW()/100000,"")</f>
        <v/>
      </c>
    </row>
    <row r="656">
      <c r="J656" s="7" t="n"/>
      <c r="K656" s="7" t="n"/>
      <c r="R656" s="7">
        <f>IF($C656="","",Q656*AC656/100)</f>
        <v/>
      </c>
      <c r="S656" s="11" t="n"/>
      <c r="U656" s="11" t="n"/>
      <c r="AA656" s="7" t="n"/>
      <c r="AC656" s="7" t="n"/>
      <c r="AE656">
        <f>IF($C656="","",IF($AK656=1,Settings!$C$6,Settings!$C$7)*1)</f>
        <v/>
      </c>
      <c r="AF656" s="7">
        <f>IF($C656="","",AE656*AC656)</f>
        <v/>
      </c>
      <c r="AG656" s="7">
        <f>IF($C656="","",AC656-AF656)</f>
        <v/>
      </c>
      <c r="AH656" s="7">
        <f>IF($C656="","",AG656-R656)</f>
        <v/>
      </c>
      <c r="AI656">
        <f>IF($C656="","",IF(COUNTIF($C$2:$C656,$C656)=1,1,0))</f>
        <v/>
      </c>
      <c r="AJ656">
        <f>IF($AI656=1,SUMPRODUCT(--($AL$2:$AL$1501&lt;$AL656))+1,"")</f>
        <v/>
      </c>
      <c r="AK656">
        <f>IF($C656="","",IF(OR($AD656=TRUE(),$AD656="TRUE"),0,1))</f>
        <v/>
      </c>
      <c r="AL656">
        <f>IF($AI656=1,IFERROR(IF(VALUE($C656)&lt;100000000,VALUE($C656),1000000000),IFERROR(IF(VALUE(MID($C656,2,20))&lt;100000000,VALUE(MID($C656,2,20)),1000000000),1000000000))+ROW()/100000,"")</f>
        <v/>
      </c>
    </row>
    <row r="657">
      <c r="J657" s="7" t="n"/>
      <c r="K657" s="7" t="n"/>
      <c r="R657" s="7">
        <f>IF($C657="","",Q657*AC657/100)</f>
        <v/>
      </c>
      <c r="S657" s="11" t="n"/>
      <c r="U657" s="11" t="n"/>
      <c r="AA657" s="7" t="n"/>
      <c r="AC657" s="7" t="n"/>
      <c r="AE657">
        <f>IF($C657="","",IF($AK657=1,Settings!$C$6,Settings!$C$7)*1)</f>
        <v/>
      </c>
      <c r="AF657" s="7">
        <f>IF($C657="","",AE657*AC657)</f>
        <v/>
      </c>
      <c r="AG657" s="7">
        <f>IF($C657="","",AC657-AF657)</f>
        <v/>
      </c>
      <c r="AH657" s="7">
        <f>IF($C657="","",AG657-R657)</f>
        <v/>
      </c>
      <c r="AI657">
        <f>IF($C657="","",IF(COUNTIF($C$2:$C657,$C657)=1,1,0))</f>
        <v/>
      </c>
      <c r="AJ657">
        <f>IF($AI657=1,SUMPRODUCT(--($AL$2:$AL$1501&lt;$AL657))+1,"")</f>
        <v/>
      </c>
      <c r="AK657">
        <f>IF($C657="","",IF(OR($AD657=TRUE(),$AD657="TRUE"),0,1))</f>
        <v/>
      </c>
      <c r="AL657">
        <f>IF($AI657=1,IFERROR(IF(VALUE($C657)&lt;100000000,VALUE($C657),1000000000),IFERROR(IF(VALUE(MID($C657,2,20))&lt;100000000,VALUE(MID($C657,2,20)),1000000000),1000000000))+ROW()/100000,"")</f>
        <v/>
      </c>
    </row>
    <row r="658">
      <c r="J658" s="7" t="n"/>
      <c r="K658" s="7" t="n"/>
      <c r="R658" s="7">
        <f>IF($C658="","",Q658*AC658/100)</f>
        <v/>
      </c>
      <c r="S658" s="11" t="n"/>
      <c r="U658" s="11" t="n"/>
      <c r="AA658" s="7" t="n"/>
      <c r="AC658" s="7" t="n"/>
      <c r="AE658">
        <f>IF($C658="","",IF($AK658=1,Settings!$C$6,Settings!$C$7)*1)</f>
        <v/>
      </c>
      <c r="AF658" s="7">
        <f>IF($C658="","",AE658*AC658)</f>
        <v/>
      </c>
      <c r="AG658" s="7">
        <f>IF($C658="","",AC658-AF658)</f>
        <v/>
      </c>
      <c r="AH658" s="7">
        <f>IF($C658="","",AG658-R658)</f>
        <v/>
      </c>
      <c r="AI658">
        <f>IF($C658="","",IF(COUNTIF($C$2:$C658,$C658)=1,1,0))</f>
        <v/>
      </c>
      <c r="AJ658">
        <f>IF($AI658=1,SUMPRODUCT(--($AL$2:$AL$1501&lt;$AL658))+1,"")</f>
        <v/>
      </c>
      <c r="AK658">
        <f>IF($C658="","",IF(OR($AD658=TRUE(),$AD658="TRUE"),0,1))</f>
        <v/>
      </c>
      <c r="AL658">
        <f>IF($AI658=1,IFERROR(IF(VALUE($C658)&lt;100000000,VALUE($C658),1000000000),IFERROR(IF(VALUE(MID($C658,2,20))&lt;100000000,VALUE(MID($C658,2,20)),1000000000),1000000000))+ROW()/100000,"")</f>
        <v/>
      </c>
    </row>
    <row r="659">
      <c r="J659" s="7" t="n"/>
      <c r="K659" s="7" t="n"/>
      <c r="R659" s="7">
        <f>IF($C659="","",Q659*AC659/100)</f>
        <v/>
      </c>
      <c r="S659" s="11" t="n"/>
      <c r="U659" s="11" t="n"/>
      <c r="AA659" s="7" t="n"/>
      <c r="AC659" s="7" t="n"/>
      <c r="AE659">
        <f>IF($C659="","",IF($AK659=1,Settings!$C$6,Settings!$C$7)*1)</f>
        <v/>
      </c>
      <c r="AF659" s="7">
        <f>IF($C659="","",AE659*AC659)</f>
        <v/>
      </c>
      <c r="AG659" s="7">
        <f>IF($C659="","",AC659-AF659)</f>
        <v/>
      </c>
      <c r="AH659" s="7">
        <f>IF($C659="","",AG659-R659)</f>
        <v/>
      </c>
      <c r="AI659">
        <f>IF($C659="","",IF(COUNTIF($C$2:$C659,$C659)=1,1,0))</f>
        <v/>
      </c>
      <c r="AJ659">
        <f>IF($AI659=1,SUMPRODUCT(--($AL$2:$AL$1501&lt;$AL659))+1,"")</f>
        <v/>
      </c>
      <c r="AK659">
        <f>IF($C659="","",IF(OR($AD659=TRUE(),$AD659="TRUE"),0,1))</f>
        <v/>
      </c>
      <c r="AL659">
        <f>IF($AI659=1,IFERROR(IF(VALUE($C659)&lt;100000000,VALUE($C659),1000000000),IFERROR(IF(VALUE(MID($C659,2,20))&lt;100000000,VALUE(MID($C659,2,20)),1000000000),1000000000))+ROW()/100000,"")</f>
        <v/>
      </c>
    </row>
    <row r="660">
      <c r="J660" s="7" t="n"/>
      <c r="K660" s="7" t="n"/>
      <c r="R660" s="7">
        <f>IF($C660="","",Q660*AC660/100)</f>
        <v/>
      </c>
      <c r="S660" s="11" t="n"/>
      <c r="U660" s="11" t="n"/>
      <c r="AA660" s="7" t="n"/>
      <c r="AC660" s="7" t="n"/>
      <c r="AE660">
        <f>IF($C660="","",IF($AK660=1,Settings!$C$6,Settings!$C$7)*1)</f>
        <v/>
      </c>
      <c r="AF660" s="7">
        <f>IF($C660="","",AE660*AC660)</f>
        <v/>
      </c>
      <c r="AG660" s="7">
        <f>IF($C660="","",AC660-AF660)</f>
        <v/>
      </c>
      <c r="AH660" s="7">
        <f>IF($C660="","",AG660-R660)</f>
        <v/>
      </c>
      <c r="AI660">
        <f>IF($C660="","",IF(COUNTIF($C$2:$C660,$C660)=1,1,0))</f>
        <v/>
      </c>
      <c r="AJ660">
        <f>IF($AI660=1,SUMPRODUCT(--($AL$2:$AL$1501&lt;$AL660))+1,"")</f>
        <v/>
      </c>
      <c r="AK660">
        <f>IF($C660="","",IF(OR($AD660=TRUE(),$AD660="TRUE"),0,1))</f>
        <v/>
      </c>
      <c r="AL660">
        <f>IF($AI660=1,IFERROR(IF(VALUE($C660)&lt;100000000,VALUE($C660),1000000000),IFERROR(IF(VALUE(MID($C660,2,20))&lt;100000000,VALUE(MID($C660,2,20)),1000000000),1000000000))+ROW()/100000,"")</f>
        <v/>
      </c>
    </row>
    <row r="661">
      <c r="J661" s="7" t="n"/>
      <c r="K661" s="7" t="n"/>
      <c r="R661" s="7">
        <f>IF($C661="","",Q661*AC661/100)</f>
        <v/>
      </c>
      <c r="S661" s="11" t="n"/>
      <c r="U661" s="11" t="n"/>
      <c r="AA661" s="7" t="n"/>
      <c r="AC661" s="7" t="n"/>
      <c r="AE661">
        <f>IF($C661="","",IF($AK661=1,Settings!$C$6,Settings!$C$7)*1)</f>
        <v/>
      </c>
      <c r="AF661" s="7">
        <f>IF($C661="","",AE661*AC661)</f>
        <v/>
      </c>
      <c r="AG661" s="7">
        <f>IF($C661="","",AC661-AF661)</f>
        <v/>
      </c>
      <c r="AH661" s="7">
        <f>IF($C661="","",AG661-R661)</f>
        <v/>
      </c>
      <c r="AI661">
        <f>IF($C661="","",IF(COUNTIF($C$2:$C661,$C661)=1,1,0))</f>
        <v/>
      </c>
      <c r="AJ661">
        <f>IF($AI661=1,SUMPRODUCT(--($AL$2:$AL$1501&lt;$AL661))+1,"")</f>
        <v/>
      </c>
      <c r="AK661">
        <f>IF($C661="","",IF(OR($AD661=TRUE(),$AD661="TRUE"),0,1))</f>
        <v/>
      </c>
      <c r="AL661">
        <f>IF($AI661=1,IFERROR(IF(VALUE($C661)&lt;100000000,VALUE($C661),1000000000),IFERROR(IF(VALUE(MID($C661,2,20))&lt;100000000,VALUE(MID($C661,2,20)),1000000000),1000000000))+ROW()/100000,"")</f>
        <v/>
      </c>
    </row>
    <row r="662">
      <c r="J662" s="7" t="n"/>
      <c r="K662" s="7" t="n"/>
      <c r="R662" s="7">
        <f>IF($C662="","",Q662*AC662/100)</f>
        <v/>
      </c>
      <c r="S662" s="11" t="n"/>
      <c r="U662" s="11" t="n"/>
      <c r="AA662" s="7" t="n"/>
      <c r="AC662" s="7" t="n"/>
      <c r="AE662">
        <f>IF($C662="","",IF($AK662=1,Settings!$C$6,Settings!$C$7)*1)</f>
        <v/>
      </c>
      <c r="AF662" s="7">
        <f>IF($C662="","",AE662*AC662)</f>
        <v/>
      </c>
      <c r="AG662" s="7">
        <f>IF($C662="","",AC662-AF662)</f>
        <v/>
      </c>
      <c r="AH662" s="7">
        <f>IF($C662="","",AG662-R662)</f>
        <v/>
      </c>
      <c r="AI662">
        <f>IF($C662="","",IF(COUNTIF($C$2:$C662,$C662)=1,1,0))</f>
        <v/>
      </c>
      <c r="AJ662">
        <f>IF($AI662=1,SUMPRODUCT(--($AL$2:$AL$1501&lt;$AL662))+1,"")</f>
        <v/>
      </c>
      <c r="AK662">
        <f>IF($C662="","",IF(OR($AD662=TRUE(),$AD662="TRUE"),0,1))</f>
        <v/>
      </c>
      <c r="AL662">
        <f>IF($AI662=1,IFERROR(IF(VALUE($C662)&lt;100000000,VALUE($C662),1000000000),IFERROR(IF(VALUE(MID($C662,2,20))&lt;100000000,VALUE(MID($C662,2,20)),1000000000),1000000000))+ROW()/100000,"")</f>
        <v/>
      </c>
    </row>
    <row r="663">
      <c r="J663" s="7" t="n"/>
      <c r="K663" s="7" t="n"/>
      <c r="R663" s="7">
        <f>IF($C663="","",Q663*AC663/100)</f>
        <v/>
      </c>
      <c r="S663" s="11" t="n"/>
      <c r="U663" s="11" t="n"/>
      <c r="AA663" s="7" t="n"/>
      <c r="AC663" s="7" t="n"/>
      <c r="AE663">
        <f>IF($C663="","",IF($AK663=1,Settings!$C$6,Settings!$C$7)*1)</f>
        <v/>
      </c>
      <c r="AF663" s="7">
        <f>IF($C663="","",AE663*AC663)</f>
        <v/>
      </c>
      <c r="AG663" s="7">
        <f>IF($C663="","",AC663-AF663)</f>
        <v/>
      </c>
      <c r="AH663" s="7">
        <f>IF($C663="","",AG663-R663)</f>
        <v/>
      </c>
      <c r="AI663">
        <f>IF($C663="","",IF(COUNTIF($C$2:$C663,$C663)=1,1,0))</f>
        <v/>
      </c>
      <c r="AJ663">
        <f>IF($AI663=1,SUMPRODUCT(--($AL$2:$AL$1501&lt;$AL663))+1,"")</f>
        <v/>
      </c>
      <c r="AK663">
        <f>IF($C663="","",IF(OR($AD663=TRUE(),$AD663="TRUE"),0,1))</f>
        <v/>
      </c>
      <c r="AL663">
        <f>IF($AI663=1,IFERROR(IF(VALUE($C663)&lt;100000000,VALUE($C663),1000000000),IFERROR(IF(VALUE(MID($C663,2,20))&lt;100000000,VALUE(MID($C663,2,20)),1000000000),1000000000))+ROW()/100000,"")</f>
        <v/>
      </c>
    </row>
    <row r="664">
      <c r="J664" s="7" t="n"/>
      <c r="K664" s="7" t="n"/>
      <c r="R664" s="7">
        <f>IF($C664="","",Q664*AC664/100)</f>
        <v/>
      </c>
      <c r="S664" s="11" t="n"/>
      <c r="U664" s="11" t="n"/>
      <c r="AA664" s="7" t="n"/>
      <c r="AC664" s="7" t="n"/>
      <c r="AE664">
        <f>IF($C664="","",IF($AK664=1,Settings!$C$6,Settings!$C$7)*1)</f>
        <v/>
      </c>
      <c r="AF664" s="7">
        <f>IF($C664="","",AE664*AC664)</f>
        <v/>
      </c>
      <c r="AG664" s="7">
        <f>IF($C664="","",AC664-AF664)</f>
        <v/>
      </c>
      <c r="AH664" s="7">
        <f>IF($C664="","",AG664-R664)</f>
        <v/>
      </c>
      <c r="AI664">
        <f>IF($C664="","",IF(COUNTIF($C$2:$C664,$C664)=1,1,0))</f>
        <v/>
      </c>
      <c r="AJ664">
        <f>IF($AI664=1,SUMPRODUCT(--($AL$2:$AL$1501&lt;$AL664))+1,"")</f>
        <v/>
      </c>
      <c r="AK664">
        <f>IF($C664="","",IF(OR($AD664=TRUE(),$AD664="TRUE"),0,1))</f>
        <v/>
      </c>
      <c r="AL664">
        <f>IF($AI664=1,IFERROR(IF(VALUE($C664)&lt;100000000,VALUE($C664),1000000000),IFERROR(IF(VALUE(MID($C664,2,20))&lt;100000000,VALUE(MID($C664,2,20)),1000000000),1000000000))+ROW()/100000,"")</f>
        <v/>
      </c>
    </row>
    <row r="665">
      <c r="J665" s="7" t="n"/>
      <c r="K665" s="7" t="n"/>
      <c r="R665" s="7">
        <f>IF($C665="","",Q665*AC665/100)</f>
        <v/>
      </c>
      <c r="S665" s="11" t="n"/>
      <c r="U665" s="11" t="n"/>
      <c r="AA665" s="7" t="n"/>
      <c r="AC665" s="7" t="n"/>
      <c r="AE665">
        <f>IF($C665="","",IF($AK665=1,Settings!$C$6,Settings!$C$7)*1)</f>
        <v/>
      </c>
      <c r="AF665" s="7">
        <f>IF($C665="","",AE665*AC665)</f>
        <v/>
      </c>
      <c r="AG665" s="7">
        <f>IF($C665="","",AC665-AF665)</f>
        <v/>
      </c>
      <c r="AH665" s="7">
        <f>IF($C665="","",AG665-R665)</f>
        <v/>
      </c>
      <c r="AI665">
        <f>IF($C665="","",IF(COUNTIF($C$2:$C665,$C665)=1,1,0))</f>
        <v/>
      </c>
      <c r="AJ665">
        <f>IF($AI665=1,SUMPRODUCT(--($AL$2:$AL$1501&lt;$AL665))+1,"")</f>
        <v/>
      </c>
      <c r="AK665">
        <f>IF($C665="","",IF(OR($AD665=TRUE(),$AD665="TRUE"),0,1))</f>
        <v/>
      </c>
      <c r="AL665">
        <f>IF($AI665=1,IFERROR(IF(VALUE($C665)&lt;100000000,VALUE($C665),1000000000),IFERROR(IF(VALUE(MID($C665,2,20))&lt;100000000,VALUE(MID($C665,2,20)),1000000000),1000000000))+ROW()/100000,"")</f>
        <v/>
      </c>
    </row>
    <row r="666">
      <c r="J666" s="7" t="n"/>
      <c r="K666" s="7" t="n"/>
      <c r="R666" s="7">
        <f>IF($C666="","",Q666*AC666/100)</f>
        <v/>
      </c>
      <c r="S666" s="11" t="n"/>
      <c r="U666" s="11" t="n"/>
      <c r="AA666" s="7" t="n"/>
      <c r="AC666" s="7" t="n"/>
      <c r="AE666">
        <f>IF($C666="","",IF($AK666=1,Settings!$C$6,Settings!$C$7)*1)</f>
        <v/>
      </c>
      <c r="AF666" s="7">
        <f>IF($C666="","",AE666*AC666)</f>
        <v/>
      </c>
      <c r="AG666" s="7">
        <f>IF($C666="","",AC666-AF666)</f>
        <v/>
      </c>
      <c r="AH666" s="7">
        <f>IF($C666="","",AG666-R666)</f>
        <v/>
      </c>
      <c r="AI666">
        <f>IF($C666="","",IF(COUNTIF($C$2:$C666,$C666)=1,1,0))</f>
        <v/>
      </c>
      <c r="AJ666">
        <f>IF($AI666=1,SUMPRODUCT(--($AL$2:$AL$1501&lt;$AL666))+1,"")</f>
        <v/>
      </c>
      <c r="AK666">
        <f>IF($C666="","",IF(OR($AD666=TRUE(),$AD666="TRUE"),0,1))</f>
        <v/>
      </c>
      <c r="AL666">
        <f>IF($AI666=1,IFERROR(IF(VALUE($C666)&lt;100000000,VALUE($C666),1000000000),IFERROR(IF(VALUE(MID($C666,2,20))&lt;100000000,VALUE(MID($C666,2,20)),1000000000),1000000000))+ROW()/100000,"")</f>
        <v/>
      </c>
    </row>
    <row r="667">
      <c r="J667" s="7" t="n"/>
      <c r="K667" s="7" t="n"/>
      <c r="R667" s="7">
        <f>IF($C667="","",Q667*AC667/100)</f>
        <v/>
      </c>
      <c r="S667" s="11" t="n"/>
      <c r="U667" s="11" t="n"/>
      <c r="AA667" s="7" t="n"/>
      <c r="AC667" s="7" t="n"/>
      <c r="AE667">
        <f>IF($C667="","",IF($AK667=1,Settings!$C$6,Settings!$C$7)*1)</f>
        <v/>
      </c>
      <c r="AF667" s="7">
        <f>IF($C667="","",AE667*AC667)</f>
        <v/>
      </c>
      <c r="AG667" s="7">
        <f>IF($C667="","",AC667-AF667)</f>
        <v/>
      </c>
      <c r="AH667" s="7">
        <f>IF($C667="","",AG667-R667)</f>
        <v/>
      </c>
      <c r="AI667">
        <f>IF($C667="","",IF(COUNTIF($C$2:$C667,$C667)=1,1,0))</f>
        <v/>
      </c>
      <c r="AJ667">
        <f>IF($AI667=1,SUMPRODUCT(--($AL$2:$AL$1501&lt;$AL667))+1,"")</f>
        <v/>
      </c>
      <c r="AK667">
        <f>IF($C667="","",IF(OR($AD667=TRUE(),$AD667="TRUE"),0,1))</f>
        <v/>
      </c>
      <c r="AL667">
        <f>IF($AI667=1,IFERROR(IF(VALUE($C667)&lt;100000000,VALUE($C667),1000000000),IFERROR(IF(VALUE(MID($C667,2,20))&lt;100000000,VALUE(MID($C667,2,20)),1000000000),1000000000))+ROW()/100000,"")</f>
        <v/>
      </c>
    </row>
    <row r="668">
      <c r="J668" s="7" t="n"/>
      <c r="K668" s="7" t="n"/>
      <c r="R668" s="7">
        <f>IF($C668="","",Q668*AC668/100)</f>
        <v/>
      </c>
      <c r="S668" s="11" t="n"/>
      <c r="U668" s="11" t="n"/>
      <c r="AA668" s="7" t="n"/>
      <c r="AC668" s="7" t="n"/>
      <c r="AE668">
        <f>IF($C668="","",IF($AK668=1,Settings!$C$6,Settings!$C$7)*1)</f>
        <v/>
      </c>
      <c r="AF668" s="7">
        <f>IF($C668="","",AE668*AC668)</f>
        <v/>
      </c>
      <c r="AG668" s="7">
        <f>IF($C668="","",AC668-AF668)</f>
        <v/>
      </c>
      <c r="AH668" s="7">
        <f>IF($C668="","",AG668-R668)</f>
        <v/>
      </c>
      <c r="AI668">
        <f>IF($C668="","",IF(COUNTIF($C$2:$C668,$C668)=1,1,0))</f>
        <v/>
      </c>
      <c r="AJ668">
        <f>IF($AI668=1,SUMPRODUCT(--($AL$2:$AL$1501&lt;$AL668))+1,"")</f>
        <v/>
      </c>
      <c r="AK668">
        <f>IF($C668="","",IF(OR($AD668=TRUE(),$AD668="TRUE"),0,1))</f>
        <v/>
      </c>
      <c r="AL668">
        <f>IF($AI668=1,IFERROR(IF(VALUE($C668)&lt;100000000,VALUE($C668),1000000000),IFERROR(IF(VALUE(MID($C668,2,20))&lt;100000000,VALUE(MID($C668,2,20)),1000000000),1000000000))+ROW()/100000,"")</f>
        <v/>
      </c>
    </row>
    <row r="669">
      <c r="J669" s="7" t="n"/>
      <c r="K669" s="7" t="n"/>
      <c r="R669" s="7">
        <f>IF($C669="","",Q669*AC669/100)</f>
        <v/>
      </c>
      <c r="S669" s="11" t="n"/>
      <c r="U669" s="11" t="n"/>
      <c r="AA669" s="7" t="n"/>
      <c r="AC669" s="7" t="n"/>
      <c r="AE669">
        <f>IF($C669="","",IF($AK669=1,Settings!$C$6,Settings!$C$7)*1)</f>
        <v/>
      </c>
      <c r="AF669" s="7">
        <f>IF($C669="","",AE669*AC669)</f>
        <v/>
      </c>
      <c r="AG669" s="7">
        <f>IF($C669="","",AC669-AF669)</f>
        <v/>
      </c>
      <c r="AH669" s="7">
        <f>IF($C669="","",AG669-R669)</f>
        <v/>
      </c>
      <c r="AI669">
        <f>IF($C669="","",IF(COUNTIF($C$2:$C669,$C669)=1,1,0))</f>
        <v/>
      </c>
      <c r="AJ669">
        <f>IF($AI669=1,SUMPRODUCT(--($AL$2:$AL$1501&lt;$AL669))+1,"")</f>
        <v/>
      </c>
      <c r="AK669">
        <f>IF($C669="","",IF(OR($AD669=TRUE(),$AD669="TRUE"),0,1))</f>
        <v/>
      </c>
      <c r="AL669">
        <f>IF($AI669=1,IFERROR(IF(VALUE($C669)&lt;100000000,VALUE($C669),1000000000),IFERROR(IF(VALUE(MID($C669,2,20))&lt;100000000,VALUE(MID($C669,2,20)),1000000000),1000000000))+ROW()/100000,"")</f>
        <v/>
      </c>
    </row>
    <row r="670">
      <c r="J670" s="7" t="n"/>
      <c r="K670" s="7" t="n"/>
      <c r="R670" s="7">
        <f>IF($C670="","",Q670*AC670/100)</f>
        <v/>
      </c>
      <c r="S670" s="11" t="n"/>
      <c r="U670" s="11" t="n"/>
      <c r="AA670" s="7" t="n"/>
      <c r="AC670" s="7" t="n"/>
      <c r="AE670">
        <f>IF($C670="","",IF($AK670=1,Settings!$C$6,Settings!$C$7)*1)</f>
        <v/>
      </c>
      <c r="AF670" s="7">
        <f>IF($C670="","",AE670*AC670)</f>
        <v/>
      </c>
      <c r="AG670" s="7">
        <f>IF($C670="","",AC670-AF670)</f>
        <v/>
      </c>
      <c r="AH670" s="7">
        <f>IF($C670="","",AG670-R670)</f>
        <v/>
      </c>
      <c r="AI670">
        <f>IF($C670="","",IF(COUNTIF($C$2:$C670,$C670)=1,1,0))</f>
        <v/>
      </c>
      <c r="AJ670">
        <f>IF($AI670=1,SUMPRODUCT(--($AL$2:$AL$1501&lt;$AL670))+1,"")</f>
        <v/>
      </c>
      <c r="AK670">
        <f>IF($C670="","",IF(OR($AD670=TRUE(),$AD670="TRUE"),0,1))</f>
        <v/>
      </c>
      <c r="AL670">
        <f>IF($AI670=1,IFERROR(IF(VALUE($C670)&lt;100000000,VALUE($C670),1000000000),IFERROR(IF(VALUE(MID($C670,2,20))&lt;100000000,VALUE(MID($C670,2,20)),1000000000),1000000000))+ROW()/100000,"")</f>
        <v/>
      </c>
    </row>
    <row r="671">
      <c r="J671" s="7" t="n"/>
      <c r="K671" s="7" t="n"/>
      <c r="R671" s="7">
        <f>IF($C671="","",Q671*AC671/100)</f>
        <v/>
      </c>
      <c r="S671" s="11" t="n"/>
      <c r="U671" s="11" t="n"/>
      <c r="AA671" s="7" t="n"/>
      <c r="AC671" s="7" t="n"/>
      <c r="AE671">
        <f>IF($C671="","",IF($AK671=1,Settings!$C$6,Settings!$C$7)*1)</f>
        <v/>
      </c>
      <c r="AF671" s="7">
        <f>IF($C671="","",AE671*AC671)</f>
        <v/>
      </c>
      <c r="AG671" s="7">
        <f>IF($C671="","",AC671-AF671)</f>
        <v/>
      </c>
      <c r="AH671" s="7">
        <f>IF($C671="","",AG671-R671)</f>
        <v/>
      </c>
      <c r="AI671">
        <f>IF($C671="","",IF(COUNTIF($C$2:$C671,$C671)=1,1,0))</f>
        <v/>
      </c>
      <c r="AJ671">
        <f>IF($AI671=1,SUMPRODUCT(--($AL$2:$AL$1501&lt;$AL671))+1,"")</f>
        <v/>
      </c>
      <c r="AK671">
        <f>IF($C671="","",IF(OR($AD671=TRUE(),$AD671="TRUE"),0,1))</f>
        <v/>
      </c>
      <c r="AL671">
        <f>IF($AI671=1,IFERROR(IF(VALUE($C671)&lt;100000000,VALUE($C671),1000000000),IFERROR(IF(VALUE(MID($C671,2,20))&lt;100000000,VALUE(MID($C671,2,20)),1000000000),1000000000))+ROW()/100000,"")</f>
        <v/>
      </c>
    </row>
    <row r="672">
      <c r="J672" s="7" t="n"/>
      <c r="K672" s="7" t="n"/>
      <c r="R672" s="7">
        <f>IF($C672="","",Q672*AC672/100)</f>
        <v/>
      </c>
      <c r="S672" s="11" t="n"/>
      <c r="U672" s="11" t="n"/>
      <c r="AA672" s="7" t="n"/>
      <c r="AC672" s="7" t="n"/>
      <c r="AE672">
        <f>IF($C672="","",IF($AK672=1,Settings!$C$6,Settings!$C$7)*1)</f>
        <v/>
      </c>
      <c r="AF672" s="7">
        <f>IF($C672="","",AE672*AC672)</f>
        <v/>
      </c>
      <c r="AG672" s="7">
        <f>IF($C672="","",AC672-AF672)</f>
        <v/>
      </c>
      <c r="AH672" s="7">
        <f>IF($C672="","",AG672-R672)</f>
        <v/>
      </c>
      <c r="AI672">
        <f>IF($C672="","",IF(COUNTIF($C$2:$C672,$C672)=1,1,0))</f>
        <v/>
      </c>
      <c r="AJ672">
        <f>IF($AI672=1,SUMPRODUCT(--($AL$2:$AL$1501&lt;$AL672))+1,"")</f>
        <v/>
      </c>
      <c r="AK672">
        <f>IF($C672="","",IF(OR($AD672=TRUE(),$AD672="TRUE"),0,1))</f>
        <v/>
      </c>
      <c r="AL672">
        <f>IF($AI672=1,IFERROR(IF(VALUE($C672)&lt;100000000,VALUE($C672),1000000000),IFERROR(IF(VALUE(MID($C672,2,20))&lt;100000000,VALUE(MID($C672,2,20)),1000000000),1000000000))+ROW()/100000,"")</f>
        <v/>
      </c>
    </row>
    <row r="673">
      <c r="J673" s="7" t="n"/>
      <c r="K673" s="7" t="n"/>
      <c r="R673" s="7">
        <f>IF($C673="","",Q673*AC673/100)</f>
        <v/>
      </c>
      <c r="S673" s="11" t="n"/>
      <c r="U673" s="11" t="n"/>
      <c r="AA673" s="7" t="n"/>
      <c r="AC673" s="7" t="n"/>
      <c r="AE673">
        <f>IF($C673="","",IF($AK673=1,Settings!$C$6,Settings!$C$7)*1)</f>
        <v/>
      </c>
      <c r="AF673" s="7">
        <f>IF($C673="","",AE673*AC673)</f>
        <v/>
      </c>
      <c r="AG673" s="7">
        <f>IF($C673="","",AC673-AF673)</f>
        <v/>
      </c>
      <c r="AH673" s="7">
        <f>IF($C673="","",AG673-R673)</f>
        <v/>
      </c>
      <c r="AI673">
        <f>IF($C673="","",IF(COUNTIF($C$2:$C673,$C673)=1,1,0))</f>
        <v/>
      </c>
      <c r="AJ673">
        <f>IF($AI673=1,SUMPRODUCT(--($AL$2:$AL$1501&lt;$AL673))+1,"")</f>
        <v/>
      </c>
      <c r="AK673">
        <f>IF($C673="","",IF(OR($AD673=TRUE(),$AD673="TRUE"),0,1))</f>
        <v/>
      </c>
      <c r="AL673">
        <f>IF($AI673=1,IFERROR(IF(VALUE($C673)&lt;100000000,VALUE($C673),1000000000),IFERROR(IF(VALUE(MID($C673,2,20))&lt;100000000,VALUE(MID($C673,2,20)),1000000000),1000000000))+ROW()/100000,"")</f>
        <v/>
      </c>
    </row>
    <row r="674">
      <c r="J674" s="7" t="n"/>
      <c r="K674" s="7" t="n"/>
      <c r="R674" s="7">
        <f>IF($C674="","",Q674*AC674/100)</f>
        <v/>
      </c>
      <c r="S674" s="11" t="n"/>
      <c r="U674" s="11" t="n"/>
      <c r="AA674" s="7" t="n"/>
      <c r="AC674" s="7" t="n"/>
      <c r="AE674">
        <f>IF($C674="","",IF($AK674=1,Settings!$C$6,Settings!$C$7)*1)</f>
        <v/>
      </c>
      <c r="AF674" s="7">
        <f>IF($C674="","",AE674*AC674)</f>
        <v/>
      </c>
      <c r="AG674" s="7">
        <f>IF($C674="","",AC674-AF674)</f>
        <v/>
      </c>
      <c r="AH674" s="7">
        <f>IF($C674="","",AG674-R674)</f>
        <v/>
      </c>
      <c r="AI674">
        <f>IF($C674="","",IF(COUNTIF($C$2:$C674,$C674)=1,1,0))</f>
        <v/>
      </c>
      <c r="AJ674">
        <f>IF($AI674=1,SUMPRODUCT(--($AL$2:$AL$1501&lt;$AL674))+1,"")</f>
        <v/>
      </c>
      <c r="AK674">
        <f>IF($C674="","",IF(OR($AD674=TRUE(),$AD674="TRUE"),0,1))</f>
        <v/>
      </c>
      <c r="AL674">
        <f>IF($AI674=1,IFERROR(IF(VALUE($C674)&lt;100000000,VALUE($C674),1000000000),IFERROR(IF(VALUE(MID($C674,2,20))&lt;100000000,VALUE(MID($C674,2,20)),1000000000),1000000000))+ROW()/100000,"")</f>
        <v/>
      </c>
    </row>
    <row r="675">
      <c r="J675" s="7" t="n"/>
      <c r="K675" s="7" t="n"/>
      <c r="R675" s="7">
        <f>IF($C675="","",Q675*AC675/100)</f>
        <v/>
      </c>
      <c r="S675" s="11" t="n"/>
      <c r="U675" s="11" t="n"/>
      <c r="AA675" s="7" t="n"/>
      <c r="AC675" s="7" t="n"/>
      <c r="AE675">
        <f>IF($C675="","",IF($AK675=1,Settings!$C$6,Settings!$C$7)*1)</f>
        <v/>
      </c>
      <c r="AF675" s="7">
        <f>IF($C675="","",AE675*AC675)</f>
        <v/>
      </c>
      <c r="AG675" s="7">
        <f>IF($C675="","",AC675-AF675)</f>
        <v/>
      </c>
      <c r="AH675" s="7">
        <f>IF($C675="","",AG675-R675)</f>
        <v/>
      </c>
      <c r="AI675">
        <f>IF($C675="","",IF(COUNTIF($C$2:$C675,$C675)=1,1,0))</f>
        <v/>
      </c>
      <c r="AJ675">
        <f>IF($AI675=1,SUMPRODUCT(--($AL$2:$AL$1501&lt;$AL675))+1,"")</f>
        <v/>
      </c>
      <c r="AK675">
        <f>IF($C675="","",IF(OR($AD675=TRUE(),$AD675="TRUE"),0,1))</f>
        <v/>
      </c>
      <c r="AL675">
        <f>IF($AI675=1,IFERROR(IF(VALUE($C675)&lt;100000000,VALUE($C675),1000000000),IFERROR(IF(VALUE(MID($C675,2,20))&lt;100000000,VALUE(MID($C675,2,20)),1000000000),1000000000))+ROW()/100000,"")</f>
        <v/>
      </c>
    </row>
    <row r="676">
      <c r="J676" s="7" t="n"/>
      <c r="K676" s="7" t="n"/>
      <c r="R676" s="7">
        <f>IF($C676="","",Q676*AC676/100)</f>
        <v/>
      </c>
      <c r="S676" s="11" t="n"/>
      <c r="U676" s="11" t="n"/>
      <c r="AA676" s="7" t="n"/>
      <c r="AC676" s="7" t="n"/>
      <c r="AE676">
        <f>IF($C676="","",IF($AK676=1,Settings!$C$6,Settings!$C$7)*1)</f>
        <v/>
      </c>
      <c r="AF676" s="7">
        <f>IF($C676="","",AE676*AC676)</f>
        <v/>
      </c>
      <c r="AG676" s="7">
        <f>IF($C676="","",AC676-AF676)</f>
        <v/>
      </c>
      <c r="AH676" s="7">
        <f>IF($C676="","",AG676-R676)</f>
        <v/>
      </c>
      <c r="AI676">
        <f>IF($C676="","",IF(COUNTIF($C$2:$C676,$C676)=1,1,0))</f>
        <v/>
      </c>
      <c r="AJ676">
        <f>IF($AI676=1,SUMPRODUCT(--($AL$2:$AL$1501&lt;$AL676))+1,"")</f>
        <v/>
      </c>
      <c r="AK676">
        <f>IF($C676="","",IF(OR($AD676=TRUE(),$AD676="TRUE"),0,1))</f>
        <v/>
      </c>
      <c r="AL676">
        <f>IF($AI676=1,IFERROR(IF(VALUE($C676)&lt;100000000,VALUE($C676),1000000000),IFERROR(IF(VALUE(MID($C676,2,20))&lt;100000000,VALUE(MID($C676,2,20)),1000000000),1000000000))+ROW()/100000,"")</f>
        <v/>
      </c>
    </row>
    <row r="677">
      <c r="J677" s="7" t="n"/>
      <c r="K677" s="7" t="n"/>
      <c r="R677" s="7">
        <f>IF($C677="","",Q677*AC677/100)</f>
        <v/>
      </c>
      <c r="S677" s="11" t="n"/>
      <c r="U677" s="11" t="n"/>
      <c r="AA677" s="7" t="n"/>
      <c r="AC677" s="7" t="n"/>
      <c r="AE677">
        <f>IF($C677="","",IF($AK677=1,Settings!$C$6,Settings!$C$7)*1)</f>
        <v/>
      </c>
      <c r="AF677" s="7">
        <f>IF($C677="","",AE677*AC677)</f>
        <v/>
      </c>
      <c r="AG677" s="7">
        <f>IF($C677="","",AC677-AF677)</f>
        <v/>
      </c>
      <c r="AH677" s="7">
        <f>IF($C677="","",AG677-R677)</f>
        <v/>
      </c>
      <c r="AI677">
        <f>IF($C677="","",IF(COUNTIF($C$2:$C677,$C677)=1,1,0))</f>
        <v/>
      </c>
      <c r="AJ677">
        <f>IF($AI677=1,SUMPRODUCT(--($AL$2:$AL$1501&lt;$AL677))+1,"")</f>
        <v/>
      </c>
      <c r="AK677">
        <f>IF($C677="","",IF(OR($AD677=TRUE(),$AD677="TRUE"),0,1))</f>
        <v/>
      </c>
      <c r="AL677">
        <f>IF($AI677=1,IFERROR(IF(VALUE($C677)&lt;100000000,VALUE($C677),1000000000),IFERROR(IF(VALUE(MID($C677,2,20))&lt;100000000,VALUE(MID($C677,2,20)),1000000000),1000000000))+ROW()/100000,"")</f>
        <v/>
      </c>
    </row>
    <row r="678">
      <c r="J678" s="7" t="n"/>
      <c r="K678" s="7" t="n"/>
      <c r="R678" s="7">
        <f>IF($C678="","",Q678*AC678/100)</f>
        <v/>
      </c>
      <c r="S678" s="11" t="n"/>
      <c r="U678" s="11" t="n"/>
      <c r="AA678" s="7" t="n"/>
      <c r="AC678" s="7" t="n"/>
      <c r="AE678">
        <f>IF($C678="","",IF($AK678=1,Settings!$C$6,Settings!$C$7)*1)</f>
        <v/>
      </c>
      <c r="AF678" s="7">
        <f>IF($C678="","",AE678*AC678)</f>
        <v/>
      </c>
      <c r="AG678" s="7">
        <f>IF($C678="","",AC678-AF678)</f>
        <v/>
      </c>
      <c r="AH678" s="7">
        <f>IF($C678="","",AG678-R678)</f>
        <v/>
      </c>
      <c r="AI678">
        <f>IF($C678="","",IF(COUNTIF($C$2:$C678,$C678)=1,1,0))</f>
        <v/>
      </c>
      <c r="AJ678">
        <f>IF($AI678=1,SUMPRODUCT(--($AL$2:$AL$1501&lt;$AL678))+1,"")</f>
        <v/>
      </c>
      <c r="AK678">
        <f>IF($C678="","",IF(OR($AD678=TRUE(),$AD678="TRUE"),0,1))</f>
        <v/>
      </c>
      <c r="AL678">
        <f>IF($AI678=1,IFERROR(IF(VALUE($C678)&lt;100000000,VALUE($C678),1000000000),IFERROR(IF(VALUE(MID($C678,2,20))&lt;100000000,VALUE(MID($C678,2,20)),1000000000),1000000000))+ROW()/100000,"")</f>
        <v/>
      </c>
    </row>
    <row r="679">
      <c r="J679" s="7" t="n"/>
      <c r="K679" s="7" t="n"/>
      <c r="R679" s="7">
        <f>IF($C679="","",Q679*AC679/100)</f>
        <v/>
      </c>
      <c r="S679" s="11" t="n"/>
      <c r="U679" s="11" t="n"/>
      <c r="AA679" s="7" t="n"/>
      <c r="AC679" s="7" t="n"/>
      <c r="AE679">
        <f>IF($C679="","",IF($AK679=1,Settings!$C$6,Settings!$C$7)*1)</f>
        <v/>
      </c>
      <c r="AF679" s="7">
        <f>IF($C679="","",AE679*AC679)</f>
        <v/>
      </c>
      <c r="AG679" s="7">
        <f>IF($C679="","",AC679-AF679)</f>
        <v/>
      </c>
      <c r="AH679" s="7">
        <f>IF($C679="","",AG679-R679)</f>
        <v/>
      </c>
      <c r="AI679">
        <f>IF($C679="","",IF(COUNTIF($C$2:$C679,$C679)=1,1,0))</f>
        <v/>
      </c>
      <c r="AJ679">
        <f>IF($AI679=1,SUMPRODUCT(--($AL$2:$AL$1501&lt;$AL679))+1,"")</f>
        <v/>
      </c>
      <c r="AK679">
        <f>IF($C679="","",IF(OR($AD679=TRUE(),$AD679="TRUE"),0,1))</f>
        <v/>
      </c>
      <c r="AL679">
        <f>IF($AI679=1,IFERROR(IF(VALUE($C679)&lt;100000000,VALUE($C679),1000000000),IFERROR(IF(VALUE(MID($C679,2,20))&lt;100000000,VALUE(MID($C679,2,20)),1000000000),1000000000))+ROW()/100000,"")</f>
        <v/>
      </c>
    </row>
    <row r="680">
      <c r="J680" s="7" t="n"/>
      <c r="K680" s="7" t="n"/>
      <c r="R680" s="7">
        <f>IF($C680="","",Q680*AC680/100)</f>
        <v/>
      </c>
      <c r="S680" s="11" t="n"/>
      <c r="U680" s="11" t="n"/>
      <c r="AA680" s="7" t="n"/>
      <c r="AC680" s="7" t="n"/>
      <c r="AE680">
        <f>IF($C680="","",IF($AK680=1,Settings!$C$6,Settings!$C$7)*1)</f>
        <v/>
      </c>
      <c r="AF680" s="7">
        <f>IF($C680="","",AE680*AC680)</f>
        <v/>
      </c>
      <c r="AG680" s="7">
        <f>IF($C680="","",AC680-AF680)</f>
        <v/>
      </c>
      <c r="AH680" s="7">
        <f>IF($C680="","",AG680-R680)</f>
        <v/>
      </c>
      <c r="AI680">
        <f>IF($C680="","",IF(COUNTIF($C$2:$C680,$C680)=1,1,0))</f>
        <v/>
      </c>
      <c r="AJ680">
        <f>IF($AI680=1,SUMPRODUCT(--($AL$2:$AL$1501&lt;$AL680))+1,"")</f>
        <v/>
      </c>
      <c r="AK680">
        <f>IF($C680="","",IF(OR($AD680=TRUE(),$AD680="TRUE"),0,1))</f>
        <v/>
      </c>
      <c r="AL680">
        <f>IF($AI680=1,IFERROR(IF(VALUE($C680)&lt;100000000,VALUE($C680),1000000000),IFERROR(IF(VALUE(MID($C680,2,20))&lt;100000000,VALUE(MID($C680,2,20)),1000000000),1000000000))+ROW()/100000,"")</f>
        <v/>
      </c>
    </row>
    <row r="681">
      <c r="J681" s="7" t="n"/>
      <c r="K681" s="7" t="n"/>
      <c r="R681" s="7">
        <f>IF($C681="","",Q681*AC681/100)</f>
        <v/>
      </c>
      <c r="S681" s="11" t="n"/>
      <c r="U681" s="11" t="n"/>
      <c r="AA681" s="7" t="n"/>
      <c r="AC681" s="7" t="n"/>
      <c r="AE681">
        <f>IF($C681="","",IF($AK681=1,Settings!$C$6,Settings!$C$7)*1)</f>
        <v/>
      </c>
      <c r="AF681" s="7">
        <f>IF($C681="","",AE681*AC681)</f>
        <v/>
      </c>
      <c r="AG681" s="7">
        <f>IF($C681="","",AC681-AF681)</f>
        <v/>
      </c>
      <c r="AH681" s="7">
        <f>IF($C681="","",AG681-R681)</f>
        <v/>
      </c>
      <c r="AI681">
        <f>IF($C681="","",IF(COUNTIF($C$2:$C681,$C681)=1,1,0))</f>
        <v/>
      </c>
      <c r="AJ681">
        <f>IF($AI681=1,SUMPRODUCT(--($AL$2:$AL$1501&lt;$AL681))+1,"")</f>
        <v/>
      </c>
      <c r="AK681">
        <f>IF($C681="","",IF(OR($AD681=TRUE(),$AD681="TRUE"),0,1))</f>
        <v/>
      </c>
      <c r="AL681">
        <f>IF($AI681=1,IFERROR(IF(VALUE($C681)&lt;100000000,VALUE($C681),1000000000),IFERROR(IF(VALUE(MID($C681,2,20))&lt;100000000,VALUE(MID($C681,2,20)),1000000000),1000000000))+ROW()/100000,"")</f>
        <v/>
      </c>
    </row>
    <row r="682">
      <c r="J682" s="7" t="n"/>
      <c r="K682" s="7" t="n"/>
      <c r="R682" s="7">
        <f>IF($C682="","",Q682*AC682/100)</f>
        <v/>
      </c>
      <c r="S682" s="11" t="n"/>
      <c r="U682" s="11" t="n"/>
      <c r="AA682" s="7" t="n"/>
      <c r="AC682" s="7" t="n"/>
      <c r="AE682">
        <f>IF($C682="","",IF($AK682=1,Settings!$C$6,Settings!$C$7)*1)</f>
        <v/>
      </c>
      <c r="AF682" s="7">
        <f>IF($C682="","",AE682*AC682)</f>
        <v/>
      </c>
      <c r="AG682" s="7">
        <f>IF($C682="","",AC682-AF682)</f>
        <v/>
      </c>
      <c r="AH682" s="7">
        <f>IF($C682="","",AG682-R682)</f>
        <v/>
      </c>
      <c r="AI682">
        <f>IF($C682="","",IF(COUNTIF($C$2:$C682,$C682)=1,1,0))</f>
        <v/>
      </c>
      <c r="AJ682">
        <f>IF($AI682=1,SUMPRODUCT(--($AL$2:$AL$1501&lt;$AL682))+1,"")</f>
        <v/>
      </c>
      <c r="AK682">
        <f>IF($C682="","",IF(OR($AD682=TRUE(),$AD682="TRUE"),0,1))</f>
        <v/>
      </c>
      <c r="AL682">
        <f>IF($AI682=1,IFERROR(IF(VALUE($C682)&lt;100000000,VALUE($C682),1000000000),IFERROR(IF(VALUE(MID($C682,2,20))&lt;100000000,VALUE(MID($C682,2,20)),1000000000),1000000000))+ROW()/100000,"")</f>
        <v/>
      </c>
    </row>
    <row r="683">
      <c r="J683" s="7" t="n"/>
      <c r="K683" s="7" t="n"/>
      <c r="R683" s="7">
        <f>IF($C683="","",Q683*AC683/100)</f>
        <v/>
      </c>
      <c r="S683" s="11" t="n"/>
      <c r="U683" s="11" t="n"/>
      <c r="AA683" s="7" t="n"/>
      <c r="AC683" s="7" t="n"/>
      <c r="AE683">
        <f>IF($C683="","",IF($AK683=1,Settings!$C$6,Settings!$C$7)*1)</f>
        <v/>
      </c>
      <c r="AF683" s="7">
        <f>IF($C683="","",AE683*AC683)</f>
        <v/>
      </c>
      <c r="AG683" s="7">
        <f>IF($C683="","",AC683-AF683)</f>
        <v/>
      </c>
      <c r="AH683" s="7">
        <f>IF($C683="","",AG683-R683)</f>
        <v/>
      </c>
      <c r="AI683">
        <f>IF($C683="","",IF(COUNTIF($C$2:$C683,$C683)=1,1,0))</f>
        <v/>
      </c>
      <c r="AJ683">
        <f>IF($AI683=1,SUMPRODUCT(--($AL$2:$AL$1501&lt;$AL683))+1,"")</f>
        <v/>
      </c>
      <c r="AK683">
        <f>IF($C683="","",IF(OR($AD683=TRUE(),$AD683="TRUE"),0,1))</f>
        <v/>
      </c>
      <c r="AL683">
        <f>IF($AI683=1,IFERROR(IF(VALUE($C683)&lt;100000000,VALUE($C683),1000000000),IFERROR(IF(VALUE(MID($C683,2,20))&lt;100000000,VALUE(MID($C683,2,20)),1000000000),1000000000))+ROW()/100000,"")</f>
        <v/>
      </c>
    </row>
    <row r="684">
      <c r="J684" s="7" t="n"/>
      <c r="K684" s="7" t="n"/>
      <c r="R684" s="7">
        <f>IF($C684="","",Q684*AC684/100)</f>
        <v/>
      </c>
      <c r="S684" s="11" t="n"/>
      <c r="U684" s="11" t="n"/>
      <c r="AA684" s="7" t="n"/>
      <c r="AC684" s="7" t="n"/>
      <c r="AE684">
        <f>IF($C684="","",IF($AK684=1,Settings!$C$6,Settings!$C$7)*1)</f>
        <v/>
      </c>
      <c r="AF684" s="7">
        <f>IF($C684="","",AE684*AC684)</f>
        <v/>
      </c>
      <c r="AG684" s="7">
        <f>IF($C684="","",AC684-AF684)</f>
        <v/>
      </c>
      <c r="AH684" s="7">
        <f>IF($C684="","",AG684-R684)</f>
        <v/>
      </c>
      <c r="AI684">
        <f>IF($C684="","",IF(COUNTIF($C$2:$C684,$C684)=1,1,0))</f>
        <v/>
      </c>
      <c r="AJ684">
        <f>IF($AI684=1,SUMPRODUCT(--($AL$2:$AL$1501&lt;$AL684))+1,"")</f>
        <v/>
      </c>
      <c r="AK684">
        <f>IF($C684="","",IF(OR($AD684=TRUE(),$AD684="TRUE"),0,1))</f>
        <v/>
      </c>
      <c r="AL684">
        <f>IF($AI684=1,IFERROR(IF(VALUE($C684)&lt;100000000,VALUE($C684),1000000000),IFERROR(IF(VALUE(MID($C684,2,20))&lt;100000000,VALUE(MID($C684,2,20)),1000000000),1000000000))+ROW()/100000,"")</f>
        <v/>
      </c>
    </row>
    <row r="685">
      <c r="J685" s="7" t="n"/>
      <c r="K685" s="7" t="n"/>
      <c r="R685" s="7">
        <f>IF($C685="","",Q685*AC685/100)</f>
        <v/>
      </c>
      <c r="S685" s="11" t="n"/>
      <c r="U685" s="11" t="n"/>
      <c r="AA685" s="7" t="n"/>
      <c r="AC685" s="7" t="n"/>
      <c r="AE685">
        <f>IF($C685="","",IF($AK685=1,Settings!$C$6,Settings!$C$7)*1)</f>
        <v/>
      </c>
      <c r="AF685" s="7">
        <f>IF($C685="","",AE685*AC685)</f>
        <v/>
      </c>
      <c r="AG685" s="7">
        <f>IF($C685="","",AC685-AF685)</f>
        <v/>
      </c>
      <c r="AH685" s="7">
        <f>IF($C685="","",AG685-R685)</f>
        <v/>
      </c>
      <c r="AI685">
        <f>IF($C685="","",IF(COUNTIF($C$2:$C685,$C685)=1,1,0))</f>
        <v/>
      </c>
      <c r="AJ685">
        <f>IF($AI685=1,SUMPRODUCT(--($AL$2:$AL$1501&lt;$AL685))+1,"")</f>
        <v/>
      </c>
      <c r="AK685">
        <f>IF($C685="","",IF(OR($AD685=TRUE(),$AD685="TRUE"),0,1))</f>
        <v/>
      </c>
      <c r="AL685">
        <f>IF($AI685=1,IFERROR(IF(VALUE($C685)&lt;100000000,VALUE($C685),1000000000),IFERROR(IF(VALUE(MID($C685,2,20))&lt;100000000,VALUE(MID($C685,2,20)),1000000000),1000000000))+ROW()/100000,"")</f>
        <v/>
      </c>
    </row>
    <row r="686">
      <c r="J686" s="7" t="n"/>
      <c r="K686" s="7" t="n"/>
      <c r="R686" s="7">
        <f>IF($C686="","",Q686*AC686/100)</f>
        <v/>
      </c>
      <c r="S686" s="11" t="n"/>
      <c r="U686" s="11" t="n"/>
      <c r="AA686" s="7" t="n"/>
      <c r="AC686" s="7" t="n"/>
      <c r="AE686">
        <f>IF($C686="","",IF($AK686=1,Settings!$C$6,Settings!$C$7)*1)</f>
        <v/>
      </c>
      <c r="AF686" s="7">
        <f>IF($C686="","",AE686*AC686)</f>
        <v/>
      </c>
      <c r="AG686" s="7">
        <f>IF($C686="","",AC686-AF686)</f>
        <v/>
      </c>
      <c r="AH686" s="7">
        <f>IF($C686="","",AG686-R686)</f>
        <v/>
      </c>
      <c r="AI686">
        <f>IF($C686="","",IF(COUNTIF($C$2:$C686,$C686)=1,1,0))</f>
        <v/>
      </c>
      <c r="AJ686">
        <f>IF($AI686=1,SUMPRODUCT(--($AL$2:$AL$1501&lt;$AL686))+1,"")</f>
        <v/>
      </c>
      <c r="AK686">
        <f>IF($C686="","",IF(OR($AD686=TRUE(),$AD686="TRUE"),0,1))</f>
        <v/>
      </c>
      <c r="AL686">
        <f>IF($AI686=1,IFERROR(IF(VALUE($C686)&lt;100000000,VALUE($C686),1000000000),IFERROR(IF(VALUE(MID($C686,2,20))&lt;100000000,VALUE(MID($C686,2,20)),1000000000),1000000000))+ROW()/100000,"")</f>
        <v/>
      </c>
    </row>
    <row r="687">
      <c r="J687" s="7" t="n"/>
      <c r="K687" s="7" t="n"/>
      <c r="R687" s="7">
        <f>IF($C687="","",Q687*AC687/100)</f>
        <v/>
      </c>
      <c r="S687" s="11" t="n"/>
      <c r="U687" s="11" t="n"/>
      <c r="AA687" s="7" t="n"/>
      <c r="AC687" s="7" t="n"/>
      <c r="AE687">
        <f>IF($C687="","",IF($AK687=1,Settings!$C$6,Settings!$C$7)*1)</f>
        <v/>
      </c>
      <c r="AF687" s="7">
        <f>IF($C687="","",AE687*AC687)</f>
        <v/>
      </c>
      <c r="AG687" s="7">
        <f>IF($C687="","",AC687-AF687)</f>
        <v/>
      </c>
      <c r="AH687" s="7">
        <f>IF($C687="","",AG687-R687)</f>
        <v/>
      </c>
      <c r="AI687">
        <f>IF($C687="","",IF(COUNTIF($C$2:$C687,$C687)=1,1,0))</f>
        <v/>
      </c>
      <c r="AJ687">
        <f>IF($AI687=1,SUMPRODUCT(--($AL$2:$AL$1501&lt;$AL687))+1,"")</f>
        <v/>
      </c>
      <c r="AK687">
        <f>IF($C687="","",IF(OR($AD687=TRUE(),$AD687="TRUE"),0,1))</f>
        <v/>
      </c>
      <c r="AL687">
        <f>IF($AI687=1,IFERROR(IF(VALUE($C687)&lt;100000000,VALUE($C687),1000000000),IFERROR(IF(VALUE(MID($C687,2,20))&lt;100000000,VALUE(MID($C687,2,20)),1000000000),1000000000))+ROW()/100000,"")</f>
        <v/>
      </c>
    </row>
    <row r="688">
      <c r="J688" s="7" t="n"/>
      <c r="K688" s="7" t="n"/>
      <c r="R688" s="7">
        <f>IF($C688="","",Q688*AC688/100)</f>
        <v/>
      </c>
      <c r="S688" s="11" t="n"/>
      <c r="U688" s="11" t="n"/>
      <c r="AA688" s="7" t="n"/>
      <c r="AC688" s="7" t="n"/>
      <c r="AE688">
        <f>IF($C688="","",IF($AK688=1,Settings!$C$6,Settings!$C$7)*1)</f>
        <v/>
      </c>
      <c r="AF688" s="7">
        <f>IF($C688="","",AE688*AC688)</f>
        <v/>
      </c>
      <c r="AG688" s="7">
        <f>IF($C688="","",AC688-AF688)</f>
        <v/>
      </c>
      <c r="AH688" s="7">
        <f>IF($C688="","",AG688-R688)</f>
        <v/>
      </c>
      <c r="AI688">
        <f>IF($C688="","",IF(COUNTIF($C$2:$C688,$C688)=1,1,0))</f>
        <v/>
      </c>
      <c r="AJ688">
        <f>IF($AI688=1,SUMPRODUCT(--($AL$2:$AL$1501&lt;$AL688))+1,"")</f>
        <v/>
      </c>
      <c r="AK688">
        <f>IF($C688="","",IF(OR($AD688=TRUE(),$AD688="TRUE"),0,1))</f>
        <v/>
      </c>
      <c r="AL688">
        <f>IF($AI688=1,IFERROR(IF(VALUE($C688)&lt;100000000,VALUE($C688),1000000000),IFERROR(IF(VALUE(MID($C688,2,20))&lt;100000000,VALUE(MID($C688,2,20)),1000000000),1000000000))+ROW()/100000,"")</f>
        <v/>
      </c>
    </row>
    <row r="689">
      <c r="J689" s="7" t="n"/>
      <c r="K689" s="7" t="n"/>
      <c r="R689" s="7">
        <f>IF($C689="","",Q689*AC689/100)</f>
        <v/>
      </c>
      <c r="S689" s="11" t="n"/>
      <c r="U689" s="11" t="n"/>
      <c r="AA689" s="7" t="n"/>
      <c r="AC689" s="7" t="n"/>
      <c r="AE689">
        <f>IF($C689="","",IF($AK689=1,Settings!$C$6,Settings!$C$7)*1)</f>
        <v/>
      </c>
      <c r="AF689" s="7">
        <f>IF($C689="","",AE689*AC689)</f>
        <v/>
      </c>
      <c r="AG689" s="7">
        <f>IF($C689="","",AC689-AF689)</f>
        <v/>
      </c>
      <c r="AH689" s="7">
        <f>IF($C689="","",AG689-R689)</f>
        <v/>
      </c>
      <c r="AI689">
        <f>IF($C689="","",IF(COUNTIF($C$2:$C689,$C689)=1,1,0))</f>
        <v/>
      </c>
      <c r="AJ689">
        <f>IF($AI689=1,SUMPRODUCT(--($AL$2:$AL$1501&lt;$AL689))+1,"")</f>
        <v/>
      </c>
      <c r="AK689">
        <f>IF($C689="","",IF(OR($AD689=TRUE(),$AD689="TRUE"),0,1))</f>
        <v/>
      </c>
      <c r="AL689">
        <f>IF($AI689=1,IFERROR(IF(VALUE($C689)&lt;100000000,VALUE($C689),1000000000),IFERROR(IF(VALUE(MID($C689,2,20))&lt;100000000,VALUE(MID($C689,2,20)),1000000000),1000000000))+ROW()/100000,"")</f>
        <v/>
      </c>
    </row>
    <row r="690">
      <c r="J690" s="7" t="n"/>
      <c r="K690" s="7" t="n"/>
      <c r="R690" s="7">
        <f>IF($C690="","",Q690*AC690/100)</f>
        <v/>
      </c>
      <c r="S690" s="11" t="n"/>
      <c r="U690" s="11" t="n"/>
      <c r="AA690" s="7" t="n"/>
      <c r="AC690" s="7" t="n"/>
      <c r="AE690">
        <f>IF($C690="","",IF($AK690=1,Settings!$C$6,Settings!$C$7)*1)</f>
        <v/>
      </c>
      <c r="AF690" s="7">
        <f>IF($C690="","",AE690*AC690)</f>
        <v/>
      </c>
      <c r="AG690" s="7">
        <f>IF($C690="","",AC690-AF690)</f>
        <v/>
      </c>
      <c r="AH690" s="7">
        <f>IF($C690="","",AG690-R690)</f>
        <v/>
      </c>
      <c r="AI690">
        <f>IF($C690="","",IF(COUNTIF($C$2:$C690,$C690)=1,1,0))</f>
        <v/>
      </c>
      <c r="AJ690">
        <f>IF($AI690=1,SUMPRODUCT(--($AL$2:$AL$1501&lt;$AL690))+1,"")</f>
        <v/>
      </c>
      <c r="AK690">
        <f>IF($C690="","",IF(OR($AD690=TRUE(),$AD690="TRUE"),0,1))</f>
        <v/>
      </c>
      <c r="AL690">
        <f>IF($AI690=1,IFERROR(IF(VALUE($C690)&lt;100000000,VALUE($C690),1000000000),IFERROR(IF(VALUE(MID($C690,2,20))&lt;100000000,VALUE(MID($C690,2,20)),1000000000),1000000000))+ROW()/100000,"")</f>
        <v/>
      </c>
    </row>
    <row r="691">
      <c r="J691" s="7" t="n"/>
      <c r="K691" s="7" t="n"/>
      <c r="R691" s="7">
        <f>IF($C691="","",Q691*AC691/100)</f>
        <v/>
      </c>
      <c r="S691" s="11" t="n"/>
      <c r="U691" s="11" t="n"/>
      <c r="AA691" s="7" t="n"/>
      <c r="AC691" s="7" t="n"/>
      <c r="AE691">
        <f>IF($C691="","",IF($AK691=1,Settings!$C$6,Settings!$C$7)*1)</f>
        <v/>
      </c>
      <c r="AF691" s="7">
        <f>IF($C691="","",AE691*AC691)</f>
        <v/>
      </c>
      <c r="AG691" s="7">
        <f>IF($C691="","",AC691-AF691)</f>
        <v/>
      </c>
      <c r="AH691" s="7">
        <f>IF($C691="","",AG691-R691)</f>
        <v/>
      </c>
      <c r="AI691">
        <f>IF($C691="","",IF(COUNTIF($C$2:$C691,$C691)=1,1,0))</f>
        <v/>
      </c>
      <c r="AJ691">
        <f>IF($AI691=1,SUMPRODUCT(--($AL$2:$AL$1501&lt;$AL691))+1,"")</f>
        <v/>
      </c>
      <c r="AK691">
        <f>IF($C691="","",IF(OR($AD691=TRUE(),$AD691="TRUE"),0,1))</f>
        <v/>
      </c>
      <c r="AL691">
        <f>IF($AI691=1,IFERROR(IF(VALUE($C691)&lt;100000000,VALUE($C691),1000000000),IFERROR(IF(VALUE(MID($C691,2,20))&lt;100000000,VALUE(MID($C691,2,20)),1000000000),1000000000))+ROW()/100000,"")</f>
        <v/>
      </c>
    </row>
    <row r="692">
      <c r="J692" s="7" t="n"/>
      <c r="K692" s="7" t="n"/>
      <c r="R692" s="7">
        <f>IF($C692="","",Q692*AC692/100)</f>
        <v/>
      </c>
      <c r="S692" s="11" t="n"/>
      <c r="U692" s="11" t="n"/>
      <c r="AA692" s="7" t="n"/>
      <c r="AC692" s="7" t="n"/>
      <c r="AE692">
        <f>IF($C692="","",IF($AK692=1,Settings!$C$6,Settings!$C$7)*1)</f>
        <v/>
      </c>
      <c r="AF692" s="7">
        <f>IF($C692="","",AE692*AC692)</f>
        <v/>
      </c>
      <c r="AG692" s="7">
        <f>IF($C692="","",AC692-AF692)</f>
        <v/>
      </c>
      <c r="AH692" s="7">
        <f>IF($C692="","",AG692-R692)</f>
        <v/>
      </c>
      <c r="AI692">
        <f>IF($C692="","",IF(COUNTIF($C$2:$C692,$C692)=1,1,0))</f>
        <v/>
      </c>
      <c r="AJ692">
        <f>IF($AI692=1,SUMPRODUCT(--($AL$2:$AL$1501&lt;$AL692))+1,"")</f>
        <v/>
      </c>
      <c r="AK692">
        <f>IF($C692="","",IF(OR($AD692=TRUE(),$AD692="TRUE"),0,1))</f>
        <v/>
      </c>
      <c r="AL692">
        <f>IF($AI692=1,IFERROR(IF(VALUE($C692)&lt;100000000,VALUE($C692),1000000000),IFERROR(IF(VALUE(MID($C692,2,20))&lt;100000000,VALUE(MID($C692,2,20)),1000000000),1000000000))+ROW()/100000,"")</f>
        <v/>
      </c>
    </row>
    <row r="693">
      <c r="J693" s="7" t="n"/>
      <c r="K693" s="7" t="n"/>
      <c r="R693" s="7">
        <f>IF($C693="","",Q693*AC693/100)</f>
        <v/>
      </c>
      <c r="S693" s="11" t="n"/>
      <c r="U693" s="11" t="n"/>
      <c r="AA693" s="7" t="n"/>
      <c r="AC693" s="7" t="n"/>
      <c r="AE693">
        <f>IF($C693="","",IF($AK693=1,Settings!$C$6,Settings!$C$7)*1)</f>
        <v/>
      </c>
      <c r="AF693" s="7">
        <f>IF($C693="","",AE693*AC693)</f>
        <v/>
      </c>
      <c r="AG693" s="7">
        <f>IF($C693="","",AC693-AF693)</f>
        <v/>
      </c>
      <c r="AH693" s="7">
        <f>IF($C693="","",AG693-R693)</f>
        <v/>
      </c>
      <c r="AI693">
        <f>IF($C693="","",IF(COUNTIF($C$2:$C693,$C693)=1,1,0))</f>
        <v/>
      </c>
      <c r="AJ693">
        <f>IF($AI693=1,SUMPRODUCT(--($AL$2:$AL$1501&lt;$AL693))+1,"")</f>
        <v/>
      </c>
      <c r="AK693">
        <f>IF($C693="","",IF(OR($AD693=TRUE(),$AD693="TRUE"),0,1))</f>
        <v/>
      </c>
      <c r="AL693">
        <f>IF($AI693=1,IFERROR(IF(VALUE($C693)&lt;100000000,VALUE($C693),1000000000),IFERROR(IF(VALUE(MID($C693,2,20))&lt;100000000,VALUE(MID($C693,2,20)),1000000000),1000000000))+ROW()/100000,"")</f>
        <v/>
      </c>
    </row>
    <row r="694">
      <c r="J694" s="7" t="n"/>
      <c r="K694" s="7" t="n"/>
      <c r="R694" s="7">
        <f>IF($C694="","",Q694*AC694/100)</f>
        <v/>
      </c>
      <c r="S694" s="11" t="n"/>
      <c r="U694" s="11" t="n"/>
      <c r="AA694" s="7" t="n"/>
      <c r="AC694" s="7" t="n"/>
      <c r="AE694">
        <f>IF($C694="","",IF($AK694=1,Settings!$C$6,Settings!$C$7)*1)</f>
        <v/>
      </c>
      <c r="AF694" s="7">
        <f>IF($C694="","",AE694*AC694)</f>
        <v/>
      </c>
      <c r="AG694" s="7">
        <f>IF($C694="","",AC694-AF694)</f>
        <v/>
      </c>
      <c r="AH694" s="7">
        <f>IF($C694="","",AG694-R694)</f>
        <v/>
      </c>
      <c r="AI694">
        <f>IF($C694="","",IF(COUNTIF($C$2:$C694,$C694)=1,1,0))</f>
        <v/>
      </c>
      <c r="AJ694">
        <f>IF($AI694=1,SUMPRODUCT(--($AL$2:$AL$1501&lt;$AL694))+1,"")</f>
        <v/>
      </c>
      <c r="AK694">
        <f>IF($C694="","",IF(OR($AD694=TRUE(),$AD694="TRUE"),0,1))</f>
        <v/>
      </c>
      <c r="AL694">
        <f>IF($AI694=1,IFERROR(IF(VALUE($C694)&lt;100000000,VALUE($C694),1000000000),IFERROR(IF(VALUE(MID($C694,2,20))&lt;100000000,VALUE(MID($C694,2,20)),1000000000),1000000000))+ROW()/100000,"")</f>
        <v/>
      </c>
    </row>
    <row r="695">
      <c r="J695" s="7" t="n"/>
      <c r="K695" s="7" t="n"/>
      <c r="R695" s="7">
        <f>IF($C695="","",Q695*AC695/100)</f>
        <v/>
      </c>
      <c r="S695" s="11" t="n"/>
      <c r="U695" s="11" t="n"/>
      <c r="AA695" s="7" t="n"/>
      <c r="AC695" s="7" t="n"/>
      <c r="AE695">
        <f>IF($C695="","",IF($AK695=1,Settings!$C$6,Settings!$C$7)*1)</f>
        <v/>
      </c>
      <c r="AF695" s="7">
        <f>IF($C695="","",AE695*AC695)</f>
        <v/>
      </c>
      <c r="AG695" s="7">
        <f>IF($C695="","",AC695-AF695)</f>
        <v/>
      </c>
      <c r="AH695" s="7">
        <f>IF($C695="","",AG695-R695)</f>
        <v/>
      </c>
      <c r="AI695">
        <f>IF($C695="","",IF(COUNTIF($C$2:$C695,$C695)=1,1,0))</f>
        <v/>
      </c>
      <c r="AJ695">
        <f>IF($AI695=1,SUMPRODUCT(--($AL$2:$AL$1501&lt;$AL695))+1,"")</f>
        <v/>
      </c>
      <c r="AK695">
        <f>IF($C695="","",IF(OR($AD695=TRUE(),$AD695="TRUE"),0,1))</f>
        <v/>
      </c>
      <c r="AL695">
        <f>IF($AI695=1,IFERROR(IF(VALUE($C695)&lt;100000000,VALUE($C695),1000000000),IFERROR(IF(VALUE(MID($C695,2,20))&lt;100000000,VALUE(MID($C695,2,20)),1000000000),1000000000))+ROW()/100000,"")</f>
        <v/>
      </c>
    </row>
    <row r="696">
      <c r="J696" s="7" t="n"/>
      <c r="K696" s="7" t="n"/>
      <c r="R696" s="7">
        <f>IF($C696="","",Q696*AC696/100)</f>
        <v/>
      </c>
      <c r="S696" s="11" t="n"/>
      <c r="U696" s="11" t="n"/>
      <c r="AA696" s="7" t="n"/>
      <c r="AC696" s="7" t="n"/>
      <c r="AE696">
        <f>IF($C696="","",IF($AK696=1,Settings!$C$6,Settings!$C$7)*1)</f>
        <v/>
      </c>
      <c r="AF696" s="7">
        <f>IF($C696="","",AE696*AC696)</f>
        <v/>
      </c>
      <c r="AG696" s="7">
        <f>IF($C696="","",AC696-AF696)</f>
        <v/>
      </c>
      <c r="AH696" s="7">
        <f>IF($C696="","",AG696-R696)</f>
        <v/>
      </c>
      <c r="AI696">
        <f>IF($C696="","",IF(COUNTIF($C$2:$C696,$C696)=1,1,0))</f>
        <v/>
      </c>
      <c r="AJ696">
        <f>IF($AI696=1,SUMPRODUCT(--($AL$2:$AL$1501&lt;$AL696))+1,"")</f>
        <v/>
      </c>
      <c r="AK696">
        <f>IF($C696="","",IF(OR($AD696=TRUE(),$AD696="TRUE"),0,1))</f>
        <v/>
      </c>
      <c r="AL696">
        <f>IF($AI696=1,IFERROR(IF(VALUE($C696)&lt;100000000,VALUE($C696),1000000000),IFERROR(IF(VALUE(MID($C696,2,20))&lt;100000000,VALUE(MID($C696,2,20)),1000000000),1000000000))+ROW()/100000,"")</f>
        <v/>
      </c>
    </row>
    <row r="697">
      <c r="J697" s="7" t="n"/>
      <c r="K697" s="7" t="n"/>
      <c r="R697" s="7">
        <f>IF($C697="","",Q697*AC697/100)</f>
        <v/>
      </c>
      <c r="S697" s="11" t="n"/>
      <c r="U697" s="11" t="n"/>
      <c r="AA697" s="7" t="n"/>
      <c r="AC697" s="7" t="n"/>
      <c r="AE697">
        <f>IF($C697="","",IF($AK697=1,Settings!$C$6,Settings!$C$7)*1)</f>
        <v/>
      </c>
      <c r="AF697" s="7">
        <f>IF($C697="","",AE697*AC697)</f>
        <v/>
      </c>
      <c r="AG697" s="7">
        <f>IF($C697="","",AC697-AF697)</f>
        <v/>
      </c>
      <c r="AH697" s="7">
        <f>IF($C697="","",AG697-R697)</f>
        <v/>
      </c>
      <c r="AI697">
        <f>IF($C697="","",IF(COUNTIF($C$2:$C697,$C697)=1,1,0))</f>
        <v/>
      </c>
      <c r="AJ697">
        <f>IF($AI697=1,SUMPRODUCT(--($AL$2:$AL$1501&lt;$AL697))+1,"")</f>
        <v/>
      </c>
      <c r="AK697">
        <f>IF($C697="","",IF(OR($AD697=TRUE(),$AD697="TRUE"),0,1))</f>
        <v/>
      </c>
      <c r="AL697">
        <f>IF($AI697=1,IFERROR(IF(VALUE($C697)&lt;100000000,VALUE($C697),1000000000),IFERROR(IF(VALUE(MID($C697,2,20))&lt;100000000,VALUE(MID($C697,2,20)),1000000000),1000000000))+ROW()/100000,"")</f>
        <v/>
      </c>
    </row>
    <row r="698">
      <c r="J698" s="7" t="n"/>
      <c r="K698" s="7" t="n"/>
      <c r="R698" s="7">
        <f>IF($C698="","",Q698*AC698/100)</f>
        <v/>
      </c>
      <c r="S698" s="11" t="n"/>
      <c r="U698" s="11" t="n"/>
      <c r="AA698" s="7" t="n"/>
      <c r="AC698" s="7" t="n"/>
      <c r="AE698">
        <f>IF($C698="","",IF($AK698=1,Settings!$C$6,Settings!$C$7)*1)</f>
        <v/>
      </c>
      <c r="AF698" s="7">
        <f>IF($C698="","",AE698*AC698)</f>
        <v/>
      </c>
      <c r="AG698" s="7">
        <f>IF($C698="","",AC698-AF698)</f>
        <v/>
      </c>
      <c r="AH698" s="7">
        <f>IF($C698="","",AG698-R698)</f>
        <v/>
      </c>
      <c r="AI698">
        <f>IF($C698="","",IF(COUNTIF($C$2:$C698,$C698)=1,1,0))</f>
        <v/>
      </c>
      <c r="AJ698">
        <f>IF($AI698=1,SUMPRODUCT(--($AL$2:$AL$1501&lt;$AL698))+1,"")</f>
        <v/>
      </c>
      <c r="AK698">
        <f>IF($C698="","",IF(OR($AD698=TRUE(),$AD698="TRUE"),0,1))</f>
        <v/>
      </c>
      <c r="AL698">
        <f>IF($AI698=1,IFERROR(IF(VALUE($C698)&lt;100000000,VALUE($C698),1000000000),IFERROR(IF(VALUE(MID($C698,2,20))&lt;100000000,VALUE(MID($C698,2,20)),1000000000),1000000000))+ROW()/100000,"")</f>
        <v/>
      </c>
    </row>
    <row r="699">
      <c r="J699" s="7" t="n"/>
      <c r="K699" s="7" t="n"/>
      <c r="R699" s="7">
        <f>IF($C699="","",Q699*AC699/100)</f>
        <v/>
      </c>
      <c r="S699" s="11" t="n"/>
      <c r="U699" s="11" t="n"/>
      <c r="AA699" s="7" t="n"/>
      <c r="AC699" s="7" t="n"/>
      <c r="AE699">
        <f>IF($C699="","",IF($AK699=1,Settings!$C$6,Settings!$C$7)*1)</f>
        <v/>
      </c>
      <c r="AF699" s="7">
        <f>IF($C699="","",AE699*AC699)</f>
        <v/>
      </c>
      <c r="AG699" s="7">
        <f>IF($C699="","",AC699-AF699)</f>
        <v/>
      </c>
      <c r="AH699" s="7">
        <f>IF($C699="","",AG699-R699)</f>
        <v/>
      </c>
      <c r="AI699">
        <f>IF($C699="","",IF(COUNTIF($C$2:$C699,$C699)=1,1,0))</f>
        <v/>
      </c>
      <c r="AJ699">
        <f>IF($AI699=1,SUMPRODUCT(--($AL$2:$AL$1501&lt;$AL699))+1,"")</f>
        <v/>
      </c>
      <c r="AK699">
        <f>IF($C699="","",IF(OR($AD699=TRUE(),$AD699="TRUE"),0,1))</f>
        <v/>
      </c>
      <c r="AL699">
        <f>IF($AI699=1,IFERROR(IF(VALUE($C699)&lt;100000000,VALUE($C699),1000000000),IFERROR(IF(VALUE(MID($C699,2,20))&lt;100000000,VALUE(MID($C699,2,20)),1000000000),1000000000))+ROW()/100000,"")</f>
        <v/>
      </c>
    </row>
    <row r="700">
      <c r="J700" s="7" t="n"/>
      <c r="K700" s="7" t="n"/>
      <c r="R700" s="7">
        <f>IF($C700="","",Q700*AC700/100)</f>
        <v/>
      </c>
      <c r="S700" s="11" t="n"/>
      <c r="U700" s="11" t="n"/>
      <c r="AA700" s="7" t="n"/>
      <c r="AC700" s="7" t="n"/>
      <c r="AE700">
        <f>IF($C700="","",IF($AK700=1,Settings!$C$6,Settings!$C$7)*1)</f>
        <v/>
      </c>
      <c r="AF700" s="7">
        <f>IF($C700="","",AE700*AC700)</f>
        <v/>
      </c>
      <c r="AG700" s="7">
        <f>IF($C700="","",AC700-AF700)</f>
        <v/>
      </c>
      <c r="AH700" s="7">
        <f>IF($C700="","",AG700-R700)</f>
        <v/>
      </c>
      <c r="AI700">
        <f>IF($C700="","",IF(COUNTIF($C$2:$C700,$C700)=1,1,0))</f>
        <v/>
      </c>
      <c r="AJ700">
        <f>IF($AI700=1,SUMPRODUCT(--($AL$2:$AL$1501&lt;$AL700))+1,"")</f>
        <v/>
      </c>
      <c r="AK700">
        <f>IF($C700="","",IF(OR($AD700=TRUE(),$AD700="TRUE"),0,1))</f>
        <v/>
      </c>
      <c r="AL700">
        <f>IF($AI700=1,IFERROR(IF(VALUE($C700)&lt;100000000,VALUE($C700),1000000000),IFERROR(IF(VALUE(MID($C700,2,20))&lt;100000000,VALUE(MID($C700,2,20)),1000000000),1000000000))+ROW()/100000,"")</f>
        <v/>
      </c>
    </row>
    <row r="701">
      <c r="J701" s="7" t="n"/>
      <c r="K701" s="7" t="n"/>
      <c r="R701" s="7">
        <f>IF($C701="","",Q701*AC701/100)</f>
        <v/>
      </c>
      <c r="S701" s="11" t="n"/>
      <c r="U701" s="11" t="n"/>
      <c r="AA701" s="7" t="n"/>
      <c r="AC701" s="7" t="n"/>
      <c r="AE701">
        <f>IF($C701="","",IF($AK701=1,Settings!$C$6,Settings!$C$7)*1)</f>
        <v/>
      </c>
      <c r="AF701" s="7">
        <f>IF($C701="","",AE701*AC701)</f>
        <v/>
      </c>
      <c r="AG701" s="7">
        <f>IF($C701="","",AC701-AF701)</f>
        <v/>
      </c>
      <c r="AH701" s="7">
        <f>IF($C701="","",AG701-R701)</f>
        <v/>
      </c>
      <c r="AI701">
        <f>IF($C701="","",IF(COUNTIF($C$2:$C701,$C701)=1,1,0))</f>
        <v/>
      </c>
      <c r="AJ701">
        <f>IF($AI701=1,SUMPRODUCT(--($AL$2:$AL$1501&lt;$AL701))+1,"")</f>
        <v/>
      </c>
      <c r="AK701">
        <f>IF($C701="","",IF(OR($AD701=TRUE(),$AD701="TRUE"),0,1))</f>
        <v/>
      </c>
      <c r="AL701">
        <f>IF($AI701=1,IFERROR(IF(VALUE($C701)&lt;100000000,VALUE($C701),1000000000),IFERROR(IF(VALUE(MID($C701,2,20))&lt;100000000,VALUE(MID($C701,2,20)),1000000000),1000000000))+ROW()/100000,"")</f>
        <v/>
      </c>
    </row>
    <row r="702">
      <c r="J702" s="7" t="n"/>
      <c r="K702" s="7" t="n"/>
      <c r="R702" s="7">
        <f>IF($C702="","",Q702*AC702/100)</f>
        <v/>
      </c>
      <c r="S702" s="11" t="n"/>
      <c r="U702" s="11" t="n"/>
      <c r="AA702" s="7" t="n"/>
      <c r="AC702" s="7" t="n"/>
      <c r="AE702">
        <f>IF($C702="","",IF($AK702=1,Settings!$C$6,Settings!$C$7)*1)</f>
        <v/>
      </c>
      <c r="AF702" s="7">
        <f>IF($C702="","",AE702*AC702)</f>
        <v/>
      </c>
      <c r="AG702" s="7">
        <f>IF($C702="","",AC702-AF702)</f>
        <v/>
      </c>
      <c r="AH702" s="7">
        <f>IF($C702="","",AG702-R702)</f>
        <v/>
      </c>
      <c r="AI702">
        <f>IF($C702="","",IF(COUNTIF($C$2:$C702,$C702)=1,1,0))</f>
        <v/>
      </c>
      <c r="AJ702">
        <f>IF($AI702=1,SUMPRODUCT(--($AL$2:$AL$1501&lt;$AL702))+1,"")</f>
        <v/>
      </c>
      <c r="AK702">
        <f>IF($C702="","",IF(OR($AD702=TRUE(),$AD702="TRUE"),0,1))</f>
        <v/>
      </c>
      <c r="AL702">
        <f>IF($AI702=1,IFERROR(IF(VALUE($C702)&lt;100000000,VALUE($C702),1000000000),IFERROR(IF(VALUE(MID($C702,2,20))&lt;100000000,VALUE(MID($C702,2,20)),1000000000),1000000000))+ROW()/100000,"")</f>
        <v/>
      </c>
    </row>
    <row r="703">
      <c r="J703" s="7" t="n"/>
      <c r="K703" s="7" t="n"/>
      <c r="R703" s="7">
        <f>IF($C703="","",Q703*AC703/100)</f>
        <v/>
      </c>
      <c r="S703" s="11" t="n"/>
      <c r="U703" s="11" t="n"/>
      <c r="AA703" s="7" t="n"/>
      <c r="AC703" s="7" t="n"/>
      <c r="AE703">
        <f>IF($C703="","",IF($AK703=1,Settings!$C$6,Settings!$C$7)*1)</f>
        <v/>
      </c>
      <c r="AF703" s="7">
        <f>IF($C703="","",AE703*AC703)</f>
        <v/>
      </c>
      <c r="AG703" s="7">
        <f>IF($C703="","",AC703-AF703)</f>
        <v/>
      </c>
      <c r="AH703" s="7">
        <f>IF($C703="","",AG703-R703)</f>
        <v/>
      </c>
      <c r="AI703">
        <f>IF($C703="","",IF(COUNTIF($C$2:$C703,$C703)=1,1,0))</f>
        <v/>
      </c>
      <c r="AJ703">
        <f>IF($AI703=1,SUMPRODUCT(--($AL$2:$AL$1501&lt;$AL703))+1,"")</f>
        <v/>
      </c>
      <c r="AK703">
        <f>IF($C703="","",IF(OR($AD703=TRUE(),$AD703="TRUE"),0,1))</f>
        <v/>
      </c>
      <c r="AL703">
        <f>IF($AI703=1,IFERROR(IF(VALUE($C703)&lt;100000000,VALUE($C703),1000000000),IFERROR(IF(VALUE(MID($C703,2,20))&lt;100000000,VALUE(MID($C703,2,20)),1000000000),1000000000))+ROW()/100000,"")</f>
        <v/>
      </c>
    </row>
    <row r="704">
      <c r="J704" s="7" t="n"/>
      <c r="K704" s="7" t="n"/>
      <c r="R704" s="7">
        <f>IF($C704="","",Q704*AC704/100)</f>
        <v/>
      </c>
      <c r="S704" s="11" t="n"/>
      <c r="U704" s="11" t="n"/>
      <c r="AA704" s="7" t="n"/>
      <c r="AC704" s="7" t="n"/>
      <c r="AE704">
        <f>IF($C704="","",IF($AK704=1,Settings!$C$6,Settings!$C$7)*1)</f>
        <v/>
      </c>
      <c r="AF704" s="7">
        <f>IF($C704="","",AE704*AC704)</f>
        <v/>
      </c>
      <c r="AG704" s="7">
        <f>IF($C704="","",AC704-AF704)</f>
        <v/>
      </c>
      <c r="AH704" s="7">
        <f>IF($C704="","",AG704-R704)</f>
        <v/>
      </c>
      <c r="AI704">
        <f>IF($C704="","",IF(COUNTIF($C$2:$C704,$C704)=1,1,0))</f>
        <v/>
      </c>
      <c r="AJ704">
        <f>IF($AI704=1,SUMPRODUCT(--($AL$2:$AL$1501&lt;$AL704))+1,"")</f>
        <v/>
      </c>
      <c r="AK704">
        <f>IF($C704="","",IF(OR($AD704=TRUE(),$AD704="TRUE"),0,1))</f>
        <v/>
      </c>
      <c r="AL704">
        <f>IF($AI704=1,IFERROR(IF(VALUE($C704)&lt;100000000,VALUE($C704),1000000000),IFERROR(IF(VALUE(MID($C704,2,20))&lt;100000000,VALUE(MID($C704,2,20)),1000000000),1000000000))+ROW()/100000,"")</f>
        <v/>
      </c>
    </row>
    <row r="705">
      <c r="J705" s="7" t="n"/>
      <c r="K705" s="7" t="n"/>
      <c r="R705" s="7">
        <f>IF($C705="","",Q705*AC705/100)</f>
        <v/>
      </c>
      <c r="S705" s="11" t="n"/>
      <c r="U705" s="11" t="n"/>
      <c r="AA705" s="7" t="n"/>
      <c r="AC705" s="7" t="n"/>
      <c r="AE705">
        <f>IF($C705="","",IF($AK705=1,Settings!$C$6,Settings!$C$7)*1)</f>
        <v/>
      </c>
      <c r="AF705" s="7">
        <f>IF($C705="","",AE705*AC705)</f>
        <v/>
      </c>
      <c r="AG705" s="7">
        <f>IF($C705="","",AC705-AF705)</f>
        <v/>
      </c>
      <c r="AH705" s="7">
        <f>IF($C705="","",AG705-R705)</f>
        <v/>
      </c>
      <c r="AI705">
        <f>IF($C705="","",IF(COUNTIF($C$2:$C705,$C705)=1,1,0))</f>
        <v/>
      </c>
      <c r="AJ705">
        <f>IF($AI705=1,SUMPRODUCT(--($AL$2:$AL$1501&lt;$AL705))+1,"")</f>
        <v/>
      </c>
      <c r="AK705">
        <f>IF($C705="","",IF(OR($AD705=TRUE(),$AD705="TRUE"),0,1))</f>
        <v/>
      </c>
      <c r="AL705">
        <f>IF($AI705=1,IFERROR(IF(VALUE($C705)&lt;100000000,VALUE($C705),1000000000),IFERROR(IF(VALUE(MID($C705,2,20))&lt;100000000,VALUE(MID($C705,2,20)),1000000000),1000000000))+ROW()/100000,"")</f>
        <v/>
      </c>
    </row>
    <row r="706">
      <c r="J706" s="7" t="n"/>
      <c r="K706" s="7" t="n"/>
      <c r="R706" s="7">
        <f>IF($C706="","",Q706*AC706/100)</f>
        <v/>
      </c>
      <c r="S706" s="11" t="n"/>
      <c r="U706" s="11" t="n"/>
      <c r="AA706" s="7" t="n"/>
      <c r="AC706" s="7" t="n"/>
      <c r="AE706">
        <f>IF($C706="","",IF($AK706=1,Settings!$C$6,Settings!$C$7)*1)</f>
        <v/>
      </c>
      <c r="AF706" s="7">
        <f>IF($C706="","",AE706*AC706)</f>
        <v/>
      </c>
      <c r="AG706" s="7">
        <f>IF($C706="","",AC706-AF706)</f>
        <v/>
      </c>
      <c r="AH706" s="7">
        <f>IF($C706="","",AG706-R706)</f>
        <v/>
      </c>
      <c r="AI706">
        <f>IF($C706="","",IF(COUNTIF($C$2:$C706,$C706)=1,1,0))</f>
        <v/>
      </c>
      <c r="AJ706">
        <f>IF($AI706=1,SUMPRODUCT(--($AL$2:$AL$1501&lt;$AL706))+1,"")</f>
        <v/>
      </c>
      <c r="AK706">
        <f>IF($C706="","",IF(OR($AD706=TRUE(),$AD706="TRUE"),0,1))</f>
        <v/>
      </c>
      <c r="AL706">
        <f>IF($AI706=1,IFERROR(IF(VALUE($C706)&lt;100000000,VALUE($C706),1000000000),IFERROR(IF(VALUE(MID($C706,2,20))&lt;100000000,VALUE(MID($C706,2,20)),1000000000),1000000000))+ROW()/100000,"")</f>
        <v/>
      </c>
    </row>
    <row r="707">
      <c r="J707" s="7" t="n"/>
      <c r="K707" s="7" t="n"/>
      <c r="R707" s="7">
        <f>IF($C707="","",Q707*AC707/100)</f>
        <v/>
      </c>
      <c r="S707" s="11" t="n"/>
      <c r="U707" s="11" t="n"/>
      <c r="AA707" s="7" t="n"/>
      <c r="AC707" s="7" t="n"/>
      <c r="AE707">
        <f>IF($C707="","",IF($AK707=1,Settings!$C$6,Settings!$C$7)*1)</f>
        <v/>
      </c>
      <c r="AF707" s="7">
        <f>IF($C707="","",AE707*AC707)</f>
        <v/>
      </c>
      <c r="AG707" s="7">
        <f>IF($C707="","",AC707-AF707)</f>
        <v/>
      </c>
      <c r="AH707" s="7">
        <f>IF($C707="","",AG707-R707)</f>
        <v/>
      </c>
      <c r="AI707">
        <f>IF($C707="","",IF(COUNTIF($C$2:$C707,$C707)=1,1,0))</f>
        <v/>
      </c>
      <c r="AJ707">
        <f>IF($AI707=1,SUMPRODUCT(--($AL$2:$AL$1501&lt;$AL707))+1,"")</f>
        <v/>
      </c>
      <c r="AK707">
        <f>IF($C707="","",IF(OR($AD707=TRUE(),$AD707="TRUE"),0,1))</f>
        <v/>
      </c>
      <c r="AL707">
        <f>IF($AI707=1,IFERROR(IF(VALUE($C707)&lt;100000000,VALUE($C707),1000000000),IFERROR(IF(VALUE(MID($C707,2,20))&lt;100000000,VALUE(MID($C707,2,20)),1000000000),1000000000))+ROW()/100000,"")</f>
        <v/>
      </c>
    </row>
    <row r="708">
      <c r="J708" s="7" t="n"/>
      <c r="K708" s="7" t="n"/>
      <c r="R708" s="7">
        <f>IF($C708="","",Q708*AC708/100)</f>
        <v/>
      </c>
      <c r="S708" s="11" t="n"/>
      <c r="U708" s="11" t="n"/>
      <c r="AA708" s="7" t="n"/>
      <c r="AC708" s="7" t="n"/>
      <c r="AE708">
        <f>IF($C708="","",IF($AK708=1,Settings!$C$6,Settings!$C$7)*1)</f>
        <v/>
      </c>
      <c r="AF708" s="7">
        <f>IF($C708="","",AE708*AC708)</f>
        <v/>
      </c>
      <c r="AG708" s="7">
        <f>IF($C708="","",AC708-AF708)</f>
        <v/>
      </c>
      <c r="AH708" s="7">
        <f>IF($C708="","",AG708-R708)</f>
        <v/>
      </c>
      <c r="AI708">
        <f>IF($C708="","",IF(COUNTIF($C$2:$C708,$C708)=1,1,0))</f>
        <v/>
      </c>
      <c r="AJ708">
        <f>IF($AI708=1,SUMPRODUCT(--($AL$2:$AL$1501&lt;$AL708))+1,"")</f>
        <v/>
      </c>
      <c r="AK708">
        <f>IF($C708="","",IF(OR($AD708=TRUE(),$AD708="TRUE"),0,1))</f>
        <v/>
      </c>
      <c r="AL708">
        <f>IF($AI708=1,IFERROR(IF(VALUE($C708)&lt;100000000,VALUE($C708),1000000000),IFERROR(IF(VALUE(MID($C708,2,20))&lt;100000000,VALUE(MID($C708,2,20)),1000000000),1000000000))+ROW()/100000,"")</f>
        <v/>
      </c>
    </row>
    <row r="709">
      <c r="J709" s="7" t="n"/>
      <c r="K709" s="7" t="n"/>
      <c r="R709" s="7">
        <f>IF($C709="","",Q709*AC709/100)</f>
        <v/>
      </c>
      <c r="S709" s="11" t="n"/>
      <c r="U709" s="11" t="n"/>
      <c r="AA709" s="7" t="n"/>
      <c r="AC709" s="7" t="n"/>
      <c r="AE709">
        <f>IF($C709="","",IF($AK709=1,Settings!$C$6,Settings!$C$7)*1)</f>
        <v/>
      </c>
      <c r="AF709" s="7">
        <f>IF($C709="","",AE709*AC709)</f>
        <v/>
      </c>
      <c r="AG709" s="7">
        <f>IF($C709="","",AC709-AF709)</f>
        <v/>
      </c>
      <c r="AH709" s="7">
        <f>IF($C709="","",AG709-R709)</f>
        <v/>
      </c>
      <c r="AI709">
        <f>IF($C709="","",IF(COUNTIF($C$2:$C709,$C709)=1,1,0))</f>
        <v/>
      </c>
      <c r="AJ709">
        <f>IF($AI709=1,SUMPRODUCT(--($AL$2:$AL$1501&lt;$AL709))+1,"")</f>
        <v/>
      </c>
      <c r="AK709">
        <f>IF($C709="","",IF(OR($AD709=TRUE(),$AD709="TRUE"),0,1))</f>
        <v/>
      </c>
      <c r="AL709">
        <f>IF($AI709=1,IFERROR(IF(VALUE($C709)&lt;100000000,VALUE($C709),1000000000),IFERROR(IF(VALUE(MID($C709,2,20))&lt;100000000,VALUE(MID($C709,2,20)),1000000000),1000000000))+ROW()/100000,"")</f>
        <v/>
      </c>
    </row>
    <row r="710">
      <c r="J710" s="7" t="n"/>
      <c r="K710" s="7" t="n"/>
      <c r="R710" s="7">
        <f>IF($C710="","",Q710*AC710/100)</f>
        <v/>
      </c>
      <c r="S710" s="11" t="n"/>
      <c r="U710" s="11" t="n"/>
      <c r="AA710" s="7" t="n"/>
      <c r="AC710" s="7" t="n"/>
      <c r="AE710">
        <f>IF($C710="","",IF($AK710=1,Settings!$C$6,Settings!$C$7)*1)</f>
        <v/>
      </c>
      <c r="AF710" s="7">
        <f>IF($C710="","",AE710*AC710)</f>
        <v/>
      </c>
      <c r="AG710" s="7">
        <f>IF($C710="","",AC710-AF710)</f>
        <v/>
      </c>
      <c r="AH710" s="7">
        <f>IF($C710="","",AG710-R710)</f>
        <v/>
      </c>
      <c r="AI710">
        <f>IF($C710="","",IF(COUNTIF($C$2:$C710,$C710)=1,1,0))</f>
        <v/>
      </c>
      <c r="AJ710">
        <f>IF($AI710=1,SUMPRODUCT(--($AL$2:$AL$1501&lt;$AL710))+1,"")</f>
        <v/>
      </c>
      <c r="AK710">
        <f>IF($C710="","",IF(OR($AD710=TRUE(),$AD710="TRUE"),0,1))</f>
        <v/>
      </c>
      <c r="AL710">
        <f>IF($AI710=1,IFERROR(IF(VALUE($C710)&lt;100000000,VALUE($C710),1000000000),IFERROR(IF(VALUE(MID($C710,2,20))&lt;100000000,VALUE(MID($C710,2,20)),1000000000),1000000000))+ROW()/100000,"")</f>
        <v/>
      </c>
    </row>
    <row r="711">
      <c r="J711" s="7" t="n"/>
      <c r="K711" s="7" t="n"/>
      <c r="R711" s="7">
        <f>IF($C711="","",Q711*AC711/100)</f>
        <v/>
      </c>
      <c r="S711" s="11" t="n"/>
      <c r="U711" s="11" t="n"/>
      <c r="AA711" s="7" t="n"/>
      <c r="AC711" s="7" t="n"/>
      <c r="AE711">
        <f>IF($C711="","",IF($AK711=1,Settings!$C$6,Settings!$C$7)*1)</f>
        <v/>
      </c>
      <c r="AF711" s="7">
        <f>IF($C711="","",AE711*AC711)</f>
        <v/>
      </c>
      <c r="AG711" s="7">
        <f>IF($C711="","",AC711-AF711)</f>
        <v/>
      </c>
      <c r="AH711" s="7">
        <f>IF($C711="","",AG711-R711)</f>
        <v/>
      </c>
      <c r="AI711">
        <f>IF($C711="","",IF(COUNTIF($C$2:$C711,$C711)=1,1,0))</f>
        <v/>
      </c>
      <c r="AJ711">
        <f>IF($AI711=1,SUMPRODUCT(--($AL$2:$AL$1501&lt;$AL711))+1,"")</f>
        <v/>
      </c>
      <c r="AK711">
        <f>IF($C711="","",IF(OR($AD711=TRUE(),$AD711="TRUE"),0,1))</f>
        <v/>
      </c>
      <c r="AL711">
        <f>IF($AI711=1,IFERROR(IF(VALUE($C711)&lt;100000000,VALUE($C711),1000000000),IFERROR(IF(VALUE(MID($C711,2,20))&lt;100000000,VALUE(MID($C711,2,20)),1000000000),1000000000))+ROW()/100000,"")</f>
        <v/>
      </c>
    </row>
    <row r="712">
      <c r="J712" s="7" t="n"/>
      <c r="K712" s="7" t="n"/>
      <c r="R712" s="7">
        <f>IF($C712="","",Q712*AC712/100)</f>
        <v/>
      </c>
      <c r="S712" s="11" t="n"/>
      <c r="U712" s="11" t="n"/>
      <c r="AA712" s="7" t="n"/>
      <c r="AC712" s="7" t="n"/>
      <c r="AE712">
        <f>IF($C712="","",IF($AK712=1,Settings!$C$6,Settings!$C$7)*1)</f>
        <v/>
      </c>
      <c r="AF712" s="7">
        <f>IF($C712="","",AE712*AC712)</f>
        <v/>
      </c>
      <c r="AG712" s="7">
        <f>IF($C712="","",AC712-AF712)</f>
        <v/>
      </c>
      <c r="AH712" s="7">
        <f>IF($C712="","",AG712-R712)</f>
        <v/>
      </c>
      <c r="AI712">
        <f>IF($C712="","",IF(COUNTIF($C$2:$C712,$C712)=1,1,0))</f>
        <v/>
      </c>
      <c r="AJ712">
        <f>IF($AI712=1,SUMPRODUCT(--($AL$2:$AL$1501&lt;$AL712))+1,"")</f>
        <v/>
      </c>
      <c r="AK712">
        <f>IF($C712="","",IF(OR($AD712=TRUE(),$AD712="TRUE"),0,1))</f>
        <v/>
      </c>
      <c r="AL712">
        <f>IF($AI712=1,IFERROR(IF(VALUE($C712)&lt;100000000,VALUE($C712),1000000000),IFERROR(IF(VALUE(MID($C712,2,20))&lt;100000000,VALUE(MID($C712,2,20)),1000000000),1000000000))+ROW()/100000,"")</f>
        <v/>
      </c>
    </row>
    <row r="713">
      <c r="J713" s="7" t="n"/>
      <c r="K713" s="7" t="n"/>
      <c r="R713" s="7">
        <f>IF($C713="","",Q713*AC713/100)</f>
        <v/>
      </c>
      <c r="S713" s="11" t="n"/>
      <c r="U713" s="11" t="n"/>
      <c r="AA713" s="7" t="n"/>
      <c r="AC713" s="7" t="n"/>
      <c r="AE713">
        <f>IF($C713="","",IF($AK713=1,Settings!$C$6,Settings!$C$7)*1)</f>
        <v/>
      </c>
      <c r="AF713" s="7">
        <f>IF($C713="","",AE713*AC713)</f>
        <v/>
      </c>
      <c r="AG713" s="7">
        <f>IF($C713="","",AC713-AF713)</f>
        <v/>
      </c>
      <c r="AH713" s="7">
        <f>IF($C713="","",AG713-R713)</f>
        <v/>
      </c>
      <c r="AI713">
        <f>IF($C713="","",IF(COUNTIF($C$2:$C713,$C713)=1,1,0))</f>
        <v/>
      </c>
      <c r="AJ713">
        <f>IF($AI713=1,SUMPRODUCT(--($AL$2:$AL$1501&lt;$AL713))+1,"")</f>
        <v/>
      </c>
      <c r="AK713">
        <f>IF($C713="","",IF(OR($AD713=TRUE(),$AD713="TRUE"),0,1))</f>
        <v/>
      </c>
      <c r="AL713">
        <f>IF($AI713=1,IFERROR(IF(VALUE($C713)&lt;100000000,VALUE($C713),1000000000),IFERROR(IF(VALUE(MID($C713,2,20))&lt;100000000,VALUE(MID($C713,2,20)),1000000000),1000000000))+ROW()/100000,"")</f>
        <v/>
      </c>
    </row>
    <row r="714">
      <c r="J714" s="7" t="n"/>
      <c r="K714" s="7" t="n"/>
      <c r="R714" s="7">
        <f>IF($C714="","",Q714*AC714/100)</f>
        <v/>
      </c>
      <c r="S714" s="11" t="n"/>
      <c r="U714" s="11" t="n"/>
      <c r="AA714" s="7" t="n"/>
      <c r="AC714" s="7" t="n"/>
      <c r="AE714">
        <f>IF($C714="","",IF($AK714=1,Settings!$C$6,Settings!$C$7)*1)</f>
        <v/>
      </c>
      <c r="AF714" s="7">
        <f>IF($C714="","",AE714*AC714)</f>
        <v/>
      </c>
      <c r="AG714" s="7">
        <f>IF($C714="","",AC714-AF714)</f>
        <v/>
      </c>
      <c r="AH714" s="7">
        <f>IF($C714="","",AG714-R714)</f>
        <v/>
      </c>
      <c r="AI714">
        <f>IF($C714="","",IF(COUNTIF($C$2:$C714,$C714)=1,1,0))</f>
        <v/>
      </c>
      <c r="AJ714">
        <f>IF($AI714=1,SUMPRODUCT(--($AL$2:$AL$1501&lt;$AL714))+1,"")</f>
        <v/>
      </c>
      <c r="AK714">
        <f>IF($C714="","",IF(OR($AD714=TRUE(),$AD714="TRUE"),0,1))</f>
        <v/>
      </c>
      <c r="AL714">
        <f>IF($AI714=1,IFERROR(IF(VALUE($C714)&lt;100000000,VALUE($C714),1000000000),IFERROR(IF(VALUE(MID($C714,2,20))&lt;100000000,VALUE(MID($C714,2,20)),1000000000),1000000000))+ROW()/100000,"")</f>
        <v/>
      </c>
    </row>
    <row r="715">
      <c r="J715" s="7" t="n"/>
      <c r="K715" s="7" t="n"/>
      <c r="R715" s="7">
        <f>IF($C715="","",Q715*AC715/100)</f>
        <v/>
      </c>
      <c r="S715" s="11" t="n"/>
      <c r="U715" s="11" t="n"/>
      <c r="AA715" s="7" t="n"/>
      <c r="AC715" s="7" t="n"/>
      <c r="AE715">
        <f>IF($C715="","",IF($AK715=1,Settings!$C$6,Settings!$C$7)*1)</f>
        <v/>
      </c>
      <c r="AF715" s="7">
        <f>IF($C715="","",AE715*AC715)</f>
        <v/>
      </c>
      <c r="AG715" s="7">
        <f>IF($C715="","",AC715-AF715)</f>
        <v/>
      </c>
      <c r="AH715" s="7">
        <f>IF($C715="","",AG715-R715)</f>
        <v/>
      </c>
      <c r="AI715">
        <f>IF($C715="","",IF(COUNTIF($C$2:$C715,$C715)=1,1,0))</f>
        <v/>
      </c>
      <c r="AJ715">
        <f>IF($AI715=1,SUMPRODUCT(--($AL$2:$AL$1501&lt;$AL715))+1,"")</f>
        <v/>
      </c>
      <c r="AK715">
        <f>IF($C715="","",IF(OR($AD715=TRUE(),$AD715="TRUE"),0,1))</f>
        <v/>
      </c>
      <c r="AL715">
        <f>IF($AI715=1,IFERROR(IF(VALUE($C715)&lt;100000000,VALUE($C715),1000000000),IFERROR(IF(VALUE(MID($C715,2,20))&lt;100000000,VALUE(MID($C715,2,20)),1000000000),1000000000))+ROW()/100000,"")</f>
        <v/>
      </c>
    </row>
    <row r="716">
      <c r="J716" s="7" t="n"/>
      <c r="K716" s="7" t="n"/>
      <c r="R716" s="7">
        <f>IF($C716="","",Q716*AC716/100)</f>
        <v/>
      </c>
      <c r="S716" s="11" t="n"/>
      <c r="U716" s="11" t="n"/>
      <c r="AA716" s="7" t="n"/>
      <c r="AC716" s="7" t="n"/>
      <c r="AE716">
        <f>IF($C716="","",IF($AK716=1,Settings!$C$6,Settings!$C$7)*1)</f>
        <v/>
      </c>
      <c r="AF716" s="7">
        <f>IF($C716="","",AE716*AC716)</f>
        <v/>
      </c>
      <c r="AG716" s="7">
        <f>IF($C716="","",AC716-AF716)</f>
        <v/>
      </c>
      <c r="AH716" s="7">
        <f>IF($C716="","",AG716-R716)</f>
        <v/>
      </c>
      <c r="AI716">
        <f>IF($C716="","",IF(COUNTIF($C$2:$C716,$C716)=1,1,0))</f>
        <v/>
      </c>
      <c r="AJ716">
        <f>IF($AI716=1,SUMPRODUCT(--($AL$2:$AL$1501&lt;$AL716))+1,"")</f>
        <v/>
      </c>
      <c r="AK716">
        <f>IF($C716="","",IF(OR($AD716=TRUE(),$AD716="TRUE"),0,1))</f>
        <v/>
      </c>
      <c r="AL716">
        <f>IF($AI716=1,IFERROR(IF(VALUE($C716)&lt;100000000,VALUE($C716),1000000000),IFERROR(IF(VALUE(MID($C716,2,20))&lt;100000000,VALUE(MID($C716,2,20)),1000000000),1000000000))+ROW()/100000,"")</f>
        <v/>
      </c>
    </row>
    <row r="717">
      <c r="J717" s="7" t="n"/>
      <c r="K717" s="7" t="n"/>
      <c r="R717" s="7">
        <f>IF($C717="","",Q717*AC717/100)</f>
        <v/>
      </c>
      <c r="S717" s="11" t="n"/>
      <c r="U717" s="11" t="n"/>
      <c r="AA717" s="7" t="n"/>
      <c r="AC717" s="7" t="n"/>
      <c r="AE717">
        <f>IF($C717="","",IF($AK717=1,Settings!$C$6,Settings!$C$7)*1)</f>
        <v/>
      </c>
      <c r="AF717" s="7">
        <f>IF($C717="","",AE717*AC717)</f>
        <v/>
      </c>
      <c r="AG717" s="7">
        <f>IF($C717="","",AC717-AF717)</f>
        <v/>
      </c>
      <c r="AH717" s="7">
        <f>IF($C717="","",AG717-R717)</f>
        <v/>
      </c>
      <c r="AI717">
        <f>IF($C717="","",IF(COUNTIF($C$2:$C717,$C717)=1,1,0))</f>
        <v/>
      </c>
      <c r="AJ717">
        <f>IF($AI717=1,SUMPRODUCT(--($AL$2:$AL$1501&lt;$AL717))+1,"")</f>
        <v/>
      </c>
      <c r="AK717">
        <f>IF($C717="","",IF(OR($AD717=TRUE(),$AD717="TRUE"),0,1))</f>
        <v/>
      </c>
      <c r="AL717">
        <f>IF($AI717=1,IFERROR(IF(VALUE($C717)&lt;100000000,VALUE($C717),1000000000),IFERROR(IF(VALUE(MID($C717,2,20))&lt;100000000,VALUE(MID($C717,2,20)),1000000000),1000000000))+ROW()/100000,"")</f>
        <v/>
      </c>
    </row>
    <row r="718">
      <c r="J718" s="7" t="n"/>
      <c r="K718" s="7" t="n"/>
      <c r="R718" s="7">
        <f>IF($C718="","",Q718*AC718/100)</f>
        <v/>
      </c>
      <c r="S718" s="11" t="n"/>
      <c r="U718" s="11" t="n"/>
      <c r="AA718" s="7" t="n"/>
      <c r="AC718" s="7" t="n"/>
      <c r="AE718">
        <f>IF($C718="","",IF($AK718=1,Settings!$C$6,Settings!$C$7)*1)</f>
        <v/>
      </c>
      <c r="AF718" s="7">
        <f>IF($C718="","",AE718*AC718)</f>
        <v/>
      </c>
      <c r="AG718" s="7">
        <f>IF($C718="","",AC718-AF718)</f>
        <v/>
      </c>
      <c r="AH718" s="7">
        <f>IF($C718="","",AG718-R718)</f>
        <v/>
      </c>
      <c r="AI718">
        <f>IF($C718="","",IF(COUNTIF($C$2:$C718,$C718)=1,1,0))</f>
        <v/>
      </c>
      <c r="AJ718">
        <f>IF($AI718=1,SUMPRODUCT(--($AL$2:$AL$1501&lt;$AL718))+1,"")</f>
        <v/>
      </c>
      <c r="AK718">
        <f>IF($C718="","",IF(OR($AD718=TRUE(),$AD718="TRUE"),0,1))</f>
        <v/>
      </c>
      <c r="AL718">
        <f>IF($AI718=1,IFERROR(IF(VALUE($C718)&lt;100000000,VALUE($C718),1000000000),IFERROR(IF(VALUE(MID($C718,2,20))&lt;100000000,VALUE(MID($C718,2,20)),1000000000),1000000000))+ROW()/100000,"")</f>
        <v/>
      </c>
    </row>
    <row r="719">
      <c r="J719" s="7" t="n"/>
      <c r="K719" s="7" t="n"/>
      <c r="R719" s="7">
        <f>IF($C719="","",Q719*AC719/100)</f>
        <v/>
      </c>
      <c r="S719" s="11" t="n"/>
      <c r="U719" s="11" t="n"/>
      <c r="AA719" s="7" t="n"/>
      <c r="AC719" s="7" t="n"/>
      <c r="AE719">
        <f>IF($C719="","",IF($AK719=1,Settings!$C$6,Settings!$C$7)*1)</f>
        <v/>
      </c>
      <c r="AF719" s="7">
        <f>IF($C719="","",AE719*AC719)</f>
        <v/>
      </c>
      <c r="AG719" s="7">
        <f>IF($C719="","",AC719-AF719)</f>
        <v/>
      </c>
      <c r="AH719" s="7">
        <f>IF($C719="","",AG719-R719)</f>
        <v/>
      </c>
      <c r="AI719">
        <f>IF($C719="","",IF(COUNTIF($C$2:$C719,$C719)=1,1,0))</f>
        <v/>
      </c>
      <c r="AJ719">
        <f>IF($AI719=1,SUMPRODUCT(--($AL$2:$AL$1501&lt;$AL719))+1,"")</f>
        <v/>
      </c>
      <c r="AK719">
        <f>IF($C719="","",IF(OR($AD719=TRUE(),$AD719="TRUE"),0,1))</f>
        <v/>
      </c>
      <c r="AL719">
        <f>IF($AI719=1,IFERROR(IF(VALUE($C719)&lt;100000000,VALUE($C719),1000000000),IFERROR(IF(VALUE(MID($C719,2,20))&lt;100000000,VALUE(MID($C719,2,20)),1000000000),1000000000))+ROW()/100000,"")</f>
        <v/>
      </c>
    </row>
    <row r="720">
      <c r="J720" s="7" t="n"/>
      <c r="K720" s="7" t="n"/>
      <c r="R720" s="7">
        <f>IF($C720="","",Q720*AC720/100)</f>
        <v/>
      </c>
      <c r="S720" s="11" t="n"/>
      <c r="U720" s="11" t="n"/>
      <c r="AA720" s="7" t="n"/>
      <c r="AC720" s="7" t="n"/>
      <c r="AE720">
        <f>IF($C720="","",IF($AK720=1,Settings!$C$6,Settings!$C$7)*1)</f>
        <v/>
      </c>
      <c r="AF720" s="7">
        <f>IF($C720="","",AE720*AC720)</f>
        <v/>
      </c>
      <c r="AG720" s="7">
        <f>IF($C720="","",AC720-AF720)</f>
        <v/>
      </c>
      <c r="AH720" s="7">
        <f>IF($C720="","",AG720-R720)</f>
        <v/>
      </c>
      <c r="AI720">
        <f>IF($C720="","",IF(COUNTIF($C$2:$C720,$C720)=1,1,0))</f>
        <v/>
      </c>
      <c r="AJ720">
        <f>IF($AI720=1,SUMPRODUCT(--($AL$2:$AL$1501&lt;$AL720))+1,"")</f>
        <v/>
      </c>
      <c r="AK720">
        <f>IF($C720="","",IF(OR($AD720=TRUE(),$AD720="TRUE"),0,1))</f>
        <v/>
      </c>
      <c r="AL720">
        <f>IF($AI720=1,IFERROR(IF(VALUE($C720)&lt;100000000,VALUE($C720),1000000000),IFERROR(IF(VALUE(MID($C720,2,20))&lt;100000000,VALUE(MID($C720,2,20)),1000000000),1000000000))+ROW()/100000,"")</f>
        <v/>
      </c>
    </row>
    <row r="721">
      <c r="J721" s="7" t="n"/>
      <c r="K721" s="7" t="n"/>
      <c r="R721" s="7">
        <f>IF($C721="","",Q721*AC721/100)</f>
        <v/>
      </c>
      <c r="S721" s="11" t="n"/>
      <c r="U721" s="11" t="n"/>
      <c r="AA721" s="7" t="n"/>
      <c r="AC721" s="7" t="n"/>
      <c r="AE721">
        <f>IF($C721="","",IF($AK721=1,Settings!$C$6,Settings!$C$7)*1)</f>
        <v/>
      </c>
      <c r="AF721" s="7">
        <f>IF($C721="","",AE721*AC721)</f>
        <v/>
      </c>
      <c r="AG721" s="7">
        <f>IF($C721="","",AC721-AF721)</f>
        <v/>
      </c>
      <c r="AH721" s="7">
        <f>IF($C721="","",AG721-R721)</f>
        <v/>
      </c>
      <c r="AI721">
        <f>IF($C721="","",IF(COUNTIF($C$2:$C721,$C721)=1,1,0))</f>
        <v/>
      </c>
      <c r="AJ721">
        <f>IF($AI721=1,SUMPRODUCT(--($AL$2:$AL$1501&lt;$AL721))+1,"")</f>
        <v/>
      </c>
      <c r="AK721">
        <f>IF($C721="","",IF(OR($AD721=TRUE(),$AD721="TRUE"),0,1))</f>
        <v/>
      </c>
      <c r="AL721">
        <f>IF($AI721=1,IFERROR(IF(VALUE($C721)&lt;100000000,VALUE($C721),1000000000),IFERROR(IF(VALUE(MID($C721,2,20))&lt;100000000,VALUE(MID($C721,2,20)),1000000000),1000000000))+ROW()/100000,"")</f>
        <v/>
      </c>
    </row>
    <row r="722">
      <c r="J722" s="7" t="n"/>
      <c r="K722" s="7" t="n"/>
      <c r="R722" s="7">
        <f>IF($C722="","",Q722*AC722/100)</f>
        <v/>
      </c>
      <c r="S722" s="11" t="n"/>
      <c r="U722" s="11" t="n"/>
      <c r="AA722" s="7" t="n"/>
      <c r="AC722" s="7" t="n"/>
      <c r="AE722">
        <f>IF($C722="","",IF($AK722=1,Settings!$C$6,Settings!$C$7)*1)</f>
        <v/>
      </c>
      <c r="AF722" s="7">
        <f>IF($C722="","",AE722*AC722)</f>
        <v/>
      </c>
      <c r="AG722" s="7">
        <f>IF($C722="","",AC722-AF722)</f>
        <v/>
      </c>
      <c r="AH722" s="7">
        <f>IF($C722="","",AG722-R722)</f>
        <v/>
      </c>
      <c r="AI722">
        <f>IF($C722="","",IF(COUNTIF($C$2:$C722,$C722)=1,1,0))</f>
        <v/>
      </c>
      <c r="AJ722">
        <f>IF($AI722=1,SUMPRODUCT(--($AL$2:$AL$1501&lt;$AL722))+1,"")</f>
        <v/>
      </c>
      <c r="AK722">
        <f>IF($C722="","",IF(OR($AD722=TRUE(),$AD722="TRUE"),0,1))</f>
        <v/>
      </c>
      <c r="AL722">
        <f>IF($AI722=1,IFERROR(IF(VALUE($C722)&lt;100000000,VALUE($C722),1000000000),IFERROR(IF(VALUE(MID($C722,2,20))&lt;100000000,VALUE(MID($C722,2,20)),1000000000),1000000000))+ROW()/100000,"")</f>
        <v/>
      </c>
    </row>
    <row r="723">
      <c r="J723" s="7" t="n"/>
      <c r="K723" s="7" t="n"/>
      <c r="R723" s="7">
        <f>IF($C723="","",Q723*AC723/100)</f>
        <v/>
      </c>
      <c r="S723" s="11" t="n"/>
      <c r="U723" s="11" t="n"/>
      <c r="AA723" s="7" t="n"/>
      <c r="AC723" s="7" t="n"/>
      <c r="AE723">
        <f>IF($C723="","",IF($AK723=1,Settings!$C$6,Settings!$C$7)*1)</f>
        <v/>
      </c>
      <c r="AF723" s="7">
        <f>IF($C723="","",AE723*AC723)</f>
        <v/>
      </c>
      <c r="AG723" s="7">
        <f>IF($C723="","",AC723-AF723)</f>
        <v/>
      </c>
      <c r="AH723" s="7">
        <f>IF($C723="","",AG723-R723)</f>
        <v/>
      </c>
      <c r="AI723">
        <f>IF($C723="","",IF(COUNTIF($C$2:$C723,$C723)=1,1,0))</f>
        <v/>
      </c>
      <c r="AJ723">
        <f>IF($AI723=1,SUMPRODUCT(--($AL$2:$AL$1501&lt;$AL723))+1,"")</f>
        <v/>
      </c>
      <c r="AK723">
        <f>IF($C723="","",IF(OR($AD723=TRUE(),$AD723="TRUE"),0,1))</f>
        <v/>
      </c>
      <c r="AL723">
        <f>IF($AI723=1,IFERROR(IF(VALUE($C723)&lt;100000000,VALUE($C723),1000000000),IFERROR(IF(VALUE(MID($C723,2,20))&lt;100000000,VALUE(MID($C723,2,20)),1000000000),1000000000))+ROW()/100000,"")</f>
        <v/>
      </c>
    </row>
    <row r="724">
      <c r="J724" s="7" t="n"/>
      <c r="K724" s="7" t="n"/>
      <c r="R724" s="7">
        <f>IF($C724="","",Q724*AC724/100)</f>
        <v/>
      </c>
      <c r="S724" s="11" t="n"/>
      <c r="U724" s="11" t="n"/>
      <c r="AA724" s="7" t="n"/>
      <c r="AC724" s="7" t="n"/>
      <c r="AE724">
        <f>IF($C724="","",IF($AK724=1,Settings!$C$6,Settings!$C$7)*1)</f>
        <v/>
      </c>
      <c r="AF724" s="7">
        <f>IF($C724="","",AE724*AC724)</f>
        <v/>
      </c>
      <c r="AG724" s="7">
        <f>IF($C724="","",AC724-AF724)</f>
        <v/>
      </c>
      <c r="AH724" s="7">
        <f>IF($C724="","",AG724-R724)</f>
        <v/>
      </c>
      <c r="AI724">
        <f>IF($C724="","",IF(COUNTIF($C$2:$C724,$C724)=1,1,0))</f>
        <v/>
      </c>
      <c r="AJ724">
        <f>IF($AI724=1,SUMPRODUCT(--($AL$2:$AL$1501&lt;$AL724))+1,"")</f>
        <v/>
      </c>
      <c r="AK724">
        <f>IF($C724="","",IF(OR($AD724=TRUE(),$AD724="TRUE"),0,1))</f>
        <v/>
      </c>
      <c r="AL724">
        <f>IF($AI724=1,IFERROR(IF(VALUE($C724)&lt;100000000,VALUE($C724),1000000000),IFERROR(IF(VALUE(MID($C724,2,20))&lt;100000000,VALUE(MID($C724,2,20)),1000000000),1000000000))+ROW()/100000,"")</f>
        <v/>
      </c>
    </row>
    <row r="725">
      <c r="J725" s="7" t="n"/>
      <c r="K725" s="7" t="n"/>
      <c r="R725" s="7">
        <f>IF($C725="","",Q725*AC725/100)</f>
        <v/>
      </c>
      <c r="S725" s="11" t="n"/>
      <c r="U725" s="11" t="n"/>
      <c r="AA725" s="7" t="n"/>
      <c r="AC725" s="7" t="n"/>
      <c r="AE725">
        <f>IF($C725="","",IF($AK725=1,Settings!$C$6,Settings!$C$7)*1)</f>
        <v/>
      </c>
      <c r="AF725" s="7">
        <f>IF($C725="","",AE725*AC725)</f>
        <v/>
      </c>
      <c r="AG725" s="7">
        <f>IF($C725="","",AC725-AF725)</f>
        <v/>
      </c>
      <c r="AH725" s="7">
        <f>IF($C725="","",AG725-R725)</f>
        <v/>
      </c>
      <c r="AI725">
        <f>IF($C725="","",IF(COUNTIF($C$2:$C725,$C725)=1,1,0))</f>
        <v/>
      </c>
      <c r="AJ725">
        <f>IF($AI725=1,SUMPRODUCT(--($AL$2:$AL$1501&lt;$AL725))+1,"")</f>
        <v/>
      </c>
      <c r="AK725">
        <f>IF($C725="","",IF(OR($AD725=TRUE(),$AD725="TRUE"),0,1))</f>
        <v/>
      </c>
      <c r="AL725">
        <f>IF($AI725=1,IFERROR(IF(VALUE($C725)&lt;100000000,VALUE($C725),1000000000),IFERROR(IF(VALUE(MID($C725,2,20))&lt;100000000,VALUE(MID($C725,2,20)),1000000000),1000000000))+ROW()/100000,"")</f>
        <v/>
      </c>
    </row>
    <row r="726">
      <c r="J726" s="7" t="n"/>
      <c r="K726" s="7" t="n"/>
      <c r="R726" s="7">
        <f>IF($C726="","",Q726*AC726/100)</f>
        <v/>
      </c>
      <c r="S726" s="11" t="n"/>
      <c r="U726" s="11" t="n"/>
      <c r="AA726" s="7" t="n"/>
      <c r="AC726" s="7" t="n"/>
      <c r="AE726">
        <f>IF($C726="","",IF($AK726=1,Settings!$C$6,Settings!$C$7)*1)</f>
        <v/>
      </c>
      <c r="AF726" s="7">
        <f>IF($C726="","",AE726*AC726)</f>
        <v/>
      </c>
      <c r="AG726" s="7">
        <f>IF($C726="","",AC726-AF726)</f>
        <v/>
      </c>
      <c r="AH726" s="7">
        <f>IF($C726="","",AG726-R726)</f>
        <v/>
      </c>
      <c r="AI726">
        <f>IF($C726="","",IF(COUNTIF($C$2:$C726,$C726)=1,1,0))</f>
        <v/>
      </c>
      <c r="AJ726">
        <f>IF($AI726=1,SUMPRODUCT(--($AL$2:$AL$1501&lt;$AL726))+1,"")</f>
        <v/>
      </c>
      <c r="AK726">
        <f>IF($C726="","",IF(OR($AD726=TRUE(),$AD726="TRUE"),0,1))</f>
        <v/>
      </c>
      <c r="AL726">
        <f>IF($AI726=1,IFERROR(IF(VALUE($C726)&lt;100000000,VALUE($C726),1000000000),IFERROR(IF(VALUE(MID($C726,2,20))&lt;100000000,VALUE(MID($C726,2,20)),1000000000),1000000000))+ROW()/100000,"")</f>
        <v/>
      </c>
    </row>
    <row r="727">
      <c r="J727" s="7" t="n"/>
      <c r="K727" s="7" t="n"/>
      <c r="R727" s="7">
        <f>IF($C727="","",Q727*AC727/100)</f>
        <v/>
      </c>
      <c r="S727" s="11" t="n"/>
      <c r="U727" s="11" t="n"/>
      <c r="AA727" s="7" t="n"/>
      <c r="AC727" s="7" t="n"/>
      <c r="AE727">
        <f>IF($C727="","",IF($AK727=1,Settings!$C$6,Settings!$C$7)*1)</f>
        <v/>
      </c>
      <c r="AF727" s="7">
        <f>IF($C727="","",AE727*AC727)</f>
        <v/>
      </c>
      <c r="AG727" s="7">
        <f>IF($C727="","",AC727-AF727)</f>
        <v/>
      </c>
      <c r="AH727" s="7">
        <f>IF($C727="","",AG727-R727)</f>
        <v/>
      </c>
      <c r="AI727">
        <f>IF($C727="","",IF(COUNTIF($C$2:$C727,$C727)=1,1,0))</f>
        <v/>
      </c>
      <c r="AJ727">
        <f>IF($AI727=1,SUMPRODUCT(--($AL$2:$AL$1501&lt;$AL727))+1,"")</f>
        <v/>
      </c>
      <c r="AK727">
        <f>IF($C727="","",IF(OR($AD727=TRUE(),$AD727="TRUE"),0,1))</f>
        <v/>
      </c>
      <c r="AL727">
        <f>IF($AI727=1,IFERROR(IF(VALUE($C727)&lt;100000000,VALUE($C727),1000000000),IFERROR(IF(VALUE(MID($C727,2,20))&lt;100000000,VALUE(MID($C727,2,20)),1000000000),1000000000))+ROW()/100000,"")</f>
        <v/>
      </c>
    </row>
    <row r="728">
      <c r="J728" s="7" t="n"/>
      <c r="K728" s="7" t="n"/>
      <c r="R728" s="7">
        <f>IF($C728="","",Q728*AC728/100)</f>
        <v/>
      </c>
      <c r="S728" s="11" t="n"/>
      <c r="U728" s="11" t="n"/>
      <c r="AA728" s="7" t="n"/>
      <c r="AC728" s="7" t="n"/>
      <c r="AE728">
        <f>IF($C728="","",IF($AK728=1,Settings!$C$6,Settings!$C$7)*1)</f>
        <v/>
      </c>
      <c r="AF728" s="7">
        <f>IF($C728="","",AE728*AC728)</f>
        <v/>
      </c>
      <c r="AG728" s="7">
        <f>IF($C728="","",AC728-AF728)</f>
        <v/>
      </c>
      <c r="AH728" s="7">
        <f>IF($C728="","",AG728-R728)</f>
        <v/>
      </c>
      <c r="AI728">
        <f>IF($C728="","",IF(COUNTIF($C$2:$C728,$C728)=1,1,0))</f>
        <v/>
      </c>
      <c r="AJ728">
        <f>IF($AI728=1,SUMPRODUCT(--($AL$2:$AL$1501&lt;$AL728))+1,"")</f>
        <v/>
      </c>
      <c r="AK728">
        <f>IF($C728="","",IF(OR($AD728=TRUE(),$AD728="TRUE"),0,1))</f>
        <v/>
      </c>
      <c r="AL728">
        <f>IF($AI728=1,IFERROR(IF(VALUE($C728)&lt;100000000,VALUE($C728),1000000000),IFERROR(IF(VALUE(MID($C728,2,20))&lt;100000000,VALUE(MID($C728,2,20)),1000000000),1000000000))+ROW()/100000,"")</f>
        <v/>
      </c>
    </row>
    <row r="729">
      <c r="J729" s="7" t="n"/>
      <c r="K729" s="7" t="n"/>
      <c r="R729" s="7">
        <f>IF($C729="","",Q729*AC729/100)</f>
        <v/>
      </c>
      <c r="S729" s="11" t="n"/>
      <c r="U729" s="11" t="n"/>
      <c r="AA729" s="7" t="n"/>
      <c r="AC729" s="7" t="n"/>
      <c r="AE729">
        <f>IF($C729="","",IF($AK729=1,Settings!$C$6,Settings!$C$7)*1)</f>
        <v/>
      </c>
      <c r="AF729" s="7">
        <f>IF($C729="","",AE729*AC729)</f>
        <v/>
      </c>
      <c r="AG729" s="7">
        <f>IF($C729="","",AC729-AF729)</f>
        <v/>
      </c>
      <c r="AH729" s="7">
        <f>IF($C729="","",AG729-R729)</f>
        <v/>
      </c>
      <c r="AI729">
        <f>IF($C729="","",IF(COUNTIF($C$2:$C729,$C729)=1,1,0))</f>
        <v/>
      </c>
      <c r="AJ729">
        <f>IF($AI729=1,SUMPRODUCT(--($AL$2:$AL$1501&lt;$AL729))+1,"")</f>
        <v/>
      </c>
      <c r="AK729">
        <f>IF($C729="","",IF(OR($AD729=TRUE(),$AD729="TRUE"),0,1))</f>
        <v/>
      </c>
      <c r="AL729">
        <f>IF($AI729=1,IFERROR(IF(VALUE($C729)&lt;100000000,VALUE($C729),1000000000),IFERROR(IF(VALUE(MID($C729,2,20))&lt;100000000,VALUE(MID($C729,2,20)),1000000000),1000000000))+ROW()/100000,"")</f>
        <v/>
      </c>
    </row>
    <row r="730">
      <c r="J730" s="7" t="n"/>
      <c r="K730" s="7" t="n"/>
      <c r="R730" s="7">
        <f>IF($C730="","",Q730*AC730/100)</f>
        <v/>
      </c>
      <c r="S730" s="11" t="n"/>
      <c r="U730" s="11" t="n"/>
      <c r="AA730" s="7" t="n"/>
      <c r="AC730" s="7" t="n"/>
      <c r="AE730">
        <f>IF($C730="","",IF($AK730=1,Settings!$C$6,Settings!$C$7)*1)</f>
        <v/>
      </c>
      <c r="AF730" s="7">
        <f>IF($C730="","",AE730*AC730)</f>
        <v/>
      </c>
      <c r="AG730" s="7">
        <f>IF($C730="","",AC730-AF730)</f>
        <v/>
      </c>
      <c r="AH730" s="7">
        <f>IF($C730="","",AG730-R730)</f>
        <v/>
      </c>
      <c r="AI730">
        <f>IF($C730="","",IF(COUNTIF($C$2:$C730,$C730)=1,1,0))</f>
        <v/>
      </c>
      <c r="AJ730">
        <f>IF($AI730=1,SUMPRODUCT(--($AL$2:$AL$1501&lt;$AL730))+1,"")</f>
        <v/>
      </c>
      <c r="AK730">
        <f>IF($C730="","",IF(OR($AD730=TRUE(),$AD730="TRUE"),0,1))</f>
        <v/>
      </c>
      <c r="AL730">
        <f>IF($AI730=1,IFERROR(IF(VALUE($C730)&lt;100000000,VALUE($C730),1000000000),IFERROR(IF(VALUE(MID($C730,2,20))&lt;100000000,VALUE(MID($C730,2,20)),1000000000),1000000000))+ROW()/100000,"")</f>
        <v/>
      </c>
    </row>
    <row r="731">
      <c r="J731" s="7" t="n"/>
      <c r="K731" s="7" t="n"/>
      <c r="R731" s="7">
        <f>IF($C731="","",Q731*AC731/100)</f>
        <v/>
      </c>
      <c r="S731" s="11" t="n"/>
      <c r="U731" s="11" t="n"/>
      <c r="AA731" s="7" t="n"/>
      <c r="AC731" s="7" t="n"/>
      <c r="AE731">
        <f>IF($C731="","",IF($AK731=1,Settings!$C$6,Settings!$C$7)*1)</f>
        <v/>
      </c>
      <c r="AF731" s="7">
        <f>IF($C731="","",AE731*AC731)</f>
        <v/>
      </c>
      <c r="AG731" s="7">
        <f>IF($C731="","",AC731-AF731)</f>
        <v/>
      </c>
      <c r="AH731" s="7">
        <f>IF($C731="","",AG731-R731)</f>
        <v/>
      </c>
      <c r="AI731">
        <f>IF($C731="","",IF(COUNTIF($C$2:$C731,$C731)=1,1,0))</f>
        <v/>
      </c>
      <c r="AJ731">
        <f>IF($AI731=1,SUMPRODUCT(--($AL$2:$AL$1501&lt;$AL731))+1,"")</f>
        <v/>
      </c>
      <c r="AK731">
        <f>IF($C731="","",IF(OR($AD731=TRUE(),$AD731="TRUE"),0,1))</f>
        <v/>
      </c>
      <c r="AL731">
        <f>IF($AI731=1,IFERROR(IF(VALUE($C731)&lt;100000000,VALUE($C731),1000000000),IFERROR(IF(VALUE(MID($C731,2,20))&lt;100000000,VALUE(MID($C731,2,20)),1000000000),1000000000))+ROW()/100000,"")</f>
        <v/>
      </c>
    </row>
    <row r="732">
      <c r="J732" s="7" t="n"/>
      <c r="K732" s="7" t="n"/>
      <c r="R732" s="7">
        <f>IF($C732="","",Q732*AC732/100)</f>
        <v/>
      </c>
      <c r="S732" s="11" t="n"/>
      <c r="U732" s="11" t="n"/>
      <c r="AA732" s="7" t="n"/>
      <c r="AC732" s="7" t="n"/>
      <c r="AE732">
        <f>IF($C732="","",IF($AK732=1,Settings!$C$6,Settings!$C$7)*1)</f>
        <v/>
      </c>
      <c r="AF732" s="7">
        <f>IF($C732="","",AE732*AC732)</f>
        <v/>
      </c>
      <c r="AG732" s="7">
        <f>IF($C732="","",AC732-AF732)</f>
        <v/>
      </c>
      <c r="AH732" s="7">
        <f>IF($C732="","",AG732-R732)</f>
        <v/>
      </c>
      <c r="AI732">
        <f>IF($C732="","",IF(COUNTIF($C$2:$C732,$C732)=1,1,0))</f>
        <v/>
      </c>
      <c r="AJ732">
        <f>IF($AI732=1,SUMPRODUCT(--($AL$2:$AL$1501&lt;$AL732))+1,"")</f>
        <v/>
      </c>
      <c r="AK732">
        <f>IF($C732="","",IF(OR($AD732=TRUE(),$AD732="TRUE"),0,1))</f>
        <v/>
      </c>
      <c r="AL732">
        <f>IF($AI732=1,IFERROR(IF(VALUE($C732)&lt;100000000,VALUE($C732),1000000000),IFERROR(IF(VALUE(MID($C732,2,20))&lt;100000000,VALUE(MID($C732,2,20)),1000000000),1000000000))+ROW()/100000,"")</f>
        <v/>
      </c>
    </row>
    <row r="733">
      <c r="J733" s="7" t="n"/>
      <c r="K733" s="7" t="n"/>
      <c r="R733" s="7">
        <f>IF($C733="","",Q733*AC733/100)</f>
        <v/>
      </c>
      <c r="S733" s="11" t="n"/>
      <c r="U733" s="11" t="n"/>
      <c r="AA733" s="7" t="n"/>
      <c r="AC733" s="7" t="n"/>
      <c r="AE733">
        <f>IF($C733="","",IF($AK733=1,Settings!$C$6,Settings!$C$7)*1)</f>
        <v/>
      </c>
      <c r="AF733" s="7">
        <f>IF($C733="","",AE733*AC733)</f>
        <v/>
      </c>
      <c r="AG733" s="7">
        <f>IF($C733="","",AC733-AF733)</f>
        <v/>
      </c>
      <c r="AH733" s="7">
        <f>IF($C733="","",AG733-R733)</f>
        <v/>
      </c>
      <c r="AI733">
        <f>IF($C733="","",IF(COUNTIF($C$2:$C733,$C733)=1,1,0))</f>
        <v/>
      </c>
      <c r="AJ733">
        <f>IF($AI733=1,SUMPRODUCT(--($AL$2:$AL$1501&lt;$AL733))+1,"")</f>
        <v/>
      </c>
      <c r="AK733">
        <f>IF($C733="","",IF(OR($AD733=TRUE(),$AD733="TRUE"),0,1))</f>
        <v/>
      </c>
      <c r="AL733">
        <f>IF($AI733=1,IFERROR(IF(VALUE($C733)&lt;100000000,VALUE($C733),1000000000),IFERROR(IF(VALUE(MID($C733,2,20))&lt;100000000,VALUE(MID($C733,2,20)),1000000000),1000000000))+ROW()/100000,"")</f>
        <v/>
      </c>
    </row>
    <row r="734">
      <c r="J734" s="7" t="n"/>
      <c r="K734" s="7" t="n"/>
      <c r="R734" s="7">
        <f>IF($C734="","",Q734*AC734/100)</f>
        <v/>
      </c>
      <c r="S734" s="11" t="n"/>
      <c r="U734" s="11" t="n"/>
      <c r="AA734" s="7" t="n"/>
      <c r="AC734" s="7" t="n"/>
      <c r="AE734">
        <f>IF($C734="","",IF($AK734=1,Settings!$C$6,Settings!$C$7)*1)</f>
        <v/>
      </c>
      <c r="AF734" s="7">
        <f>IF($C734="","",AE734*AC734)</f>
        <v/>
      </c>
      <c r="AG734" s="7">
        <f>IF($C734="","",AC734-AF734)</f>
        <v/>
      </c>
      <c r="AH734" s="7">
        <f>IF($C734="","",AG734-R734)</f>
        <v/>
      </c>
      <c r="AI734">
        <f>IF($C734="","",IF(COUNTIF($C$2:$C734,$C734)=1,1,0))</f>
        <v/>
      </c>
      <c r="AJ734">
        <f>IF($AI734=1,SUMPRODUCT(--($AL$2:$AL$1501&lt;$AL734))+1,"")</f>
        <v/>
      </c>
      <c r="AK734">
        <f>IF($C734="","",IF(OR($AD734=TRUE(),$AD734="TRUE"),0,1))</f>
        <v/>
      </c>
      <c r="AL734">
        <f>IF($AI734=1,IFERROR(IF(VALUE($C734)&lt;100000000,VALUE($C734),1000000000),IFERROR(IF(VALUE(MID($C734,2,20))&lt;100000000,VALUE(MID($C734,2,20)),1000000000),1000000000))+ROW()/100000,"")</f>
        <v/>
      </c>
    </row>
    <row r="735">
      <c r="J735" s="7" t="n"/>
      <c r="K735" s="7" t="n"/>
      <c r="R735" s="7">
        <f>IF($C735="","",Q735*AC735/100)</f>
        <v/>
      </c>
      <c r="S735" s="11" t="n"/>
      <c r="U735" s="11" t="n"/>
      <c r="AA735" s="7" t="n"/>
      <c r="AC735" s="7" t="n"/>
      <c r="AE735">
        <f>IF($C735="","",IF($AK735=1,Settings!$C$6,Settings!$C$7)*1)</f>
        <v/>
      </c>
      <c r="AF735" s="7">
        <f>IF($C735="","",AE735*AC735)</f>
        <v/>
      </c>
      <c r="AG735" s="7">
        <f>IF($C735="","",AC735-AF735)</f>
        <v/>
      </c>
      <c r="AH735" s="7">
        <f>IF($C735="","",AG735-R735)</f>
        <v/>
      </c>
      <c r="AI735">
        <f>IF($C735="","",IF(COUNTIF($C$2:$C735,$C735)=1,1,0))</f>
        <v/>
      </c>
      <c r="AJ735">
        <f>IF($AI735=1,SUMPRODUCT(--($AL$2:$AL$1501&lt;$AL735))+1,"")</f>
        <v/>
      </c>
      <c r="AK735">
        <f>IF($C735="","",IF(OR($AD735=TRUE(),$AD735="TRUE"),0,1))</f>
        <v/>
      </c>
      <c r="AL735">
        <f>IF($AI735=1,IFERROR(IF(VALUE($C735)&lt;100000000,VALUE($C735),1000000000),IFERROR(IF(VALUE(MID($C735,2,20))&lt;100000000,VALUE(MID($C735,2,20)),1000000000),1000000000))+ROW()/100000,"")</f>
        <v/>
      </c>
    </row>
    <row r="736">
      <c r="J736" s="7" t="n"/>
      <c r="K736" s="7" t="n"/>
      <c r="R736" s="7">
        <f>IF($C736="","",Q736*AC736/100)</f>
        <v/>
      </c>
      <c r="S736" s="11" t="n"/>
      <c r="U736" s="11" t="n"/>
      <c r="AA736" s="7" t="n"/>
      <c r="AC736" s="7" t="n"/>
      <c r="AE736">
        <f>IF($C736="","",IF($AK736=1,Settings!$C$6,Settings!$C$7)*1)</f>
        <v/>
      </c>
      <c r="AF736" s="7">
        <f>IF($C736="","",AE736*AC736)</f>
        <v/>
      </c>
      <c r="AG736" s="7">
        <f>IF($C736="","",AC736-AF736)</f>
        <v/>
      </c>
      <c r="AH736" s="7">
        <f>IF($C736="","",AG736-R736)</f>
        <v/>
      </c>
      <c r="AI736">
        <f>IF($C736="","",IF(COUNTIF($C$2:$C736,$C736)=1,1,0))</f>
        <v/>
      </c>
      <c r="AJ736">
        <f>IF($AI736=1,SUMPRODUCT(--($AL$2:$AL$1501&lt;$AL736))+1,"")</f>
        <v/>
      </c>
      <c r="AK736">
        <f>IF($C736="","",IF(OR($AD736=TRUE(),$AD736="TRUE"),0,1))</f>
        <v/>
      </c>
      <c r="AL736">
        <f>IF($AI736=1,IFERROR(IF(VALUE($C736)&lt;100000000,VALUE($C736),1000000000),IFERROR(IF(VALUE(MID($C736,2,20))&lt;100000000,VALUE(MID($C736,2,20)),1000000000),1000000000))+ROW()/100000,"")</f>
        <v/>
      </c>
    </row>
    <row r="737">
      <c r="J737" s="7" t="n"/>
      <c r="K737" s="7" t="n"/>
      <c r="R737" s="7">
        <f>IF($C737="","",Q737*AC737/100)</f>
        <v/>
      </c>
      <c r="S737" s="11" t="n"/>
      <c r="U737" s="11" t="n"/>
      <c r="AA737" s="7" t="n"/>
      <c r="AC737" s="7" t="n"/>
      <c r="AE737">
        <f>IF($C737="","",IF($AK737=1,Settings!$C$6,Settings!$C$7)*1)</f>
        <v/>
      </c>
      <c r="AF737" s="7">
        <f>IF($C737="","",AE737*AC737)</f>
        <v/>
      </c>
      <c r="AG737" s="7">
        <f>IF($C737="","",AC737-AF737)</f>
        <v/>
      </c>
      <c r="AH737" s="7">
        <f>IF($C737="","",AG737-R737)</f>
        <v/>
      </c>
      <c r="AI737">
        <f>IF($C737="","",IF(COUNTIF($C$2:$C737,$C737)=1,1,0))</f>
        <v/>
      </c>
      <c r="AJ737">
        <f>IF($AI737=1,SUMPRODUCT(--($AL$2:$AL$1501&lt;$AL737))+1,"")</f>
        <v/>
      </c>
      <c r="AK737">
        <f>IF($C737="","",IF(OR($AD737=TRUE(),$AD737="TRUE"),0,1))</f>
        <v/>
      </c>
      <c r="AL737">
        <f>IF($AI737=1,IFERROR(IF(VALUE($C737)&lt;100000000,VALUE($C737),1000000000),IFERROR(IF(VALUE(MID($C737,2,20))&lt;100000000,VALUE(MID($C737,2,20)),1000000000),1000000000))+ROW()/100000,"")</f>
        <v/>
      </c>
    </row>
    <row r="738">
      <c r="J738" s="7" t="n"/>
      <c r="K738" s="7" t="n"/>
      <c r="R738" s="7">
        <f>IF($C738="","",Q738*AC738/100)</f>
        <v/>
      </c>
      <c r="S738" s="11" t="n"/>
      <c r="U738" s="11" t="n"/>
      <c r="AA738" s="7" t="n"/>
      <c r="AC738" s="7" t="n"/>
      <c r="AE738">
        <f>IF($C738="","",IF($AK738=1,Settings!$C$6,Settings!$C$7)*1)</f>
        <v/>
      </c>
      <c r="AF738" s="7">
        <f>IF($C738="","",AE738*AC738)</f>
        <v/>
      </c>
      <c r="AG738" s="7">
        <f>IF($C738="","",AC738-AF738)</f>
        <v/>
      </c>
      <c r="AH738" s="7">
        <f>IF($C738="","",AG738-R738)</f>
        <v/>
      </c>
      <c r="AI738">
        <f>IF($C738="","",IF(COUNTIF($C$2:$C738,$C738)=1,1,0))</f>
        <v/>
      </c>
      <c r="AJ738">
        <f>IF($AI738=1,SUMPRODUCT(--($AL$2:$AL$1501&lt;$AL738))+1,"")</f>
        <v/>
      </c>
      <c r="AK738">
        <f>IF($C738="","",IF(OR($AD738=TRUE(),$AD738="TRUE"),0,1))</f>
        <v/>
      </c>
      <c r="AL738">
        <f>IF($AI738=1,IFERROR(IF(VALUE($C738)&lt;100000000,VALUE($C738),1000000000),IFERROR(IF(VALUE(MID($C738,2,20))&lt;100000000,VALUE(MID($C738,2,20)),1000000000),1000000000))+ROW()/100000,"")</f>
        <v/>
      </c>
    </row>
    <row r="739">
      <c r="J739" s="7" t="n"/>
      <c r="K739" s="7" t="n"/>
      <c r="R739" s="7">
        <f>IF($C739="","",Q739*AC739/100)</f>
        <v/>
      </c>
      <c r="S739" s="11" t="n"/>
      <c r="U739" s="11" t="n"/>
      <c r="AA739" s="7" t="n"/>
      <c r="AC739" s="7" t="n"/>
      <c r="AE739">
        <f>IF($C739="","",IF($AK739=1,Settings!$C$6,Settings!$C$7)*1)</f>
        <v/>
      </c>
      <c r="AF739" s="7">
        <f>IF($C739="","",AE739*AC739)</f>
        <v/>
      </c>
      <c r="AG739" s="7">
        <f>IF($C739="","",AC739-AF739)</f>
        <v/>
      </c>
      <c r="AH739" s="7">
        <f>IF($C739="","",AG739-R739)</f>
        <v/>
      </c>
      <c r="AI739">
        <f>IF($C739="","",IF(COUNTIF($C$2:$C739,$C739)=1,1,0))</f>
        <v/>
      </c>
      <c r="AJ739">
        <f>IF($AI739=1,SUMPRODUCT(--($AL$2:$AL$1501&lt;$AL739))+1,"")</f>
        <v/>
      </c>
      <c r="AK739">
        <f>IF($C739="","",IF(OR($AD739=TRUE(),$AD739="TRUE"),0,1))</f>
        <v/>
      </c>
      <c r="AL739">
        <f>IF($AI739=1,IFERROR(IF(VALUE($C739)&lt;100000000,VALUE($C739),1000000000),IFERROR(IF(VALUE(MID($C739,2,20))&lt;100000000,VALUE(MID($C739,2,20)),1000000000),1000000000))+ROW()/100000,"")</f>
        <v/>
      </c>
    </row>
    <row r="740">
      <c r="J740" s="7" t="n"/>
      <c r="K740" s="7" t="n"/>
      <c r="R740" s="7">
        <f>IF($C740="","",Q740*AC740/100)</f>
        <v/>
      </c>
      <c r="S740" s="11" t="n"/>
      <c r="U740" s="11" t="n"/>
      <c r="AA740" s="7" t="n"/>
      <c r="AC740" s="7" t="n"/>
      <c r="AE740">
        <f>IF($C740="","",IF($AK740=1,Settings!$C$6,Settings!$C$7)*1)</f>
        <v/>
      </c>
      <c r="AF740" s="7">
        <f>IF($C740="","",AE740*AC740)</f>
        <v/>
      </c>
      <c r="AG740" s="7">
        <f>IF($C740="","",AC740-AF740)</f>
        <v/>
      </c>
      <c r="AH740" s="7">
        <f>IF($C740="","",AG740-R740)</f>
        <v/>
      </c>
      <c r="AI740">
        <f>IF($C740="","",IF(COUNTIF($C$2:$C740,$C740)=1,1,0))</f>
        <v/>
      </c>
      <c r="AJ740">
        <f>IF($AI740=1,SUMPRODUCT(--($AL$2:$AL$1501&lt;$AL740))+1,"")</f>
        <v/>
      </c>
      <c r="AK740">
        <f>IF($C740="","",IF(OR($AD740=TRUE(),$AD740="TRUE"),0,1))</f>
        <v/>
      </c>
      <c r="AL740">
        <f>IF($AI740=1,IFERROR(IF(VALUE($C740)&lt;100000000,VALUE($C740),1000000000),IFERROR(IF(VALUE(MID($C740,2,20))&lt;100000000,VALUE(MID($C740,2,20)),1000000000),1000000000))+ROW()/100000,"")</f>
        <v/>
      </c>
    </row>
    <row r="741">
      <c r="J741" s="7" t="n"/>
      <c r="K741" s="7" t="n"/>
      <c r="R741" s="7">
        <f>IF($C741="","",Q741*AC741/100)</f>
        <v/>
      </c>
      <c r="S741" s="11" t="n"/>
      <c r="U741" s="11" t="n"/>
      <c r="AA741" s="7" t="n"/>
      <c r="AC741" s="7" t="n"/>
      <c r="AE741">
        <f>IF($C741="","",IF($AK741=1,Settings!$C$6,Settings!$C$7)*1)</f>
        <v/>
      </c>
      <c r="AF741" s="7">
        <f>IF($C741="","",AE741*AC741)</f>
        <v/>
      </c>
      <c r="AG741" s="7">
        <f>IF($C741="","",AC741-AF741)</f>
        <v/>
      </c>
      <c r="AH741" s="7">
        <f>IF($C741="","",AG741-R741)</f>
        <v/>
      </c>
      <c r="AI741">
        <f>IF($C741="","",IF(COUNTIF($C$2:$C741,$C741)=1,1,0))</f>
        <v/>
      </c>
      <c r="AJ741">
        <f>IF($AI741=1,SUMPRODUCT(--($AL$2:$AL$1501&lt;$AL741))+1,"")</f>
        <v/>
      </c>
      <c r="AK741">
        <f>IF($C741="","",IF(OR($AD741=TRUE(),$AD741="TRUE"),0,1))</f>
        <v/>
      </c>
      <c r="AL741">
        <f>IF($AI741=1,IFERROR(IF(VALUE($C741)&lt;100000000,VALUE($C741),1000000000),IFERROR(IF(VALUE(MID($C741,2,20))&lt;100000000,VALUE(MID($C741,2,20)),1000000000),1000000000))+ROW()/100000,"")</f>
        <v/>
      </c>
    </row>
    <row r="742">
      <c r="J742" s="7" t="n"/>
      <c r="K742" s="7" t="n"/>
      <c r="R742" s="7">
        <f>IF($C742="","",Q742*AC742/100)</f>
        <v/>
      </c>
      <c r="S742" s="11" t="n"/>
      <c r="U742" s="11" t="n"/>
      <c r="AA742" s="7" t="n"/>
      <c r="AC742" s="7" t="n"/>
      <c r="AE742">
        <f>IF($C742="","",IF($AK742=1,Settings!$C$6,Settings!$C$7)*1)</f>
        <v/>
      </c>
      <c r="AF742" s="7">
        <f>IF($C742="","",AE742*AC742)</f>
        <v/>
      </c>
      <c r="AG742" s="7">
        <f>IF($C742="","",AC742-AF742)</f>
        <v/>
      </c>
      <c r="AH742" s="7">
        <f>IF($C742="","",AG742-R742)</f>
        <v/>
      </c>
      <c r="AI742">
        <f>IF($C742="","",IF(COUNTIF($C$2:$C742,$C742)=1,1,0))</f>
        <v/>
      </c>
      <c r="AJ742">
        <f>IF($AI742=1,SUMPRODUCT(--($AL$2:$AL$1501&lt;$AL742))+1,"")</f>
        <v/>
      </c>
      <c r="AK742">
        <f>IF($C742="","",IF(OR($AD742=TRUE(),$AD742="TRUE"),0,1))</f>
        <v/>
      </c>
      <c r="AL742">
        <f>IF($AI742=1,IFERROR(IF(VALUE($C742)&lt;100000000,VALUE($C742),1000000000),IFERROR(IF(VALUE(MID($C742,2,20))&lt;100000000,VALUE(MID($C742,2,20)),1000000000),1000000000))+ROW()/100000,"")</f>
        <v/>
      </c>
    </row>
    <row r="743">
      <c r="J743" s="7" t="n"/>
      <c r="K743" s="7" t="n"/>
      <c r="R743" s="7">
        <f>IF($C743="","",Q743*AC743/100)</f>
        <v/>
      </c>
      <c r="S743" s="11" t="n"/>
      <c r="U743" s="11" t="n"/>
      <c r="AA743" s="7" t="n"/>
      <c r="AC743" s="7" t="n"/>
      <c r="AE743">
        <f>IF($C743="","",IF($AK743=1,Settings!$C$6,Settings!$C$7)*1)</f>
        <v/>
      </c>
      <c r="AF743" s="7">
        <f>IF($C743="","",AE743*AC743)</f>
        <v/>
      </c>
      <c r="AG743" s="7">
        <f>IF($C743="","",AC743-AF743)</f>
        <v/>
      </c>
      <c r="AH743" s="7">
        <f>IF($C743="","",AG743-R743)</f>
        <v/>
      </c>
      <c r="AI743">
        <f>IF($C743="","",IF(COUNTIF($C$2:$C743,$C743)=1,1,0))</f>
        <v/>
      </c>
      <c r="AJ743">
        <f>IF($AI743=1,SUMPRODUCT(--($AL$2:$AL$1501&lt;$AL743))+1,"")</f>
        <v/>
      </c>
      <c r="AK743">
        <f>IF($C743="","",IF(OR($AD743=TRUE(),$AD743="TRUE"),0,1))</f>
        <v/>
      </c>
      <c r="AL743">
        <f>IF($AI743=1,IFERROR(IF(VALUE($C743)&lt;100000000,VALUE($C743),1000000000),IFERROR(IF(VALUE(MID($C743,2,20))&lt;100000000,VALUE(MID($C743,2,20)),1000000000),1000000000))+ROW()/100000,"")</f>
        <v/>
      </c>
    </row>
    <row r="744">
      <c r="J744" s="7" t="n"/>
      <c r="K744" s="7" t="n"/>
      <c r="R744" s="7">
        <f>IF($C744="","",Q744*AC744/100)</f>
        <v/>
      </c>
      <c r="S744" s="11" t="n"/>
      <c r="U744" s="11" t="n"/>
      <c r="AA744" s="7" t="n"/>
      <c r="AC744" s="7" t="n"/>
      <c r="AE744">
        <f>IF($C744="","",IF($AK744=1,Settings!$C$6,Settings!$C$7)*1)</f>
        <v/>
      </c>
      <c r="AF744" s="7">
        <f>IF($C744="","",AE744*AC744)</f>
        <v/>
      </c>
      <c r="AG744" s="7">
        <f>IF($C744="","",AC744-AF744)</f>
        <v/>
      </c>
      <c r="AH744" s="7">
        <f>IF($C744="","",AG744-R744)</f>
        <v/>
      </c>
      <c r="AI744">
        <f>IF($C744="","",IF(COUNTIF($C$2:$C744,$C744)=1,1,0))</f>
        <v/>
      </c>
      <c r="AJ744">
        <f>IF($AI744=1,SUMPRODUCT(--($AL$2:$AL$1501&lt;$AL744))+1,"")</f>
        <v/>
      </c>
      <c r="AK744">
        <f>IF($C744="","",IF(OR($AD744=TRUE(),$AD744="TRUE"),0,1))</f>
        <v/>
      </c>
      <c r="AL744">
        <f>IF($AI744=1,IFERROR(IF(VALUE($C744)&lt;100000000,VALUE($C744),1000000000),IFERROR(IF(VALUE(MID($C744,2,20))&lt;100000000,VALUE(MID($C744,2,20)),1000000000),1000000000))+ROW()/100000,"")</f>
        <v/>
      </c>
    </row>
    <row r="745">
      <c r="J745" s="7" t="n"/>
      <c r="K745" s="7" t="n"/>
      <c r="R745" s="7">
        <f>IF($C745="","",Q745*AC745/100)</f>
        <v/>
      </c>
      <c r="S745" s="11" t="n"/>
      <c r="U745" s="11" t="n"/>
      <c r="AA745" s="7" t="n"/>
      <c r="AC745" s="7" t="n"/>
      <c r="AE745">
        <f>IF($C745="","",IF($AK745=1,Settings!$C$6,Settings!$C$7)*1)</f>
        <v/>
      </c>
      <c r="AF745" s="7">
        <f>IF($C745="","",AE745*AC745)</f>
        <v/>
      </c>
      <c r="AG745" s="7">
        <f>IF($C745="","",AC745-AF745)</f>
        <v/>
      </c>
      <c r="AH745" s="7">
        <f>IF($C745="","",AG745-R745)</f>
        <v/>
      </c>
      <c r="AI745">
        <f>IF($C745="","",IF(COUNTIF($C$2:$C745,$C745)=1,1,0))</f>
        <v/>
      </c>
      <c r="AJ745">
        <f>IF($AI745=1,SUMPRODUCT(--($AL$2:$AL$1501&lt;$AL745))+1,"")</f>
        <v/>
      </c>
      <c r="AK745">
        <f>IF($C745="","",IF(OR($AD745=TRUE(),$AD745="TRUE"),0,1))</f>
        <v/>
      </c>
      <c r="AL745">
        <f>IF($AI745=1,IFERROR(IF(VALUE($C745)&lt;100000000,VALUE($C745),1000000000),IFERROR(IF(VALUE(MID($C745,2,20))&lt;100000000,VALUE(MID($C745,2,20)),1000000000),1000000000))+ROW()/100000,"")</f>
        <v/>
      </c>
    </row>
    <row r="746">
      <c r="J746" s="7" t="n"/>
      <c r="K746" s="7" t="n"/>
      <c r="R746" s="7">
        <f>IF($C746="","",Q746*AC746/100)</f>
        <v/>
      </c>
      <c r="S746" s="11" t="n"/>
      <c r="U746" s="11" t="n"/>
      <c r="AA746" s="7" t="n"/>
      <c r="AC746" s="7" t="n"/>
      <c r="AE746">
        <f>IF($C746="","",IF($AK746=1,Settings!$C$6,Settings!$C$7)*1)</f>
        <v/>
      </c>
      <c r="AF746" s="7">
        <f>IF($C746="","",AE746*AC746)</f>
        <v/>
      </c>
      <c r="AG746" s="7">
        <f>IF($C746="","",AC746-AF746)</f>
        <v/>
      </c>
      <c r="AH746" s="7">
        <f>IF($C746="","",AG746-R746)</f>
        <v/>
      </c>
      <c r="AI746">
        <f>IF($C746="","",IF(COUNTIF($C$2:$C746,$C746)=1,1,0))</f>
        <v/>
      </c>
      <c r="AJ746">
        <f>IF($AI746=1,SUMPRODUCT(--($AL$2:$AL$1501&lt;$AL746))+1,"")</f>
        <v/>
      </c>
      <c r="AK746">
        <f>IF($C746="","",IF(OR($AD746=TRUE(),$AD746="TRUE"),0,1))</f>
        <v/>
      </c>
      <c r="AL746">
        <f>IF($AI746=1,IFERROR(IF(VALUE($C746)&lt;100000000,VALUE($C746),1000000000),IFERROR(IF(VALUE(MID($C746,2,20))&lt;100000000,VALUE(MID($C746,2,20)),1000000000),1000000000))+ROW()/100000,"")</f>
        <v/>
      </c>
    </row>
    <row r="747">
      <c r="J747" s="7" t="n"/>
      <c r="K747" s="7" t="n"/>
      <c r="R747" s="7">
        <f>IF($C747="","",Q747*AC747/100)</f>
        <v/>
      </c>
      <c r="S747" s="11" t="n"/>
      <c r="U747" s="11" t="n"/>
      <c r="AA747" s="7" t="n"/>
      <c r="AC747" s="7" t="n"/>
      <c r="AE747">
        <f>IF($C747="","",IF($AK747=1,Settings!$C$6,Settings!$C$7)*1)</f>
        <v/>
      </c>
      <c r="AF747" s="7">
        <f>IF($C747="","",AE747*AC747)</f>
        <v/>
      </c>
      <c r="AG747" s="7">
        <f>IF($C747="","",AC747-AF747)</f>
        <v/>
      </c>
      <c r="AH747" s="7">
        <f>IF($C747="","",AG747-R747)</f>
        <v/>
      </c>
      <c r="AI747">
        <f>IF($C747="","",IF(COUNTIF($C$2:$C747,$C747)=1,1,0))</f>
        <v/>
      </c>
      <c r="AJ747">
        <f>IF($AI747=1,SUMPRODUCT(--($AL$2:$AL$1501&lt;$AL747))+1,"")</f>
        <v/>
      </c>
      <c r="AK747">
        <f>IF($C747="","",IF(OR($AD747=TRUE(),$AD747="TRUE"),0,1))</f>
        <v/>
      </c>
      <c r="AL747">
        <f>IF($AI747=1,IFERROR(IF(VALUE($C747)&lt;100000000,VALUE($C747),1000000000),IFERROR(IF(VALUE(MID($C747,2,20))&lt;100000000,VALUE(MID($C747,2,20)),1000000000),1000000000))+ROW()/100000,"")</f>
        <v/>
      </c>
    </row>
    <row r="748">
      <c r="J748" s="7" t="n"/>
      <c r="K748" s="7" t="n"/>
      <c r="R748" s="7">
        <f>IF($C748="","",Q748*AC748/100)</f>
        <v/>
      </c>
      <c r="S748" s="11" t="n"/>
      <c r="U748" s="11" t="n"/>
      <c r="AA748" s="7" t="n"/>
      <c r="AC748" s="7" t="n"/>
      <c r="AE748">
        <f>IF($C748="","",IF($AK748=1,Settings!$C$6,Settings!$C$7)*1)</f>
        <v/>
      </c>
      <c r="AF748" s="7">
        <f>IF($C748="","",AE748*AC748)</f>
        <v/>
      </c>
      <c r="AG748" s="7">
        <f>IF($C748="","",AC748-AF748)</f>
        <v/>
      </c>
      <c r="AH748" s="7">
        <f>IF($C748="","",AG748-R748)</f>
        <v/>
      </c>
      <c r="AI748">
        <f>IF($C748="","",IF(COUNTIF($C$2:$C748,$C748)=1,1,0))</f>
        <v/>
      </c>
      <c r="AJ748">
        <f>IF($AI748=1,SUMPRODUCT(--($AL$2:$AL$1501&lt;$AL748))+1,"")</f>
        <v/>
      </c>
      <c r="AK748">
        <f>IF($C748="","",IF(OR($AD748=TRUE(),$AD748="TRUE"),0,1))</f>
        <v/>
      </c>
      <c r="AL748">
        <f>IF($AI748=1,IFERROR(IF(VALUE($C748)&lt;100000000,VALUE($C748),1000000000),IFERROR(IF(VALUE(MID($C748,2,20))&lt;100000000,VALUE(MID($C748,2,20)),1000000000),1000000000))+ROW()/100000,"")</f>
        <v/>
      </c>
    </row>
    <row r="749">
      <c r="J749" s="7" t="n"/>
      <c r="K749" s="7" t="n"/>
      <c r="R749" s="7">
        <f>IF($C749="","",Q749*AC749/100)</f>
        <v/>
      </c>
      <c r="S749" s="11" t="n"/>
      <c r="U749" s="11" t="n"/>
      <c r="AA749" s="7" t="n"/>
      <c r="AC749" s="7" t="n"/>
      <c r="AE749">
        <f>IF($C749="","",IF($AK749=1,Settings!$C$6,Settings!$C$7)*1)</f>
        <v/>
      </c>
      <c r="AF749" s="7">
        <f>IF($C749="","",AE749*AC749)</f>
        <v/>
      </c>
      <c r="AG749" s="7">
        <f>IF($C749="","",AC749-AF749)</f>
        <v/>
      </c>
      <c r="AH749" s="7">
        <f>IF($C749="","",AG749-R749)</f>
        <v/>
      </c>
      <c r="AI749">
        <f>IF($C749="","",IF(COUNTIF($C$2:$C749,$C749)=1,1,0))</f>
        <v/>
      </c>
      <c r="AJ749">
        <f>IF($AI749=1,SUMPRODUCT(--($AL$2:$AL$1501&lt;$AL749))+1,"")</f>
        <v/>
      </c>
      <c r="AK749">
        <f>IF($C749="","",IF(OR($AD749=TRUE(),$AD749="TRUE"),0,1))</f>
        <v/>
      </c>
      <c r="AL749">
        <f>IF($AI749=1,IFERROR(IF(VALUE($C749)&lt;100000000,VALUE($C749),1000000000),IFERROR(IF(VALUE(MID($C749,2,20))&lt;100000000,VALUE(MID($C749,2,20)),1000000000),1000000000))+ROW()/100000,"")</f>
        <v/>
      </c>
    </row>
    <row r="750">
      <c r="J750" s="7" t="n"/>
      <c r="K750" s="7" t="n"/>
      <c r="R750" s="7">
        <f>IF($C750="","",Q750*AC750/100)</f>
        <v/>
      </c>
      <c r="S750" s="11" t="n"/>
      <c r="U750" s="11" t="n"/>
      <c r="AA750" s="7" t="n"/>
      <c r="AC750" s="7" t="n"/>
      <c r="AE750">
        <f>IF($C750="","",IF($AK750=1,Settings!$C$6,Settings!$C$7)*1)</f>
        <v/>
      </c>
      <c r="AF750" s="7">
        <f>IF($C750="","",AE750*AC750)</f>
        <v/>
      </c>
      <c r="AG750" s="7">
        <f>IF($C750="","",AC750-AF750)</f>
        <v/>
      </c>
      <c r="AH750" s="7">
        <f>IF($C750="","",AG750-R750)</f>
        <v/>
      </c>
      <c r="AI750">
        <f>IF($C750="","",IF(COUNTIF($C$2:$C750,$C750)=1,1,0))</f>
        <v/>
      </c>
      <c r="AJ750">
        <f>IF($AI750=1,SUMPRODUCT(--($AL$2:$AL$1501&lt;$AL750))+1,"")</f>
        <v/>
      </c>
      <c r="AK750">
        <f>IF($C750="","",IF(OR($AD750=TRUE(),$AD750="TRUE"),0,1))</f>
        <v/>
      </c>
      <c r="AL750">
        <f>IF($AI750=1,IFERROR(IF(VALUE($C750)&lt;100000000,VALUE($C750),1000000000),IFERROR(IF(VALUE(MID($C750,2,20))&lt;100000000,VALUE(MID($C750,2,20)),1000000000),1000000000))+ROW()/100000,"")</f>
        <v/>
      </c>
    </row>
    <row r="751">
      <c r="J751" s="7" t="n"/>
      <c r="K751" s="7" t="n"/>
      <c r="R751" s="7">
        <f>IF($C751="","",Q751*AC751/100)</f>
        <v/>
      </c>
      <c r="S751" s="11" t="n"/>
      <c r="U751" s="11" t="n"/>
      <c r="AA751" s="7" t="n"/>
      <c r="AC751" s="7" t="n"/>
      <c r="AE751">
        <f>IF($C751="","",IF($AK751=1,Settings!$C$6,Settings!$C$7)*1)</f>
        <v/>
      </c>
      <c r="AF751" s="7">
        <f>IF($C751="","",AE751*AC751)</f>
        <v/>
      </c>
      <c r="AG751" s="7">
        <f>IF($C751="","",AC751-AF751)</f>
        <v/>
      </c>
      <c r="AH751" s="7">
        <f>IF($C751="","",AG751-R751)</f>
        <v/>
      </c>
      <c r="AI751">
        <f>IF($C751="","",IF(COUNTIF($C$2:$C751,$C751)=1,1,0))</f>
        <v/>
      </c>
      <c r="AJ751">
        <f>IF($AI751=1,SUMPRODUCT(--($AL$2:$AL$1501&lt;$AL751))+1,"")</f>
        <v/>
      </c>
      <c r="AK751">
        <f>IF($C751="","",IF(OR($AD751=TRUE(),$AD751="TRUE"),0,1))</f>
        <v/>
      </c>
      <c r="AL751">
        <f>IF($AI751=1,IFERROR(IF(VALUE($C751)&lt;100000000,VALUE($C751),1000000000),IFERROR(IF(VALUE(MID($C751,2,20))&lt;100000000,VALUE(MID($C751,2,20)),1000000000),1000000000))+ROW()/100000,"")</f>
        <v/>
      </c>
    </row>
    <row r="752">
      <c r="J752" s="7" t="n"/>
      <c r="K752" s="7" t="n"/>
      <c r="R752" s="7">
        <f>IF($C752="","",Q752*AC752/100)</f>
        <v/>
      </c>
      <c r="S752" s="11" t="n"/>
      <c r="U752" s="11" t="n"/>
      <c r="AA752" s="7" t="n"/>
      <c r="AC752" s="7" t="n"/>
      <c r="AE752">
        <f>IF($C752="","",IF($AK752=1,Settings!$C$6,Settings!$C$7)*1)</f>
        <v/>
      </c>
      <c r="AF752" s="7">
        <f>IF($C752="","",AE752*AC752)</f>
        <v/>
      </c>
      <c r="AG752" s="7">
        <f>IF($C752="","",AC752-AF752)</f>
        <v/>
      </c>
      <c r="AH752" s="7">
        <f>IF($C752="","",AG752-R752)</f>
        <v/>
      </c>
      <c r="AI752">
        <f>IF($C752="","",IF(COUNTIF($C$2:$C752,$C752)=1,1,0))</f>
        <v/>
      </c>
      <c r="AJ752">
        <f>IF($AI752=1,SUMPRODUCT(--($AL$2:$AL$1501&lt;$AL752))+1,"")</f>
        <v/>
      </c>
      <c r="AK752">
        <f>IF($C752="","",IF(OR($AD752=TRUE(),$AD752="TRUE"),0,1))</f>
        <v/>
      </c>
      <c r="AL752">
        <f>IF($AI752=1,IFERROR(IF(VALUE($C752)&lt;100000000,VALUE($C752),1000000000),IFERROR(IF(VALUE(MID($C752,2,20))&lt;100000000,VALUE(MID($C752,2,20)),1000000000),1000000000))+ROW()/100000,"")</f>
        <v/>
      </c>
    </row>
    <row r="753">
      <c r="J753" s="7" t="n"/>
      <c r="K753" s="7" t="n"/>
      <c r="R753" s="7">
        <f>IF($C753="","",Q753*AC753/100)</f>
        <v/>
      </c>
      <c r="S753" s="11" t="n"/>
      <c r="U753" s="11" t="n"/>
      <c r="AA753" s="7" t="n"/>
      <c r="AC753" s="7" t="n"/>
      <c r="AE753">
        <f>IF($C753="","",IF($AK753=1,Settings!$C$6,Settings!$C$7)*1)</f>
        <v/>
      </c>
      <c r="AF753" s="7">
        <f>IF($C753="","",AE753*AC753)</f>
        <v/>
      </c>
      <c r="AG753" s="7">
        <f>IF($C753="","",AC753-AF753)</f>
        <v/>
      </c>
      <c r="AH753" s="7">
        <f>IF($C753="","",AG753-R753)</f>
        <v/>
      </c>
      <c r="AI753">
        <f>IF($C753="","",IF(COUNTIF($C$2:$C753,$C753)=1,1,0))</f>
        <v/>
      </c>
      <c r="AJ753">
        <f>IF($AI753=1,SUMPRODUCT(--($AL$2:$AL$1501&lt;$AL753))+1,"")</f>
        <v/>
      </c>
      <c r="AK753">
        <f>IF($C753="","",IF(OR($AD753=TRUE(),$AD753="TRUE"),0,1))</f>
        <v/>
      </c>
      <c r="AL753">
        <f>IF($AI753=1,IFERROR(IF(VALUE($C753)&lt;100000000,VALUE($C753),1000000000),IFERROR(IF(VALUE(MID($C753,2,20))&lt;100000000,VALUE(MID($C753,2,20)),1000000000),1000000000))+ROW()/100000,"")</f>
        <v/>
      </c>
    </row>
    <row r="754">
      <c r="J754" s="7" t="n"/>
      <c r="K754" s="7" t="n"/>
      <c r="R754" s="7">
        <f>IF($C754="","",Q754*AC754/100)</f>
        <v/>
      </c>
      <c r="S754" s="11" t="n"/>
      <c r="U754" s="11" t="n"/>
      <c r="AA754" s="7" t="n"/>
      <c r="AC754" s="7" t="n"/>
      <c r="AE754">
        <f>IF($C754="","",IF($AK754=1,Settings!$C$6,Settings!$C$7)*1)</f>
        <v/>
      </c>
      <c r="AF754" s="7">
        <f>IF($C754="","",AE754*AC754)</f>
        <v/>
      </c>
      <c r="AG754" s="7">
        <f>IF($C754="","",AC754-AF754)</f>
        <v/>
      </c>
      <c r="AH754" s="7">
        <f>IF($C754="","",AG754-R754)</f>
        <v/>
      </c>
      <c r="AI754">
        <f>IF($C754="","",IF(COUNTIF($C$2:$C754,$C754)=1,1,0))</f>
        <v/>
      </c>
      <c r="AJ754">
        <f>IF($AI754=1,SUMPRODUCT(--($AL$2:$AL$1501&lt;$AL754))+1,"")</f>
        <v/>
      </c>
      <c r="AK754">
        <f>IF($C754="","",IF(OR($AD754=TRUE(),$AD754="TRUE"),0,1))</f>
        <v/>
      </c>
      <c r="AL754">
        <f>IF($AI754=1,IFERROR(IF(VALUE($C754)&lt;100000000,VALUE($C754),1000000000),IFERROR(IF(VALUE(MID($C754,2,20))&lt;100000000,VALUE(MID($C754,2,20)),1000000000),1000000000))+ROW()/100000,"")</f>
        <v/>
      </c>
    </row>
    <row r="755">
      <c r="J755" s="7" t="n"/>
      <c r="K755" s="7" t="n"/>
      <c r="R755" s="7">
        <f>IF($C755="","",Q755*AC755/100)</f>
        <v/>
      </c>
      <c r="S755" s="11" t="n"/>
      <c r="U755" s="11" t="n"/>
      <c r="AA755" s="7" t="n"/>
      <c r="AC755" s="7" t="n"/>
      <c r="AE755">
        <f>IF($C755="","",IF($AK755=1,Settings!$C$6,Settings!$C$7)*1)</f>
        <v/>
      </c>
      <c r="AF755" s="7">
        <f>IF($C755="","",AE755*AC755)</f>
        <v/>
      </c>
      <c r="AG755" s="7">
        <f>IF($C755="","",AC755-AF755)</f>
        <v/>
      </c>
      <c r="AH755" s="7">
        <f>IF($C755="","",AG755-R755)</f>
        <v/>
      </c>
      <c r="AI755">
        <f>IF($C755="","",IF(COUNTIF($C$2:$C755,$C755)=1,1,0))</f>
        <v/>
      </c>
      <c r="AJ755">
        <f>IF($AI755=1,SUMPRODUCT(--($AL$2:$AL$1501&lt;$AL755))+1,"")</f>
        <v/>
      </c>
      <c r="AK755">
        <f>IF($C755="","",IF(OR($AD755=TRUE(),$AD755="TRUE"),0,1))</f>
        <v/>
      </c>
      <c r="AL755">
        <f>IF($AI755=1,IFERROR(IF(VALUE($C755)&lt;100000000,VALUE($C755),1000000000),IFERROR(IF(VALUE(MID($C755,2,20))&lt;100000000,VALUE(MID($C755,2,20)),1000000000),1000000000))+ROW()/100000,"")</f>
        <v/>
      </c>
    </row>
    <row r="756">
      <c r="J756" s="7" t="n"/>
      <c r="K756" s="7" t="n"/>
      <c r="R756" s="7">
        <f>IF($C756="","",Q756*AC756/100)</f>
        <v/>
      </c>
      <c r="S756" s="11" t="n"/>
      <c r="U756" s="11" t="n"/>
      <c r="AA756" s="7" t="n"/>
      <c r="AC756" s="7" t="n"/>
      <c r="AE756">
        <f>IF($C756="","",IF($AK756=1,Settings!$C$6,Settings!$C$7)*1)</f>
        <v/>
      </c>
      <c r="AF756" s="7">
        <f>IF($C756="","",AE756*AC756)</f>
        <v/>
      </c>
      <c r="AG756" s="7">
        <f>IF($C756="","",AC756-AF756)</f>
        <v/>
      </c>
      <c r="AH756" s="7">
        <f>IF($C756="","",AG756-R756)</f>
        <v/>
      </c>
      <c r="AI756">
        <f>IF($C756="","",IF(COUNTIF($C$2:$C756,$C756)=1,1,0))</f>
        <v/>
      </c>
      <c r="AJ756">
        <f>IF($AI756=1,SUMPRODUCT(--($AL$2:$AL$1501&lt;$AL756))+1,"")</f>
        <v/>
      </c>
      <c r="AK756">
        <f>IF($C756="","",IF(OR($AD756=TRUE(),$AD756="TRUE"),0,1))</f>
        <v/>
      </c>
      <c r="AL756">
        <f>IF($AI756=1,IFERROR(IF(VALUE($C756)&lt;100000000,VALUE($C756),1000000000),IFERROR(IF(VALUE(MID($C756,2,20))&lt;100000000,VALUE(MID($C756,2,20)),1000000000),1000000000))+ROW()/100000,"")</f>
        <v/>
      </c>
    </row>
    <row r="757">
      <c r="J757" s="7" t="n"/>
      <c r="K757" s="7" t="n"/>
      <c r="R757" s="7">
        <f>IF($C757="","",Q757*AC757/100)</f>
        <v/>
      </c>
      <c r="S757" s="11" t="n"/>
      <c r="U757" s="11" t="n"/>
      <c r="AA757" s="7" t="n"/>
      <c r="AC757" s="7" t="n"/>
      <c r="AE757">
        <f>IF($C757="","",IF($AK757=1,Settings!$C$6,Settings!$C$7)*1)</f>
        <v/>
      </c>
      <c r="AF757" s="7">
        <f>IF($C757="","",AE757*AC757)</f>
        <v/>
      </c>
      <c r="AG757" s="7">
        <f>IF($C757="","",AC757-AF757)</f>
        <v/>
      </c>
      <c r="AH757" s="7">
        <f>IF($C757="","",AG757-R757)</f>
        <v/>
      </c>
      <c r="AI757">
        <f>IF($C757="","",IF(COUNTIF($C$2:$C757,$C757)=1,1,0))</f>
        <v/>
      </c>
      <c r="AJ757">
        <f>IF($AI757=1,SUMPRODUCT(--($AL$2:$AL$1501&lt;$AL757))+1,"")</f>
        <v/>
      </c>
      <c r="AK757">
        <f>IF($C757="","",IF(OR($AD757=TRUE(),$AD757="TRUE"),0,1))</f>
        <v/>
      </c>
      <c r="AL757">
        <f>IF($AI757=1,IFERROR(IF(VALUE($C757)&lt;100000000,VALUE($C757),1000000000),IFERROR(IF(VALUE(MID($C757,2,20))&lt;100000000,VALUE(MID($C757,2,20)),1000000000),1000000000))+ROW()/100000,"")</f>
        <v/>
      </c>
    </row>
    <row r="758">
      <c r="J758" s="7" t="n"/>
      <c r="K758" s="7" t="n"/>
      <c r="R758" s="7">
        <f>IF($C758="","",Q758*AC758/100)</f>
        <v/>
      </c>
      <c r="S758" s="11" t="n"/>
      <c r="U758" s="11" t="n"/>
      <c r="AA758" s="7" t="n"/>
      <c r="AC758" s="7" t="n"/>
      <c r="AE758">
        <f>IF($C758="","",IF($AK758=1,Settings!$C$6,Settings!$C$7)*1)</f>
        <v/>
      </c>
      <c r="AF758" s="7">
        <f>IF($C758="","",AE758*AC758)</f>
        <v/>
      </c>
      <c r="AG758" s="7">
        <f>IF($C758="","",AC758-AF758)</f>
        <v/>
      </c>
      <c r="AH758" s="7">
        <f>IF($C758="","",AG758-R758)</f>
        <v/>
      </c>
      <c r="AI758">
        <f>IF($C758="","",IF(COUNTIF($C$2:$C758,$C758)=1,1,0))</f>
        <v/>
      </c>
      <c r="AJ758">
        <f>IF($AI758=1,SUMPRODUCT(--($AL$2:$AL$1501&lt;$AL758))+1,"")</f>
        <v/>
      </c>
      <c r="AK758">
        <f>IF($C758="","",IF(OR($AD758=TRUE(),$AD758="TRUE"),0,1))</f>
        <v/>
      </c>
      <c r="AL758">
        <f>IF($AI758=1,IFERROR(IF(VALUE($C758)&lt;100000000,VALUE($C758),1000000000),IFERROR(IF(VALUE(MID($C758,2,20))&lt;100000000,VALUE(MID($C758,2,20)),1000000000),1000000000))+ROW()/100000,"")</f>
        <v/>
      </c>
    </row>
    <row r="759">
      <c r="J759" s="7" t="n"/>
      <c r="K759" s="7" t="n"/>
      <c r="R759" s="7">
        <f>IF($C759="","",Q759*AC759/100)</f>
        <v/>
      </c>
      <c r="S759" s="11" t="n"/>
      <c r="U759" s="11" t="n"/>
      <c r="AA759" s="7" t="n"/>
      <c r="AC759" s="7" t="n"/>
      <c r="AE759">
        <f>IF($C759="","",IF($AK759=1,Settings!$C$6,Settings!$C$7)*1)</f>
        <v/>
      </c>
      <c r="AF759" s="7">
        <f>IF($C759="","",AE759*AC759)</f>
        <v/>
      </c>
      <c r="AG759" s="7">
        <f>IF($C759="","",AC759-AF759)</f>
        <v/>
      </c>
      <c r="AH759" s="7">
        <f>IF($C759="","",AG759-R759)</f>
        <v/>
      </c>
      <c r="AI759">
        <f>IF($C759="","",IF(COUNTIF($C$2:$C759,$C759)=1,1,0))</f>
        <v/>
      </c>
      <c r="AJ759">
        <f>IF($AI759=1,SUMPRODUCT(--($AL$2:$AL$1501&lt;$AL759))+1,"")</f>
        <v/>
      </c>
      <c r="AK759">
        <f>IF($C759="","",IF(OR($AD759=TRUE(),$AD759="TRUE"),0,1))</f>
        <v/>
      </c>
      <c r="AL759">
        <f>IF($AI759=1,IFERROR(IF(VALUE($C759)&lt;100000000,VALUE($C759),1000000000),IFERROR(IF(VALUE(MID($C759,2,20))&lt;100000000,VALUE(MID($C759,2,20)),1000000000),1000000000))+ROW()/100000,"")</f>
        <v/>
      </c>
    </row>
    <row r="760">
      <c r="J760" s="7" t="n"/>
      <c r="K760" s="7" t="n"/>
      <c r="R760" s="7">
        <f>IF($C760="","",Q760*AC760/100)</f>
        <v/>
      </c>
      <c r="S760" s="11" t="n"/>
      <c r="U760" s="11" t="n"/>
      <c r="AA760" s="7" t="n"/>
      <c r="AC760" s="7" t="n"/>
      <c r="AE760">
        <f>IF($C760="","",IF($AK760=1,Settings!$C$6,Settings!$C$7)*1)</f>
        <v/>
      </c>
      <c r="AF760" s="7">
        <f>IF($C760="","",AE760*AC760)</f>
        <v/>
      </c>
      <c r="AG760" s="7">
        <f>IF($C760="","",AC760-AF760)</f>
        <v/>
      </c>
      <c r="AH760" s="7">
        <f>IF($C760="","",AG760-R760)</f>
        <v/>
      </c>
      <c r="AI760">
        <f>IF($C760="","",IF(COUNTIF($C$2:$C760,$C760)=1,1,0))</f>
        <v/>
      </c>
      <c r="AJ760">
        <f>IF($AI760=1,SUMPRODUCT(--($AL$2:$AL$1501&lt;$AL760))+1,"")</f>
        <v/>
      </c>
      <c r="AK760">
        <f>IF($C760="","",IF(OR($AD760=TRUE(),$AD760="TRUE"),0,1))</f>
        <v/>
      </c>
      <c r="AL760">
        <f>IF($AI760=1,IFERROR(IF(VALUE($C760)&lt;100000000,VALUE($C760),1000000000),IFERROR(IF(VALUE(MID($C760,2,20))&lt;100000000,VALUE(MID($C760,2,20)),1000000000),1000000000))+ROW()/100000,"")</f>
        <v/>
      </c>
    </row>
    <row r="761">
      <c r="J761" s="7" t="n"/>
      <c r="K761" s="7" t="n"/>
      <c r="R761" s="7">
        <f>IF($C761="","",Q761*AC761/100)</f>
        <v/>
      </c>
      <c r="S761" s="11" t="n"/>
      <c r="U761" s="11" t="n"/>
      <c r="AA761" s="7" t="n"/>
      <c r="AC761" s="7" t="n"/>
      <c r="AE761">
        <f>IF($C761="","",IF($AK761=1,Settings!$C$6,Settings!$C$7)*1)</f>
        <v/>
      </c>
      <c r="AF761" s="7">
        <f>IF($C761="","",AE761*AC761)</f>
        <v/>
      </c>
      <c r="AG761" s="7">
        <f>IF($C761="","",AC761-AF761)</f>
        <v/>
      </c>
      <c r="AH761" s="7">
        <f>IF($C761="","",AG761-R761)</f>
        <v/>
      </c>
      <c r="AI761">
        <f>IF($C761="","",IF(COUNTIF($C$2:$C761,$C761)=1,1,0))</f>
        <v/>
      </c>
      <c r="AJ761">
        <f>IF($AI761=1,SUMPRODUCT(--($AL$2:$AL$1501&lt;$AL761))+1,"")</f>
        <v/>
      </c>
      <c r="AK761">
        <f>IF($C761="","",IF(OR($AD761=TRUE(),$AD761="TRUE"),0,1))</f>
        <v/>
      </c>
      <c r="AL761">
        <f>IF($AI761=1,IFERROR(IF(VALUE($C761)&lt;100000000,VALUE($C761),1000000000),IFERROR(IF(VALUE(MID($C761,2,20))&lt;100000000,VALUE(MID($C761,2,20)),1000000000),1000000000))+ROW()/100000,"")</f>
        <v/>
      </c>
    </row>
    <row r="762">
      <c r="J762" s="7" t="n"/>
      <c r="K762" s="7" t="n"/>
      <c r="R762" s="7">
        <f>IF($C762="","",Q762*AC762/100)</f>
        <v/>
      </c>
      <c r="S762" s="11" t="n"/>
      <c r="U762" s="11" t="n"/>
      <c r="AA762" s="7" t="n"/>
      <c r="AC762" s="7" t="n"/>
      <c r="AE762">
        <f>IF($C762="","",IF($AK762=1,Settings!$C$6,Settings!$C$7)*1)</f>
        <v/>
      </c>
      <c r="AF762" s="7">
        <f>IF($C762="","",AE762*AC762)</f>
        <v/>
      </c>
      <c r="AG762" s="7">
        <f>IF($C762="","",AC762-AF762)</f>
        <v/>
      </c>
      <c r="AH762" s="7">
        <f>IF($C762="","",AG762-R762)</f>
        <v/>
      </c>
      <c r="AI762">
        <f>IF($C762="","",IF(COUNTIF($C$2:$C762,$C762)=1,1,0))</f>
        <v/>
      </c>
      <c r="AJ762">
        <f>IF($AI762=1,SUMPRODUCT(--($AL$2:$AL$1501&lt;$AL762))+1,"")</f>
        <v/>
      </c>
      <c r="AK762">
        <f>IF($C762="","",IF(OR($AD762=TRUE(),$AD762="TRUE"),0,1))</f>
        <v/>
      </c>
      <c r="AL762">
        <f>IF($AI762=1,IFERROR(IF(VALUE($C762)&lt;100000000,VALUE($C762),1000000000),IFERROR(IF(VALUE(MID($C762,2,20))&lt;100000000,VALUE(MID($C762,2,20)),1000000000),1000000000))+ROW()/100000,"")</f>
        <v/>
      </c>
    </row>
    <row r="763">
      <c r="J763" s="7" t="n"/>
      <c r="K763" s="7" t="n"/>
      <c r="R763" s="7">
        <f>IF($C763="","",Q763*AC763/100)</f>
        <v/>
      </c>
      <c r="S763" s="11" t="n"/>
      <c r="U763" s="11" t="n"/>
      <c r="AA763" s="7" t="n"/>
      <c r="AC763" s="7" t="n"/>
      <c r="AE763">
        <f>IF($C763="","",IF($AK763=1,Settings!$C$6,Settings!$C$7)*1)</f>
        <v/>
      </c>
      <c r="AF763" s="7">
        <f>IF($C763="","",AE763*AC763)</f>
        <v/>
      </c>
      <c r="AG763" s="7">
        <f>IF($C763="","",AC763-AF763)</f>
        <v/>
      </c>
      <c r="AH763" s="7">
        <f>IF($C763="","",AG763-R763)</f>
        <v/>
      </c>
      <c r="AI763">
        <f>IF($C763="","",IF(COUNTIF($C$2:$C763,$C763)=1,1,0))</f>
        <v/>
      </c>
      <c r="AJ763">
        <f>IF($AI763=1,SUMPRODUCT(--($AL$2:$AL$1501&lt;$AL763))+1,"")</f>
        <v/>
      </c>
      <c r="AK763">
        <f>IF($C763="","",IF(OR($AD763=TRUE(),$AD763="TRUE"),0,1))</f>
        <v/>
      </c>
      <c r="AL763">
        <f>IF($AI763=1,IFERROR(IF(VALUE($C763)&lt;100000000,VALUE($C763),1000000000),IFERROR(IF(VALUE(MID($C763,2,20))&lt;100000000,VALUE(MID($C763,2,20)),1000000000),1000000000))+ROW()/100000,"")</f>
        <v/>
      </c>
    </row>
    <row r="764">
      <c r="J764" s="7" t="n"/>
      <c r="K764" s="7" t="n"/>
      <c r="R764" s="7">
        <f>IF($C764="","",Q764*AC764/100)</f>
        <v/>
      </c>
      <c r="S764" s="11" t="n"/>
      <c r="U764" s="11" t="n"/>
      <c r="AA764" s="7" t="n"/>
      <c r="AC764" s="7" t="n"/>
      <c r="AE764">
        <f>IF($C764="","",IF($AK764=1,Settings!$C$6,Settings!$C$7)*1)</f>
        <v/>
      </c>
      <c r="AF764" s="7">
        <f>IF($C764="","",AE764*AC764)</f>
        <v/>
      </c>
      <c r="AG764" s="7">
        <f>IF($C764="","",AC764-AF764)</f>
        <v/>
      </c>
      <c r="AH764" s="7">
        <f>IF($C764="","",AG764-R764)</f>
        <v/>
      </c>
      <c r="AI764">
        <f>IF($C764="","",IF(COUNTIF($C$2:$C764,$C764)=1,1,0))</f>
        <v/>
      </c>
      <c r="AJ764">
        <f>IF($AI764=1,SUMPRODUCT(--($AL$2:$AL$1501&lt;$AL764))+1,"")</f>
        <v/>
      </c>
      <c r="AK764">
        <f>IF($C764="","",IF(OR($AD764=TRUE(),$AD764="TRUE"),0,1))</f>
        <v/>
      </c>
      <c r="AL764">
        <f>IF($AI764=1,IFERROR(IF(VALUE($C764)&lt;100000000,VALUE($C764),1000000000),IFERROR(IF(VALUE(MID($C764,2,20))&lt;100000000,VALUE(MID($C764,2,20)),1000000000),1000000000))+ROW()/100000,"")</f>
        <v/>
      </c>
    </row>
    <row r="765">
      <c r="J765" s="7" t="n"/>
      <c r="K765" s="7" t="n"/>
      <c r="R765" s="7">
        <f>IF($C765="","",Q765*AC765/100)</f>
        <v/>
      </c>
      <c r="S765" s="11" t="n"/>
      <c r="U765" s="11" t="n"/>
      <c r="AA765" s="7" t="n"/>
      <c r="AC765" s="7" t="n"/>
      <c r="AE765">
        <f>IF($C765="","",IF($AK765=1,Settings!$C$6,Settings!$C$7)*1)</f>
        <v/>
      </c>
      <c r="AF765" s="7">
        <f>IF($C765="","",AE765*AC765)</f>
        <v/>
      </c>
      <c r="AG765" s="7">
        <f>IF($C765="","",AC765-AF765)</f>
        <v/>
      </c>
      <c r="AH765" s="7">
        <f>IF($C765="","",AG765-R765)</f>
        <v/>
      </c>
      <c r="AI765">
        <f>IF($C765="","",IF(COUNTIF($C$2:$C765,$C765)=1,1,0))</f>
        <v/>
      </c>
      <c r="AJ765">
        <f>IF($AI765=1,SUMPRODUCT(--($AL$2:$AL$1501&lt;$AL765))+1,"")</f>
        <v/>
      </c>
      <c r="AK765">
        <f>IF($C765="","",IF(OR($AD765=TRUE(),$AD765="TRUE"),0,1))</f>
        <v/>
      </c>
      <c r="AL765">
        <f>IF($AI765=1,IFERROR(IF(VALUE($C765)&lt;100000000,VALUE($C765),1000000000),IFERROR(IF(VALUE(MID($C765,2,20))&lt;100000000,VALUE(MID($C765,2,20)),1000000000),1000000000))+ROW()/100000,"")</f>
        <v/>
      </c>
    </row>
    <row r="766">
      <c r="J766" s="7" t="n"/>
      <c r="K766" s="7" t="n"/>
      <c r="R766" s="7">
        <f>IF($C766="","",Q766*AC766/100)</f>
        <v/>
      </c>
      <c r="S766" s="11" t="n"/>
      <c r="U766" s="11" t="n"/>
      <c r="AA766" s="7" t="n"/>
      <c r="AC766" s="7" t="n"/>
      <c r="AE766">
        <f>IF($C766="","",IF($AK766=1,Settings!$C$6,Settings!$C$7)*1)</f>
        <v/>
      </c>
      <c r="AF766" s="7">
        <f>IF($C766="","",AE766*AC766)</f>
        <v/>
      </c>
      <c r="AG766" s="7">
        <f>IF($C766="","",AC766-AF766)</f>
        <v/>
      </c>
      <c r="AH766" s="7">
        <f>IF($C766="","",AG766-R766)</f>
        <v/>
      </c>
      <c r="AI766">
        <f>IF($C766="","",IF(COUNTIF($C$2:$C766,$C766)=1,1,0))</f>
        <v/>
      </c>
      <c r="AJ766">
        <f>IF($AI766=1,SUMPRODUCT(--($AL$2:$AL$1501&lt;$AL766))+1,"")</f>
        <v/>
      </c>
      <c r="AK766">
        <f>IF($C766="","",IF(OR($AD766=TRUE(),$AD766="TRUE"),0,1))</f>
        <v/>
      </c>
      <c r="AL766">
        <f>IF($AI766=1,IFERROR(IF(VALUE($C766)&lt;100000000,VALUE($C766),1000000000),IFERROR(IF(VALUE(MID($C766,2,20))&lt;100000000,VALUE(MID($C766,2,20)),1000000000),1000000000))+ROW()/100000,"")</f>
        <v/>
      </c>
    </row>
    <row r="767">
      <c r="J767" s="7" t="n"/>
      <c r="K767" s="7" t="n"/>
      <c r="R767" s="7">
        <f>IF($C767="","",Q767*AC767/100)</f>
        <v/>
      </c>
      <c r="S767" s="11" t="n"/>
      <c r="U767" s="11" t="n"/>
      <c r="AA767" s="7" t="n"/>
      <c r="AC767" s="7" t="n"/>
      <c r="AE767">
        <f>IF($C767="","",IF($AK767=1,Settings!$C$6,Settings!$C$7)*1)</f>
        <v/>
      </c>
      <c r="AF767" s="7">
        <f>IF($C767="","",AE767*AC767)</f>
        <v/>
      </c>
      <c r="AG767" s="7">
        <f>IF($C767="","",AC767-AF767)</f>
        <v/>
      </c>
      <c r="AH767" s="7">
        <f>IF($C767="","",AG767-R767)</f>
        <v/>
      </c>
      <c r="AI767">
        <f>IF($C767="","",IF(COUNTIF($C$2:$C767,$C767)=1,1,0))</f>
        <v/>
      </c>
      <c r="AJ767">
        <f>IF($AI767=1,SUMPRODUCT(--($AL$2:$AL$1501&lt;$AL767))+1,"")</f>
        <v/>
      </c>
      <c r="AK767">
        <f>IF($C767="","",IF(OR($AD767=TRUE(),$AD767="TRUE"),0,1))</f>
        <v/>
      </c>
      <c r="AL767">
        <f>IF($AI767=1,IFERROR(IF(VALUE($C767)&lt;100000000,VALUE($C767),1000000000),IFERROR(IF(VALUE(MID($C767,2,20))&lt;100000000,VALUE(MID($C767,2,20)),1000000000),1000000000))+ROW()/100000,"")</f>
        <v/>
      </c>
    </row>
    <row r="768">
      <c r="J768" s="7" t="n"/>
      <c r="K768" s="7" t="n"/>
      <c r="R768" s="7">
        <f>IF($C768="","",Q768*AC768/100)</f>
        <v/>
      </c>
      <c r="S768" s="11" t="n"/>
      <c r="U768" s="11" t="n"/>
      <c r="AA768" s="7" t="n"/>
      <c r="AC768" s="7" t="n"/>
      <c r="AE768">
        <f>IF($C768="","",IF($AK768=1,Settings!$C$6,Settings!$C$7)*1)</f>
        <v/>
      </c>
      <c r="AF768" s="7">
        <f>IF($C768="","",AE768*AC768)</f>
        <v/>
      </c>
      <c r="AG768" s="7">
        <f>IF($C768="","",AC768-AF768)</f>
        <v/>
      </c>
      <c r="AH768" s="7">
        <f>IF($C768="","",AG768-R768)</f>
        <v/>
      </c>
      <c r="AI768">
        <f>IF($C768="","",IF(COUNTIF($C$2:$C768,$C768)=1,1,0))</f>
        <v/>
      </c>
      <c r="AJ768">
        <f>IF($AI768=1,SUMPRODUCT(--($AL$2:$AL$1501&lt;$AL768))+1,"")</f>
        <v/>
      </c>
      <c r="AK768">
        <f>IF($C768="","",IF(OR($AD768=TRUE(),$AD768="TRUE"),0,1))</f>
        <v/>
      </c>
      <c r="AL768">
        <f>IF($AI768=1,IFERROR(IF(VALUE($C768)&lt;100000000,VALUE($C768),1000000000),IFERROR(IF(VALUE(MID($C768,2,20))&lt;100000000,VALUE(MID($C768,2,20)),1000000000),1000000000))+ROW()/100000,"")</f>
        <v/>
      </c>
    </row>
    <row r="769">
      <c r="J769" s="7" t="n"/>
      <c r="K769" s="7" t="n"/>
      <c r="R769" s="7">
        <f>IF($C769="","",Q769*AC769/100)</f>
        <v/>
      </c>
      <c r="S769" s="11" t="n"/>
      <c r="U769" s="11" t="n"/>
      <c r="AA769" s="7" t="n"/>
      <c r="AC769" s="7" t="n"/>
      <c r="AE769">
        <f>IF($C769="","",IF($AK769=1,Settings!$C$6,Settings!$C$7)*1)</f>
        <v/>
      </c>
      <c r="AF769" s="7">
        <f>IF($C769="","",AE769*AC769)</f>
        <v/>
      </c>
      <c r="AG769" s="7">
        <f>IF($C769="","",AC769-AF769)</f>
        <v/>
      </c>
      <c r="AH769" s="7">
        <f>IF($C769="","",AG769-R769)</f>
        <v/>
      </c>
      <c r="AI769">
        <f>IF($C769="","",IF(COUNTIF($C$2:$C769,$C769)=1,1,0))</f>
        <v/>
      </c>
      <c r="AJ769">
        <f>IF($AI769=1,SUMPRODUCT(--($AL$2:$AL$1501&lt;$AL769))+1,"")</f>
        <v/>
      </c>
      <c r="AK769">
        <f>IF($C769="","",IF(OR($AD769=TRUE(),$AD769="TRUE"),0,1))</f>
        <v/>
      </c>
      <c r="AL769">
        <f>IF($AI769=1,IFERROR(IF(VALUE($C769)&lt;100000000,VALUE($C769),1000000000),IFERROR(IF(VALUE(MID($C769,2,20))&lt;100000000,VALUE(MID($C769,2,20)),1000000000),1000000000))+ROW()/100000,"")</f>
        <v/>
      </c>
    </row>
    <row r="770">
      <c r="J770" s="7" t="n"/>
      <c r="K770" s="7" t="n"/>
      <c r="R770" s="7">
        <f>IF($C770="","",Q770*AC770/100)</f>
        <v/>
      </c>
      <c r="S770" s="11" t="n"/>
      <c r="U770" s="11" t="n"/>
      <c r="AA770" s="7" t="n"/>
      <c r="AC770" s="7" t="n"/>
      <c r="AE770">
        <f>IF($C770="","",IF($AK770=1,Settings!$C$6,Settings!$C$7)*1)</f>
        <v/>
      </c>
      <c r="AF770" s="7">
        <f>IF($C770="","",AE770*AC770)</f>
        <v/>
      </c>
      <c r="AG770" s="7">
        <f>IF($C770="","",AC770-AF770)</f>
        <v/>
      </c>
      <c r="AH770" s="7">
        <f>IF($C770="","",AG770-R770)</f>
        <v/>
      </c>
      <c r="AI770">
        <f>IF($C770="","",IF(COUNTIF($C$2:$C770,$C770)=1,1,0))</f>
        <v/>
      </c>
      <c r="AJ770">
        <f>IF($AI770=1,SUMPRODUCT(--($AL$2:$AL$1501&lt;$AL770))+1,"")</f>
        <v/>
      </c>
      <c r="AK770">
        <f>IF($C770="","",IF(OR($AD770=TRUE(),$AD770="TRUE"),0,1))</f>
        <v/>
      </c>
      <c r="AL770">
        <f>IF($AI770=1,IFERROR(IF(VALUE($C770)&lt;100000000,VALUE($C770),1000000000),IFERROR(IF(VALUE(MID($C770,2,20))&lt;100000000,VALUE(MID($C770,2,20)),1000000000),1000000000))+ROW()/100000,"")</f>
        <v/>
      </c>
    </row>
    <row r="771">
      <c r="J771" s="7" t="n"/>
      <c r="K771" s="7" t="n"/>
      <c r="R771" s="7">
        <f>IF($C771="","",Q771*AC771/100)</f>
        <v/>
      </c>
      <c r="S771" s="11" t="n"/>
      <c r="U771" s="11" t="n"/>
      <c r="AA771" s="7" t="n"/>
      <c r="AC771" s="7" t="n"/>
      <c r="AE771">
        <f>IF($C771="","",IF($AK771=1,Settings!$C$6,Settings!$C$7)*1)</f>
        <v/>
      </c>
      <c r="AF771" s="7">
        <f>IF($C771="","",AE771*AC771)</f>
        <v/>
      </c>
      <c r="AG771" s="7">
        <f>IF($C771="","",AC771-AF771)</f>
        <v/>
      </c>
      <c r="AH771" s="7">
        <f>IF($C771="","",AG771-R771)</f>
        <v/>
      </c>
      <c r="AI771">
        <f>IF($C771="","",IF(COUNTIF($C$2:$C771,$C771)=1,1,0))</f>
        <v/>
      </c>
      <c r="AJ771">
        <f>IF($AI771=1,SUMPRODUCT(--($AL$2:$AL$1501&lt;$AL771))+1,"")</f>
        <v/>
      </c>
      <c r="AK771">
        <f>IF($C771="","",IF(OR($AD771=TRUE(),$AD771="TRUE"),0,1))</f>
        <v/>
      </c>
      <c r="AL771">
        <f>IF($AI771=1,IFERROR(IF(VALUE($C771)&lt;100000000,VALUE($C771),1000000000),IFERROR(IF(VALUE(MID($C771,2,20))&lt;100000000,VALUE(MID($C771,2,20)),1000000000),1000000000))+ROW()/100000,"")</f>
        <v/>
      </c>
    </row>
    <row r="772">
      <c r="J772" s="7" t="n"/>
      <c r="K772" s="7" t="n"/>
      <c r="R772" s="7">
        <f>IF($C772="","",Q772*AC772/100)</f>
        <v/>
      </c>
      <c r="S772" s="11" t="n"/>
      <c r="U772" s="11" t="n"/>
      <c r="AA772" s="7" t="n"/>
      <c r="AC772" s="7" t="n"/>
      <c r="AE772">
        <f>IF($C772="","",IF($AK772=1,Settings!$C$6,Settings!$C$7)*1)</f>
        <v/>
      </c>
      <c r="AF772" s="7">
        <f>IF($C772="","",AE772*AC772)</f>
        <v/>
      </c>
      <c r="AG772" s="7">
        <f>IF($C772="","",AC772-AF772)</f>
        <v/>
      </c>
      <c r="AH772" s="7">
        <f>IF($C772="","",AG772-R772)</f>
        <v/>
      </c>
      <c r="AI772">
        <f>IF($C772="","",IF(COUNTIF($C$2:$C772,$C772)=1,1,0))</f>
        <v/>
      </c>
      <c r="AJ772">
        <f>IF($AI772=1,SUMPRODUCT(--($AL$2:$AL$1501&lt;$AL772))+1,"")</f>
        <v/>
      </c>
      <c r="AK772">
        <f>IF($C772="","",IF(OR($AD772=TRUE(),$AD772="TRUE"),0,1))</f>
        <v/>
      </c>
      <c r="AL772">
        <f>IF($AI772=1,IFERROR(IF(VALUE($C772)&lt;100000000,VALUE($C772),1000000000),IFERROR(IF(VALUE(MID($C772,2,20))&lt;100000000,VALUE(MID($C772,2,20)),1000000000),1000000000))+ROW()/100000,"")</f>
        <v/>
      </c>
    </row>
    <row r="773">
      <c r="J773" s="7" t="n"/>
      <c r="K773" s="7" t="n"/>
      <c r="R773" s="7">
        <f>IF($C773="","",Q773*AC773/100)</f>
        <v/>
      </c>
      <c r="S773" s="11" t="n"/>
      <c r="U773" s="11" t="n"/>
      <c r="AA773" s="7" t="n"/>
      <c r="AC773" s="7" t="n"/>
      <c r="AE773">
        <f>IF($C773="","",IF($AK773=1,Settings!$C$6,Settings!$C$7)*1)</f>
        <v/>
      </c>
      <c r="AF773" s="7">
        <f>IF($C773="","",AE773*AC773)</f>
        <v/>
      </c>
      <c r="AG773" s="7">
        <f>IF($C773="","",AC773-AF773)</f>
        <v/>
      </c>
      <c r="AH773" s="7">
        <f>IF($C773="","",AG773-R773)</f>
        <v/>
      </c>
      <c r="AI773">
        <f>IF($C773="","",IF(COUNTIF($C$2:$C773,$C773)=1,1,0))</f>
        <v/>
      </c>
      <c r="AJ773">
        <f>IF($AI773=1,SUMPRODUCT(--($AL$2:$AL$1501&lt;$AL773))+1,"")</f>
        <v/>
      </c>
      <c r="AK773">
        <f>IF($C773="","",IF(OR($AD773=TRUE(),$AD773="TRUE"),0,1))</f>
        <v/>
      </c>
      <c r="AL773">
        <f>IF($AI773=1,IFERROR(IF(VALUE($C773)&lt;100000000,VALUE($C773),1000000000),IFERROR(IF(VALUE(MID($C773,2,20))&lt;100000000,VALUE(MID($C773,2,20)),1000000000),1000000000))+ROW()/100000,"")</f>
        <v/>
      </c>
    </row>
    <row r="774">
      <c r="J774" s="7" t="n"/>
      <c r="K774" s="7" t="n"/>
      <c r="R774" s="7">
        <f>IF($C774="","",Q774*AC774/100)</f>
        <v/>
      </c>
      <c r="S774" s="11" t="n"/>
      <c r="U774" s="11" t="n"/>
      <c r="AA774" s="7" t="n"/>
      <c r="AC774" s="7" t="n"/>
      <c r="AE774">
        <f>IF($C774="","",IF($AK774=1,Settings!$C$6,Settings!$C$7)*1)</f>
        <v/>
      </c>
      <c r="AF774" s="7">
        <f>IF($C774="","",AE774*AC774)</f>
        <v/>
      </c>
      <c r="AG774" s="7">
        <f>IF($C774="","",AC774-AF774)</f>
        <v/>
      </c>
      <c r="AH774" s="7">
        <f>IF($C774="","",AG774-R774)</f>
        <v/>
      </c>
      <c r="AI774">
        <f>IF($C774="","",IF(COUNTIF($C$2:$C774,$C774)=1,1,0))</f>
        <v/>
      </c>
      <c r="AJ774">
        <f>IF($AI774=1,SUMPRODUCT(--($AL$2:$AL$1501&lt;$AL774))+1,"")</f>
        <v/>
      </c>
      <c r="AK774">
        <f>IF($C774="","",IF(OR($AD774=TRUE(),$AD774="TRUE"),0,1))</f>
        <v/>
      </c>
      <c r="AL774">
        <f>IF($AI774=1,IFERROR(IF(VALUE($C774)&lt;100000000,VALUE($C774),1000000000),IFERROR(IF(VALUE(MID($C774,2,20))&lt;100000000,VALUE(MID($C774,2,20)),1000000000),1000000000))+ROW()/100000,"")</f>
        <v/>
      </c>
    </row>
    <row r="775">
      <c r="J775" s="7" t="n"/>
      <c r="K775" s="7" t="n"/>
      <c r="R775" s="7">
        <f>IF($C775="","",Q775*AC775/100)</f>
        <v/>
      </c>
      <c r="S775" s="11" t="n"/>
      <c r="U775" s="11" t="n"/>
      <c r="AA775" s="7" t="n"/>
      <c r="AC775" s="7" t="n"/>
      <c r="AE775">
        <f>IF($C775="","",IF($AK775=1,Settings!$C$6,Settings!$C$7)*1)</f>
        <v/>
      </c>
      <c r="AF775" s="7">
        <f>IF($C775="","",AE775*AC775)</f>
        <v/>
      </c>
      <c r="AG775" s="7">
        <f>IF($C775="","",AC775-AF775)</f>
        <v/>
      </c>
      <c r="AH775" s="7">
        <f>IF($C775="","",AG775-R775)</f>
        <v/>
      </c>
      <c r="AI775">
        <f>IF($C775="","",IF(COUNTIF($C$2:$C775,$C775)=1,1,0))</f>
        <v/>
      </c>
      <c r="AJ775">
        <f>IF($AI775=1,SUMPRODUCT(--($AL$2:$AL$1501&lt;$AL775))+1,"")</f>
        <v/>
      </c>
      <c r="AK775">
        <f>IF($C775="","",IF(OR($AD775=TRUE(),$AD775="TRUE"),0,1))</f>
        <v/>
      </c>
      <c r="AL775">
        <f>IF($AI775=1,IFERROR(IF(VALUE($C775)&lt;100000000,VALUE($C775),1000000000),IFERROR(IF(VALUE(MID($C775,2,20))&lt;100000000,VALUE(MID($C775,2,20)),1000000000),1000000000))+ROW()/100000,"")</f>
        <v/>
      </c>
    </row>
    <row r="776">
      <c r="J776" s="7" t="n"/>
      <c r="K776" s="7" t="n"/>
      <c r="R776" s="7">
        <f>IF($C776="","",Q776*AC776/100)</f>
        <v/>
      </c>
      <c r="S776" s="11" t="n"/>
      <c r="U776" s="11" t="n"/>
      <c r="AA776" s="7" t="n"/>
      <c r="AC776" s="7" t="n"/>
      <c r="AE776">
        <f>IF($C776="","",IF($AK776=1,Settings!$C$6,Settings!$C$7)*1)</f>
        <v/>
      </c>
      <c r="AF776" s="7">
        <f>IF($C776="","",AE776*AC776)</f>
        <v/>
      </c>
      <c r="AG776" s="7">
        <f>IF($C776="","",AC776-AF776)</f>
        <v/>
      </c>
      <c r="AH776" s="7">
        <f>IF($C776="","",AG776-R776)</f>
        <v/>
      </c>
      <c r="AI776">
        <f>IF($C776="","",IF(COUNTIF($C$2:$C776,$C776)=1,1,0))</f>
        <v/>
      </c>
      <c r="AJ776">
        <f>IF($AI776=1,SUMPRODUCT(--($AL$2:$AL$1501&lt;$AL776))+1,"")</f>
        <v/>
      </c>
      <c r="AK776">
        <f>IF($C776="","",IF(OR($AD776=TRUE(),$AD776="TRUE"),0,1))</f>
        <v/>
      </c>
      <c r="AL776">
        <f>IF($AI776=1,IFERROR(IF(VALUE($C776)&lt;100000000,VALUE($C776),1000000000),IFERROR(IF(VALUE(MID($C776,2,20))&lt;100000000,VALUE(MID($C776,2,20)),1000000000),1000000000))+ROW()/100000,"")</f>
        <v/>
      </c>
    </row>
    <row r="777">
      <c r="J777" s="7" t="n"/>
      <c r="K777" s="7" t="n"/>
      <c r="R777" s="7">
        <f>IF($C777="","",Q777*AC777/100)</f>
        <v/>
      </c>
      <c r="S777" s="11" t="n"/>
      <c r="U777" s="11" t="n"/>
      <c r="AA777" s="7" t="n"/>
      <c r="AC777" s="7" t="n"/>
      <c r="AE777">
        <f>IF($C777="","",IF($AK777=1,Settings!$C$6,Settings!$C$7)*1)</f>
        <v/>
      </c>
      <c r="AF777" s="7">
        <f>IF($C777="","",AE777*AC777)</f>
        <v/>
      </c>
      <c r="AG777" s="7">
        <f>IF($C777="","",AC777-AF777)</f>
        <v/>
      </c>
      <c r="AH777" s="7">
        <f>IF($C777="","",AG777-R777)</f>
        <v/>
      </c>
      <c r="AI777">
        <f>IF($C777="","",IF(COUNTIF($C$2:$C777,$C777)=1,1,0))</f>
        <v/>
      </c>
      <c r="AJ777">
        <f>IF($AI777=1,SUMPRODUCT(--($AL$2:$AL$1501&lt;$AL777))+1,"")</f>
        <v/>
      </c>
      <c r="AK777">
        <f>IF($C777="","",IF(OR($AD777=TRUE(),$AD777="TRUE"),0,1))</f>
        <v/>
      </c>
      <c r="AL777">
        <f>IF($AI777=1,IFERROR(IF(VALUE($C777)&lt;100000000,VALUE($C777),1000000000),IFERROR(IF(VALUE(MID($C777,2,20))&lt;100000000,VALUE(MID($C777,2,20)),1000000000),1000000000))+ROW()/100000,"")</f>
        <v/>
      </c>
    </row>
    <row r="778">
      <c r="J778" s="7" t="n"/>
      <c r="K778" s="7" t="n"/>
      <c r="R778" s="7">
        <f>IF($C778="","",Q778*AC778/100)</f>
        <v/>
      </c>
      <c r="S778" s="11" t="n"/>
      <c r="U778" s="11" t="n"/>
      <c r="AA778" s="7" t="n"/>
      <c r="AC778" s="7" t="n"/>
      <c r="AE778">
        <f>IF($C778="","",IF($AK778=1,Settings!$C$6,Settings!$C$7)*1)</f>
        <v/>
      </c>
      <c r="AF778" s="7">
        <f>IF($C778="","",AE778*AC778)</f>
        <v/>
      </c>
      <c r="AG778" s="7">
        <f>IF($C778="","",AC778-AF778)</f>
        <v/>
      </c>
      <c r="AH778" s="7">
        <f>IF($C778="","",AG778-R778)</f>
        <v/>
      </c>
      <c r="AI778">
        <f>IF($C778="","",IF(COUNTIF($C$2:$C778,$C778)=1,1,0))</f>
        <v/>
      </c>
      <c r="AJ778">
        <f>IF($AI778=1,SUMPRODUCT(--($AL$2:$AL$1501&lt;$AL778))+1,"")</f>
        <v/>
      </c>
      <c r="AK778">
        <f>IF($C778="","",IF(OR($AD778=TRUE(),$AD778="TRUE"),0,1))</f>
        <v/>
      </c>
      <c r="AL778">
        <f>IF($AI778=1,IFERROR(IF(VALUE($C778)&lt;100000000,VALUE($C778),1000000000),IFERROR(IF(VALUE(MID($C778,2,20))&lt;100000000,VALUE(MID($C778,2,20)),1000000000),1000000000))+ROW()/100000,"")</f>
        <v/>
      </c>
    </row>
    <row r="779">
      <c r="J779" s="7" t="n"/>
      <c r="K779" s="7" t="n"/>
      <c r="R779" s="7">
        <f>IF($C779="","",Q779*AC779/100)</f>
        <v/>
      </c>
      <c r="S779" s="11" t="n"/>
      <c r="U779" s="11" t="n"/>
      <c r="AA779" s="7" t="n"/>
      <c r="AC779" s="7" t="n"/>
      <c r="AE779">
        <f>IF($C779="","",IF($AK779=1,Settings!$C$6,Settings!$C$7)*1)</f>
        <v/>
      </c>
      <c r="AF779" s="7">
        <f>IF($C779="","",AE779*AC779)</f>
        <v/>
      </c>
      <c r="AG779" s="7">
        <f>IF($C779="","",AC779-AF779)</f>
        <v/>
      </c>
      <c r="AH779" s="7">
        <f>IF($C779="","",AG779-R779)</f>
        <v/>
      </c>
      <c r="AI779">
        <f>IF($C779="","",IF(COUNTIF($C$2:$C779,$C779)=1,1,0))</f>
        <v/>
      </c>
      <c r="AJ779">
        <f>IF($AI779=1,SUMPRODUCT(--($AL$2:$AL$1501&lt;$AL779))+1,"")</f>
        <v/>
      </c>
      <c r="AK779">
        <f>IF($C779="","",IF(OR($AD779=TRUE(),$AD779="TRUE"),0,1))</f>
        <v/>
      </c>
      <c r="AL779">
        <f>IF($AI779=1,IFERROR(IF(VALUE($C779)&lt;100000000,VALUE($C779),1000000000),IFERROR(IF(VALUE(MID($C779,2,20))&lt;100000000,VALUE(MID($C779,2,20)),1000000000),1000000000))+ROW()/100000,"")</f>
        <v/>
      </c>
    </row>
    <row r="780">
      <c r="J780" s="7" t="n"/>
      <c r="K780" s="7" t="n"/>
      <c r="R780" s="7">
        <f>IF($C780="","",Q780*AC780/100)</f>
        <v/>
      </c>
      <c r="S780" s="11" t="n"/>
      <c r="U780" s="11" t="n"/>
      <c r="AA780" s="7" t="n"/>
      <c r="AC780" s="7" t="n"/>
      <c r="AE780">
        <f>IF($C780="","",IF($AK780=1,Settings!$C$6,Settings!$C$7)*1)</f>
        <v/>
      </c>
      <c r="AF780" s="7">
        <f>IF($C780="","",AE780*AC780)</f>
        <v/>
      </c>
      <c r="AG780" s="7">
        <f>IF($C780="","",AC780-AF780)</f>
        <v/>
      </c>
      <c r="AH780" s="7">
        <f>IF($C780="","",AG780-R780)</f>
        <v/>
      </c>
      <c r="AI780">
        <f>IF($C780="","",IF(COUNTIF($C$2:$C780,$C780)=1,1,0))</f>
        <v/>
      </c>
      <c r="AJ780">
        <f>IF($AI780=1,SUMPRODUCT(--($AL$2:$AL$1501&lt;$AL780))+1,"")</f>
        <v/>
      </c>
      <c r="AK780">
        <f>IF($C780="","",IF(OR($AD780=TRUE(),$AD780="TRUE"),0,1))</f>
        <v/>
      </c>
      <c r="AL780">
        <f>IF($AI780=1,IFERROR(IF(VALUE($C780)&lt;100000000,VALUE($C780),1000000000),IFERROR(IF(VALUE(MID($C780,2,20))&lt;100000000,VALUE(MID($C780,2,20)),1000000000),1000000000))+ROW()/100000,"")</f>
        <v/>
      </c>
    </row>
    <row r="781">
      <c r="J781" s="7" t="n"/>
      <c r="K781" s="7" t="n"/>
      <c r="R781" s="7">
        <f>IF($C781="","",Q781*AC781/100)</f>
        <v/>
      </c>
      <c r="S781" s="11" t="n"/>
      <c r="U781" s="11" t="n"/>
      <c r="AA781" s="7" t="n"/>
      <c r="AC781" s="7" t="n"/>
      <c r="AE781">
        <f>IF($C781="","",IF($AK781=1,Settings!$C$6,Settings!$C$7)*1)</f>
        <v/>
      </c>
      <c r="AF781" s="7">
        <f>IF($C781="","",AE781*AC781)</f>
        <v/>
      </c>
      <c r="AG781" s="7">
        <f>IF($C781="","",AC781-AF781)</f>
        <v/>
      </c>
      <c r="AH781" s="7">
        <f>IF($C781="","",AG781-R781)</f>
        <v/>
      </c>
      <c r="AI781">
        <f>IF($C781="","",IF(COUNTIF($C$2:$C781,$C781)=1,1,0))</f>
        <v/>
      </c>
      <c r="AJ781">
        <f>IF($AI781=1,SUMPRODUCT(--($AL$2:$AL$1501&lt;$AL781))+1,"")</f>
        <v/>
      </c>
      <c r="AK781">
        <f>IF($C781="","",IF(OR($AD781=TRUE(),$AD781="TRUE"),0,1))</f>
        <v/>
      </c>
      <c r="AL781">
        <f>IF($AI781=1,IFERROR(IF(VALUE($C781)&lt;100000000,VALUE($C781),1000000000),IFERROR(IF(VALUE(MID($C781,2,20))&lt;100000000,VALUE(MID($C781,2,20)),1000000000),1000000000))+ROW()/100000,"")</f>
        <v/>
      </c>
    </row>
    <row r="782">
      <c r="J782" s="7" t="n"/>
      <c r="K782" s="7" t="n"/>
      <c r="R782" s="7">
        <f>IF($C782="","",Q782*AC782/100)</f>
        <v/>
      </c>
      <c r="S782" s="11" t="n"/>
      <c r="U782" s="11" t="n"/>
      <c r="AA782" s="7" t="n"/>
      <c r="AC782" s="7" t="n"/>
      <c r="AE782">
        <f>IF($C782="","",IF($AK782=1,Settings!$C$6,Settings!$C$7)*1)</f>
        <v/>
      </c>
      <c r="AF782" s="7">
        <f>IF($C782="","",AE782*AC782)</f>
        <v/>
      </c>
      <c r="AG782" s="7">
        <f>IF($C782="","",AC782-AF782)</f>
        <v/>
      </c>
      <c r="AH782" s="7">
        <f>IF($C782="","",AG782-R782)</f>
        <v/>
      </c>
      <c r="AI782">
        <f>IF($C782="","",IF(COUNTIF($C$2:$C782,$C782)=1,1,0))</f>
        <v/>
      </c>
      <c r="AJ782">
        <f>IF($AI782=1,SUMPRODUCT(--($AL$2:$AL$1501&lt;$AL782))+1,"")</f>
        <v/>
      </c>
      <c r="AK782">
        <f>IF($C782="","",IF(OR($AD782=TRUE(),$AD782="TRUE"),0,1))</f>
        <v/>
      </c>
      <c r="AL782">
        <f>IF($AI782=1,IFERROR(IF(VALUE($C782)&lt;100000000,VALUE($C782),1000000000),IFERROR(IF(VALUE(MID($C782,2,20))&lt;100000000,VALUE(MID($C782,2,20)),1000000000),1000000000))+ROW()/100000,"")</f>
        <v/>
      </c>
    </row>
    <row r="783">
      <c r="J783" s="7" t="n"/>
      <c r="K783" s="7" t="n"/>
      <c r="R783" s="7">
        <f>IF($C783="","",Q783*AC783/100)</f>
        <v/>
      </c>
      <c r="S783" s="11" t="n"/>
      <c r="U783" s="11" t="n"/>
      <c r="AA783" s="7" t="n"/>
      <c r="AC783" s="7" t="n"/>
      <c r="AE783">
        <f>IF($C783="","",IF($AK783=1,Settings!$C$6,Settings!$C$7)*1)</f>
        <v/>
      </c>
      <c r="AF783" s="7">
        <f>IF($C783="","",AE783*AC783)</f>
        <v/>
      </c>
      <c r="AG783" s="7">
        <f>IF($C783="","",AC783-AF783)</f>
        <v/>
      </c>
      <c r="AH783" s="7">
        <f>IF($C783="","",AG783-R783)</f>
        <v/>
      </c>
      <c r="AI783">
        <f>IF($C783="","",IF(COUNTIF($C$2:$C783,$C783)=1,1,0))</f>
        <v/>
      </c>
      <c r="AJ783">
        <f>IF($AI783=1,SUMPRODUCT(--($AL$2:$AL$1501&lt;$AL783))+1,"")</f>
        <v/>
      </c>
      <c r="AK783">
        <f>IF($C783="","",IF(OR($AD783=TRUE(),$AD783="TRUE"),0,1))</f>
        <v/>
      </c>
      <c r="AL783">
        <f>IF($AI783=1,IFERROR(IF(VALUE($C783)&lt;100000000,VALUE($C783),1000000000),IFERROR(IF(VALUE(MID($C783,2,20))&lt;100000000,VALUE(MID($C783,2,20)),1000000000),1000000000))+ROW()/100000,"")</f>
        <v/>
      </c>
    </row>
    <row r="784">
      <c r="J784" s="7" t="n"/>
      <c r="K784" s="7" t="n"/>
      <c r="R784" s="7">
        <f>IF($C784="","",Q784*AC784/100)</f>
        <v/>
      </c>
      <c r="S784" s="11" t="n"/>
      <c r="U784" s="11" t="n"/>
      <c r="AA784" s="7" t="n"/>
      <c r="AC784" s="7" t="n"/>
      <c r="AE784">
        <f>IF($C784="","",IF($AK784=1,Settings!$C$6,Settings!$C$7)*1)</f>
        <v/>
      </c>
      <c r="AF784" s="7">
        <f>IF($C784="","",AE784*AC784)</f>
        <v/>
      </c>
      <c r="AG784" s="7">
        <f>IF($C784="","",AC784-AF784)</f>
        <v/>
      </c>
      <c r="AH784" s="7">
        <f>IF($C784="","",AG784-R784)</f>
        <v/>
      </c>
      <c r="AI784">
        <f>IF($C784="","",IF(COUNTIF($C$2:$C784,$C784)=1,1,0))</f>
        <v/>
      </c>
      <c r="AJ784">
        <f>IF($AI784=1,SUMPRODUCT(--($AL$2:$AL$1501&lt;$AL784))+1,"")</f>
        <v/>
      </c>
      <c r="AK784">
        <f>IF($C784="","",IF(OR($AD784=TRUE(),$AD784="TRUE"),0,1))</f>
        <v/>
      </c>
      <c r="AL784">
        <f>IF($AI784=1,IFERROR(IF(VALUE($C784)&lt;100000000,VALUE($C784),1000000000),IFERROR(IF(VALUE(MID($C784,2,20))&lt;100000000,VALUE(MID($C784,2,20)),1000000000),1000000000))+ROW()/100000,"")</f>
        <v/>
      </c>
    </row>
    <row r="785">
      <c r="J785" s="7" t="n"/>
      <c r="K785" s="7" t="n"/>
      <c r="R785" s="7">
        <f>IF($C785="","",Q785*AC785/100)</f>
        <v/>
      </c>
      <c r="S785" s="11" t="n"/>
      <c r="U785" s="11" t="n"/>
      <c r="AA785" s="7" t="n"/>
      <c r="AC785" s="7" t="n"/>
      <c r="AE785">
        <f>IF($C785="","",IF($AK785=1,Settings!$C$6,Settings!$C$7)*1)</f>
        <v/>
      </c>
      <c r="AF785" s="7">
        <f>IF($C785="","",AE785*AC785)</f>
        <v/>
      </c>
      <c r="AG785" s="7">
        <f>IF($C785="","",AC785-AF785)</f>
        <v/>
      </c>
      <c r="AH785" s="7">
        <f>IF($C785="","",AG785-R785)</f>
        <v/>
      </c>
      <c r="AI785">
        <f>IF($C785="","",IF(COUNTIF($C$2:$C785,$C785)=1,1,0))</f>
        <v/>
      </c>
      <c r="AJ785">
        <f>IF($AI785=1,SUMPRODUCT(--($AL$2:$AL$1501&lt;$AL785))+1,"")</f>
        <v/>
      </c>
      <c r="AK785">
        <f>IF($C785="","",IF(OR($AD785=TRUE(),$AD785="TRUE"),0,1))</f>
        <v/>
      </c>
      <c r="AL785">
        <f>IF($AI785=1,IFERROR(IF(VALUE($C785)&lt;100000000,VALUE($C785),1000000000),IFERROR(IF(VALUE(MID($C785,2,20))&lt;100000000,VALUE(MID($C785,2,20)),1000000000),1000000000))+ROW()/100000,"")</f>
        <v/>
      </c>
    </row>
    <row r="786">
      <c r="J786" s="7" t="n"/>
      <c r="K786" s="7" t="n"/>
      <c r="R786" s="7">
        <f>IF($C786="","",Q786*AC786/100)</f>
        <v/>
      </c>
      <c r="S786" s="11" t="n"/>
      <c r="U786" s="11" t="n"/>
      <c r="AA786" s="7" t="n"/>
      <c r="AC786" s="7" t="n"/>
      <c r="AE786">
        <f>IF($C786="","",IF($AK786=1,Settings!$C$6,Settings!$C$7)*1)</f>
        <v/>
      </c>
      <c r="AF786" s="7">
        <f>IF($C786="","",AE786*AC786)</f>
        <v/>
      </c>
      <c r="AG786" s="7">
        <f>IF($C786="","",AC786-AF786)</f>
        <v/>
      </c>
      <c r="AH786" s="7">
        <f>IF($C786="","",AG786-R786)</f>
        <v/>
      </c>
      <c r="AI786">
        <f>IF($C786="","",IF(COUNTIF($C$2:$C786,$C786)=1,1,0))</f>
        <v/>
      </c>
      <c r="AJ786">
        <f>IF($AI786=1,SUMPRODUCT(--($AL$2:$AL$1501&lt;$AL786))+1,"")</f>
        <v/>
      </c>
      <c r="AK786">
        <f>IF($C786="","",IF(OR($AD786=TRUE(),$AD786="TRUE"),0,1))</f>
        <v/>
      </c>
      <c r="AL786">
        <f>IF($AI786=1,IFERROR(IF(VALUE($C786)&lt;100000000,VALUE($C786),1000000000),IFERROR(IF(VALUE(MID($C786,2,20))&lt;100000000,VALUE(MID($C786,2,20)),1000000000),1000000000))+ROW()/100000,"")</f>
        <v/>
      </c>
    </row>
    <row r="787">
      <c r="J787" s="7" t="n"/>
      <c r="K787" s="7" t="n"/>
      <c r="R787" s="7">
        <f>IF($C787="","",Q787*AC787/100)</f>
        <v/>
      </c>
      <c r="S787" s="11" t="n"/>
      <c r="U787" s="11" t="n"/>
      <c r="AA787" s="7" t="n"/>
      <c r="AC787" s="7" t="n"/>
      <c r="AE787">
        <f>IF($C787="","",IF($AK787=1,Settings!$C$6,Settings!$C$7)*1)</f>
        <v/>
      </c>
      <c r="AF787" s="7">
        <f>IF($C787="","",AE787*AC787)</f>
        <v/>
      </c>
      <c r="AG787" s="7">
        <f>IF($C787="","",AC787-AF787)</f>
        <v/>
      </c>
      <c r="AH787" s="7">
        <f>IF($C787="","",AG787-R787)</f>
        <v/>
      </c>
      <c r="AI787">
        <f>IF($C787="","",IF(COUNTIF($C$2:$C787,$C787)=1,1,0))</f>
        <v/>
      </c>
      <c r="AJ787">
        <f>IF($AI787=1,SUMPRODUCT(--($AL$2:$AL$1501&lt;$AL787))+1,"")</f>
        <v/>
      </c>
      <c r="AK787">
        <f>IF($C787="","",IF(OR($AD787=TRUE(),$AD787="TRUE"),0,1))</f>
        <v/>
      </c>
      <c r="AL787">
        <f>IF($AI787=1,IFERROR(IF(VALUE($C787)&lt;100000000,VALUE($C787),1000000000),IFERROR(IF(VALUE(MID($C787,2,20))&lt;100000000,VALUE(MID($C787,2,20)),1000000000),1000000000))+ROW()/100000,"")</f>
        <v/>
      </c>
    </row>
    <row r="788">
      <c r="J788" s="7" t="n"/>
      <c r="K788" s="7" t="n"/>
      <c r="R788" s="7">
        <f>IF($C788="","",Q788*AC788/100)</f>
        <v/>
      </c>
      <c r="S788" s="11" t="n"/>
      <c r="U788" s="11" t="n"/>
      <c r="AA788" s="7" t="n"/>
      <c r="AC788" s="7" t="n"/>
      <c r="AE788">
        <f>IF($C788="","",IF($AK788=1,Settings!$C$6,Settings!$C$7)*1)</f>
        <v/>
      </c>
      <c r="AF788" s="7">
        <f>IF($C788="","",AE788*AC788)</f>
        <v/>
      </c>
      <c r="AG788" s="7">
        <f>IF($C788="","",AC788-AF788)</f>
        <v/>
      </c>
      <c r="AH788" s="7">
        <f>IF($C788="","",AG788-R788)</f>
        <v/>
      </c>
      <c r="AI788">
        <f>IF($C788="","",IF(COUNTIF($C$2:$C788,$C788)=1,1,0))</f>
        <v/>
      </c>
      <c r="AJ788">
        <f>IF($AI788=1,SUMPRODUCT(--($AL$2:$AL$1501&lt;$AL788))+1,"")</f>
        <v/>
      </c>
      <c r="AK788">
        <f>IF($C788="","",IF(OR($AD788=TRUE(),$AD788="TRUE"),0,1))</f>
        <v/>
      </c>
      <c r="AL788">
        <f>IF($AI788=1,IFERROR(IF(VALUE($C788)&lt;100000000,VALUE($C788),1000000000),IFERROR(IF(VALUE(MID($C788,2,20))&lt;100000000,VALUE(MID($C788,2,20)),1000000000),1000000000))+ROW()/100000,"")</f>
        <v/>
      </c>
    </row>
    <row r="789">
      <c r="J789" s="7" t="n"/>
      <c r="K789" s="7" t="n"/>
      <c r="R789" s="7">
        <f>IF($C789="","",Q789*AC789/100)</f>
        <v/>
      </c>
      <c r="S789" s="11" t="n"/>
      <c r="U789" s="11" t="n"/>
      <c r="AA789" s="7" t="n"/>
      <c r="AC789" s="7" t="n"/>
      <c r="AE789">
        <f>IF($C789="","",IF($AK789=1,Settings!$C$6,Settings!$C$7)*1)</f>
        <v/>
      </c>
      <c r="AF789" s="7">
        <f>IF($C789="","",AE789*AC789)</f>
        <v/>
      </c>
      <c r="AG789" s="7">
        <f>IF($C789="","",AC789-AF789)</f>
        <v/>
      </c>
      <c r="AH789" s="7">
        <f>IF($C789="","",AG789-R789)</f>
        <v/>
      </c>
      <c r="AI789">
        <f>IF($C789="","",IF(COUNTIF($C$2:$C789,$C789)=1,1,0))</f>
        <v/>
      </c>
      <c r="AJ789">
        <f>IF($AI789=1,SUMPRODUCT(--($AL$2:$AL$1501&lt;$AL789))+1,"")</f>
        <v/>
      </c>
      <c r="AK789">
        <f>IF($C789="","",IF(OR($AD789=TRUE(),$AD789="TRUE"),0,1))</f>
        <v/>
      </c>
      <c r="AL789">
        <f>IF($AI789=1,IFERROR(IF(VALUE($C789)&lt;100000000,VALUE($C789),1000000000),IFERROR(IF(VALUE(MID($C789,2,20))&lt;100000000,VALUE(MID($C789,2,20)),1000000000),1000000000))+ROW()/100000,"")</f>
        <v/>
      </c>
    </row>
    <row r="790">
      <c r="J790" s="7" t="n"/>
      <c r="K790" s="7" t="n"/>
      <c r="R790" s="7">
        <f>IF($C790="","",Q790*AC790/100)</f>
        <v/>
      </c>
      <c r="S790" s="11" t="n"/>
      <c r="U790" s="11" t="n"/>
      <c r="AA790" s="7" t="n"/>
      <c r="AC790" s="7" t="n"/>
      <c r="AE790">
        <f>IF($C790="","",IF($AK790=1,Settings!$C$6,Settings!$C$7)*1)</f>
        <v/>
      </c>
      <c r="AF790" s="7">
        <f>IF($C790="","",AE790*AC790)</f>
        <v/>
      </c>
      <c r="AG790" s="7">
        <f>IF($C790="","",AC790-AF790)</f>
        <v/>
      </c>
      <c r="AH790" s="7">
        <f>IF($C790="","",AG790-R790)</f>
        <v/>
      </c>
      <c r="AI790">
        <f>IF($C790="","",IF(COUNTIF($C$2:$C790,$C790)=1,1,0))</f>
        <v/>
      </c>
      <c r="AJ790">
        <f>IF($AI790=1,SUMPRODUCT(--($AL$2:$AL$1501&lt;$AL790))+1,"")</f>
        <v/>
      </c>
      <c r="AK790">
        <f>IF($C790="","",IF(OR($AD790=TRUE(),$AD790="TRUE"),0,1))</f>
        <v/>
      </c>
      <c r="AL790">
        <f>IF($AI790=1,IFERROR(IF(VALUE($C790)&lt;100000000,VALUE($C790),1000000000),IFERROR(IF(VALUE(MID($C790,2,20))&lt;100000000,VALUE(MID($C790,2,20)),1000000000),1000000000))+ROW()/100000,"")</f>
        <v/>
      </c>
    </row>
    <row r="791">
      <c r="J791" s="7" t="n"/>
      <c r="K791" s="7" t="n"/>
      <c r="R791" s="7">
        <f>IF($C791="","",Q791*AC791/100)</f>
        <v/>
      </c>
      <c r="S791" s="11" t="n"/>
      <c r="U791" s="11" t="n"/>
      <c r="AA791" s="7" t="n"/>
      <c r="AC791" s="7" t="n"/>
      <c r="AE791">
        <f>IF($C791="","",IF($AK791=1,Settings!$C$6,Settings!$C$7)*1)</f>
        <v/>
      </c>
      <c r="AF791" s="7">
        <f>IF($C791="","",AE791*AC791)</f>
        <v/>
      </c>
      <c r="AG791" s="7">
        <f>IF($C791="","",AC791-AF791)</f>
        <v/>
      </c>
      <c r="AH791" s="7">
        <f>IF($C791="","",AG791-R791)</f>
        <v/>
      </c>
      <c r="AI791">
        <f>IF($C791="","",IF(COUNTIF($C$2:$C791,$C791)=1,1,0))</f>
        <v/>
      </c>
      <c r="AJ791">
        <f>IF($AI791=1,SUMPRODUCT(--($AL$2:$AL$1501&lt;$AL791))+1,"")</f>
        <v/>
      </c>
      <c r="AK791">
        <f>IF($C791="","",IF(OR($AD791=TRUE(),$AD791="TRUE"),0,1))</f>
        <v/>
      </c>
      <c r="AL791">
        <f>IF($AI791=1,IFERROR(IF(VALUE($C791)&lt;100000000,VALUE($C791),1000000000),IFERROR(IF(VALUE(MID($C791,2,20))&lt;100000000,VALUE(MID($C791,2,20)),1000000000),1000000000))+ROW()/100000,"")</f>
        <v/>
      </c>
    </row>
    <row r="792">
      <c r="J792" s="7" t="n"/>
      <c r="K792" s="7" t="n"/>
      <c r="R792" s="7">
        <f>IF($C792="","",Q792*AC792/100)</f>
        <v/>
      </c>
      <c r="S792" s="11" t="n"/>
      <c r="U792" s="11" t="n"/>
      <c r="AA792" s="7" t="n"/>
      <c r="AC792" s="7" t="n"/>
      <c r="AE792">
        <f>IF($C792="","",IF($AK792=1,Settings!$C$6,Settings!$C$7)*1)</f>
        <v/>
      </c>
      <c r="AF792" s="7">
        <f>IF($C792="","",AE792*AC792)</f>
        <v/>
      </c>
      <c r="AG792" s="7">
        <f>IF($C792="","",AC792-AF792)</f>
        <v/>
      </c>
      <c r="AH792" s="7">
        <f>IF($C792="","",AG792-R792)</f>
        <v/>
      </c>
      <c r="AI792">
        <f>IF($C792="","",IF(COUNTIF($C$2:$C792,$C792)=1,1,0))</f>
        <v/>
      </c>
      <c r="AJ792">
        <f>IF($AI792=1,SUMPRODUCT(--($AL$2:$AL$1501&lt;$AL792))+1,"")</f>
        <v/>
      </c>
      <c r="AK792">
        <f>IF($C792="","",IF(OR($AD792=TRUE(),$AD792="TRUE"),0,1))</f>
        <v/>
      </c>
      <c r="AL792">
        <f>IF($AI792=1,IFERROR(IF(VALUE($C792)&lt;100000000,VALUE($C792),1000000000),IFERROR(IF(VALUE(MID($C792,2,20))&lt;100000000,VALUE(MID($C792,2,20)),1000000000),1000000000))+ROW()/100000,"")</f>
        <v/>
      </c>
    </row>
    <row r="793">
      <c r="J793" s="7" t="n"/>
      <c r="K793" s="7" t="n"/>
      <c r="R793" s="7">
        <f>IF($C793="","",Q793*AC793/100)</f>
        <v/>
      </c>
      <c r="S793" s="11" t="n"/>
      <c r="U793" s="11" t="n"/>
      <c r="AA793" s="7" t="n"/>
      <c r="AC793" s="7" t="n"/>
      <c r="AE793">
        <f>IF($C793="","",IF($AK793=1,Settings!$C$6,Settings!$C$7)*1)</f>
        <v/>
      </c>
      <c r="AF793" s="7">
        <f>IF($C793="","",AE793*AC793)</f>
        <v/>
      </c>
      <c r="AG793" s="7">
        <f>IF($C793="","",AC793-AF793)</f>
        <v/>
      </c>
      <c r="AH793" s="7">
        <f>IF($C793="","",AG793-R793)</f>
        <v/>
      </c>
      <c r="AI793">
        <f>IF($C793="","",IF(COUNTIF($C$2:$C793,$C793)=1,1,0))</f>
        <v/>
      </c>
      <c r="AJ793">
        <f>IF($AI793=1,SUMPRODUCT(--($AL$2:$AL$1501&lt;$AL793))+1,"")</f>
        <v/>
      </c>
      <c r="AK793">
        <f>IF($C793="","",IF(OR($AD793=TRUE(),$AD793="TRUE"),0,1))</f>
        <v/>
      </c>
      <c r="AL793">
        <f>IF($AI793=1,IFERROR(IF(VALUE($C793)&lt;100000000,VALUE($C793),1000000000),IFERROR(IF(VALUE(MID($C793,2,20))&lt;100000000,VALUE(MID($C793,2,20)),1000000000),1000000000))+ROW()/100000,"")</f>
        <v/>
      </c>
    </row>
    <row r="794">
      <c r="J794" s="7" t="n"/>
      <c r="K794" s="7" t="n"/>
      <c r="R794" s="7">
        <f>IF($C794="","",Q794*AC794/100)</f>
        <v/>
      </c>
      <c r="S794" s="11" t="n"/>
      <c r="U794" s="11" t="n"/>
      <c r="AA794" s="7" t="n"/>
      <c r="AC794" s="7" t="n"/>
      <c r="AE794">
        <f>IF($C794="","",IF($AK794=1,Settings!$C$6,Settings!$C$7)*1)</f>
        <v/>
      </c>
      <c r="AF794" s="7">
        <f>IF($C794="","",AE794*AC794)</f>
        <v/>
      </c>
      <c r="AG794" s="7">
        <f>IF($C794="","",AC794-AF794)</f>
        <v/>
      </c>
      <c r="AH794" s="7">
        <f>IF($C794="","",AG794-R794)</f>
        <v/>
      </c>
      <c r="AI794">
        <f>IF($C794="","",IF(COUNTIF($C$2:$C794,$C794)=1,1,0))</f>
        <v/>
      </c>
      <c r="AJ794">
        <f>IF($AI794=1,SUMPRODUCT(--($AL$2:$AL$1501&lt;$AL794))+1,"")</f>
        <v/>
      </c>
      <c r="AK794">
        <f>IF($C794="","",IF(OR($AD794=TRUE(),$AD794="TRUE"),0,1))</f>
        <v/>
      </c>
      <c r="AL794">
        <f>IF($AI794=1,IFERROR(IF(VALUE($C794)&lt;100000000,VALUE($C794),1000000000),IFERROR(IF(VALUE(MID($C794,2,20))&lt;100000000,VALUE(MID($C794,2,20)),1000000000),1000000000))+ROW()/100000,"")</f>
        <v/>
      </c>
    </row>
    <row r="795">
      <c r="J795" s="7" t="n"/>
      <c r="K795" s="7" t="n"/>
      <c r="R795" s="7">
        <f>IF($C795="","",Q795*AC795/100)</f>
        <v/>
      </c>
      <c r="S795" s="11" t="n"/>
      <c r="U795" s="11" t="n"/>
      <c r="AA795" s="7" t="n"/>
      <c r="AC795" s="7" t="n"/>
      <c r="AE795">
        <f>IF($C795="","",IF($AK795=1,Settings!$C$6,Settings!$C$7)*1)</f>
        <v/>
      </c>
      <c r="AF795" s="7">
        <f>IF($C795="","",AE795*AC795)</f>
        <v/>
      </c>
      <c r="AG795" s="7">
        <f>IF($C795="","",AC795-AF795)</f>
        <v/>
      </c>
      <c r="AH795" s="7">
        <f>IF($C795="","",AG795-R795)</f>
        <v/>
      </c>
      <c r="AI795">
        <f>IF($C795="","",IF(COUNTIF($C$2:$C795,$C795)=1,1,0))</f>
        <v/>
      </c>
      <c r="AJ795">
        <f>IF($AI795=1,SUMPRODUCT(--($AL$2:$AL$1501&lt;$AL795))+1,"")</f>
        <v/>
      </c>
      <c r="AK795">
        <f>IF($C795="","",IF(OR($AD795=TRUE(),$AD795="TRUE"),0,1))</f>
        <v/>
      </c>
      <c r="AL795">
        <f>IF($AI795=1,IFERROR(IF(VALUE($C795)&lt;100000000,VALUE($C795),1000000000),IFERROR(IF(VALUE(MID($C795,2,20))&lt;100000000,VALUE(MID($C795,2,20)),1000000000),1000000000))+ROW()/100000,"")</f>
        <v/>
      </c>
    </row>
    <row r="796">
      <c r="J796" s="7" t="n"/>
      <c r="K796" s="7" t="n"/>
      <c r="R796" s="7">
        <f>IF($C796="","",Q796*AC796/100)</f>
        <v/>
      </c>
      <c r="S796" s="11" t="n"/>
      <c r="U796" s="11" t="n"/>
      <c r="AA796" s="7" t="n"/>
      <c r="AC796" s="7" t="n"/>
      <c r="AE796">
        <f>IF($C796="","",IF($AK796=1,Settings!$C$6,Settings!$C$7)*1)</f>
        <v/>
      </c>
      <c r="AF796" s="7">
        <f>IF($C796="","",AE796*AC796)</f>
        <v/>
      </c>
      <c r="AG796" s="7">
        <f>IF($C796="","",AC796-AF796)</f>
        <v/>
      </c>
      <c r="AH796" s="7">
        <f>IF($C796="","",AG796-R796)</f>
        <v/>
      </c>
      <c r="AI796">
        <f>IF($C796="","",IF(COUNTIF($C$2:$C796,$C796)=1,1,0))</f>
        <v/>
      </c>
      <c r="AJ796">
        <f>IF($AI796=1,SUMPRODUCT(--($AL$2:$AL$1501&lt;$AL796))+1,"")</f>
        <v/>
      </c>
      <c r="AK796">
        <f>IF($C796="","",IF(OR($AD796=TRUE(),$AD796="TRUE"),0,1))</f>
        <v/>
      </c>
      <c r="AL796">
        <f>IF($AI796=1,IFERROR(IF(VALUE($C796)&lt;100000000,VALUE($C796),1000000000),IFERROR(IF(VALUE(MID($C796,2,20))&lt;100000000,VALUE(MID($C796,2,20)),1000000000),1000000000))+ROW()/100000,"")</f>
        <v/>
      </c>
    </row>
    <row r="797">
      <c r="J797" s="7" t="n"/>
      <c r="K797" s="7" t="n"/>
      <c r="R797" s="7">
        <f>IF($C797="","",Q797*AC797/100)</f>
        <v/>
      </c>
      <c r="S797" s="11" t="n"/>
      <c r="U797" s="11" t="n"/>
      <c r="AA797" s="7" t="n"/>
      <c r="AC797" s="7" t="n"/>
      <c r="AE797">
        <f>IF($C797="","",IF($AK797=1,Settings!$C$6,Settings!$C$7)*1)</f>
        <v/>
      </c>
      <c r="AF797" s="7">
        <f>IF($C797="","",AE797*AC797)</f>
        <v/>
      </c>
      <c r="AG797" s="7">
        <f>IF($C797="","",AC797-AF797)</f>
        <v/>
      </c>
      <c r="AH797" s="7">
        <f>IF($C797="","",AG797-R797)</f>
        <v/>
      </c>
      <c r="AI797">
        <f>IF($C797="","",IF(COUNTIF($C$2:$C797,$C797)=1,1,0))</f>
        <v/>
      </c>
      <c r="AJ797">
        <f>IF($AI797=1,SUMPRODUCT(--($AL$2:$AL$1501&lt;$AL797))+1,"")</f>
        <v/>
      </c>
      <c r="AK797">
        <f>IF($C797="","",IF(OR($AD797=TRUE(),$AD797="TRUE"),0,1))</f>
        <v/>
      </c>
      <c r="AL797">
        <f>IF($AI797=1,IFERROR(IF(VALUE($C797)&lt;100000000,VALUE($C797),1000000000),IFERROR(IF(VALUE(MID($C797,2,20))&lt;100000000,VALUE(MID($C797,2,20)),1000000000),1000000000))+ROW()/100000,"")</f>
        <v/>
      </c>
    </row>
    <row r="798">
      <c r="J798" s="7" t="n"/>
      <c r="K798" s="7" t="n"/>
      <c r="R798" s="7">
        <f>IF($C798="","",Q798*AC798/100)</f>
        <v/>
      </c>
      <c r="S798" s="11" t="n"/>
      <c r="U798" s="11" t="n"/>
      <c r="AA798" s="7" t="n"/>
      <c r="AC798" s="7" t="n"/>
      <c r="AE798">
        <f>IF($C798="","",IF($AK798=1,Settings!$C$6,Settings!$C$7)*1)</f>
        <v/>
      </c>
      <c r="AF798" s="7">
        <f>IF($C798="","",AE798*AC798)</f>
        <v/>
      </c>
      <c r="AG798" s="7">
        <f>IF($C798="","",AC798-AF798)</f>
        <v/>
      </c>
      <c r="AH798" s="7">
        <f>IF($C798="","",AG798-R798)</f>
        <v/>
      </c>
      <c r="AI798">
        <f>IF($C798="","",IF(COUNTIF($C$2:$C798,$C798)=1,1,0))</f>
        <v/>
      </c>
      <c r="AJ798">
        <f>IF($AI798=1,SUMPRODUCT(--($AL$2:$AL$1501&lt;$AL798))+1,"")</f>
        <v/>
      </c>
      <c r="AK798">
        <f>IF($C798="","",IF(OR($AD798=TRUE(),$AD798="TRUE"),0,1))</f>
        <v/>
      </c>
      <c r="AL798">
        <f>IF($AI798=1,IFERROR(IF(VALUE($C798)&lt;100000000,VALUE($C798),1000000000),IFERROR(IF(VALUE(MID($C798,2,20))&lt;100000000,VALUE(MID($C798,2,20)),1000000000),1000000000))+ROW()/100000,"")</f>
        <v/>
      </c>
    </row>
    <row r="799">
      <c r="J799" s="7" t="n"/>
      <c r="K799" s="7" t="n"/>
      <c r="R799" s="7">
        <f>IF($C799="","",Q799*AC799/100)</f>
        <v/>
      </c>
      <c r="S799" s="11" t="n"/>
      <c r="U799" s="11" t="n"/>
      <c r="AA799" s="7" t="n"/>
      <c r="AC799" s="7" t="n"/>
      <c r="AE799">
        <f>IF($C799="","",IF($AK799=1,Settings!$C$6,Settings!$C$7)*1)</f>
        <v/>
      </c>
      <c r="AF799" s="7">
        <f>IF($C799="","",AE799*AC799)</f>
        <v/>
      </c>
      <c r="AG799" s="7">
        <f>IF($C799="","",AC799-AF799)</f>
        <v/>
      </c>
      <c r="AH799" s="7">
        <f>IF($C799="","",AG799-R799)</f>
        <v/>
      </c>
      <c r="AI799">
        <f>IF($C799="","",IF(COUNTIF($C$2:$C799,$C799)=1,1,0))</f>
        <v/>
      </c>
      <c r="AJ799">
        <f>IF($AI799=1,SUMPRODUCT(--($AL$2:$AL$1501&lt;$AL799))+1,"")</f>
        <v/>
      </c>
      <c r="AK799">
        <f>IF($C799="","",IF(OR($AD799=TRUE(),$AD799="TRUE"),0,1))</f>
        <v/>
      </c>
      <c r="AL799">
        <f>IF($AI799=1,IFERROR(IF(VALUE($C799)&lt;100000000,VALUE($C799),1000000000),IFERROR(IF(VALUE(MID($C799,2,20))&lt;100000000,VALUE(MID($C799,2,20)),1000000000),1000000000))+ROW()/100000,"")</f>
        <v/>
      </c>
    </row>
    <row r="800">
      <c r="J800" s="7" t="n"/>
      <c r="K800" s="7" t="n"/>
      <c r="R800" s="7">
        <f>IF($C800="","",Q800*AC800/100)</f>
        <v/>
      </c>
      <c r="S800" s="11" t="n"/>
      <c r="U800" s="11" t="n"/>
      <c r="AA800" s="7" t="n"/>
      <c r="AC800" s="7" t="n"/>
      <c r="AE800">
        <f>IF($C800="","",IF($AK800=1,Settings!$C$6,Settings!$C$7)*1)</f>
        <v/>
      </c>
      <c r="AF800" s="7">
        <f>IF($C800="","",AE800*AC800)</f>
        <v/>
      </c>
      <c r="AG800" s="7">
        <f>IF($C800="","",AC800-AF800)</f>
        <v/>
      </c>
      <c r="AH800" s="7">
        <f>IF($C800="","",AG800-R800)</f>
        <v/>
      </c>
      <c r="AI800">
        <f>IF($C800="","",IF(COUNTIF($C$2:$C800,$C800)=1,1,0))</f>
        <v/>
      </c>
      <c r="AJ800">
        <f>IF($AI800=1,SUMPRODUCT(--($AL$2:$AL$1501&lt;$AL800))+1,"")</f>
        <v/>
      </c>
      <c r="AK800">
        <f>IF($C800="","",IF(OR($AD800=TRUE(),$AD800="TRUE"),0,1))</f>
        <v/>
      </c>
      <c r="AL800">
        <f>IF($AI800=1,IFERROR(IF(VALUE($C800)&lt;100000000,VALUE($C800),1000000000),IFERROR(IF(VALUE(MID($C800,2,20))&lt;100000000,VALUE(MID($C800,2,20)),1000000000),1000000000))+ROW()/100000,"")</f>
        <v/>
      </c>
    </row>
    <row r="801">
      <c r="J801" s="7" t="n"/>
      <c r="K801" s="7" t="n"/>
      <c r="R801" s="7">
        <f>IF($C801="","",Q801*AC801/100)</f>
        <v/>
      </c>
      <c r="S801" s="11" t="n"/>
      <c r="U801" s="11" t="n"/>
      <c r="AA801" s="7" t="n"/>
      <c r="AC801" s="7" t="n"/>
      <c r="AE801">
        <f>IF($C801="","",IF($AK801=1,Settings!$C$6,Settings!$C$7)*1)</f>
        <v/>
      </c>
      <c r="AF801" s="7">
        <f>IF($C801="","",AE801*AC801)</f>
        <v/>
      </c>
      <c r="AG801" s="7">
        <f>IF($C801="","",AC801-AF801)</f>
        <v/>
      </c>
      <c r="AH801" s="7">
        <f>IF($C801="","",AG801-R801)</f>
        <v/>
      </c>
      <c r="AI801">
        <f>IF($C801="","",IF(COUNTIF($C$2:$C801,$C801)=1,1,0))</f>
        <v/>
      </c>
      <c r="AJ801">
        <f>IF($AI801=1,SUMPRODUCT(--($AL$2:$AL$1501&lt;$AL801))+1,"")</f>
        <v/>
      </c>
      <c r="AK801">
        <f>IF($C801="","",IF(OR($AD801=TRUE(),$AD801="TRUE"),0,1))</f>
        <v/>
      </c>
      <c r="AL801">
        <f>IF($AI801=1,IFERROR(IF(VALUE($C801)&lt;100000000,VALUE($C801),1000000000),IFERROR(IF(VALUE(MID($C801,2,20))&lt;100000000,VALUE(MID($C801,2,20)),1000000000),1000000000))+ROW()/100000,"")</f>
        <v/>
      </c>
    </row>
    <row r="802">
      <c r="J802" s="7" t="n"/>
      <c r="K802" s="7" t="n"/>
      <c r="R802" s="7">
        <f>IF($C802="","",Q802*AC802/100)</f>
        <v/>
      </c>
      <c r="S802" s="11" t="n"/>
      <c r="U802" s="11" t="n"/>
      <c r="AA802" s="7" t="n"/>
      <c r="AC802" s="7" t="n"/>
      <c r="AE802">
        <f>IF($C802="","",IF($AK802=1,Settings!$C$6,Settings!$C$7)*1)</f>
        <v/>
      </c>
      <c r="AF802" s="7">
        <f>IF($C802="","",AE802*AC802)</f>
        <v/>
      </c>
      <c r="AG802" s="7">
        <f>IF($C802="","",AC802-AF802)</f>
        <v/>
      </c>
      <c r="AH802" s="7">
        <f>IF($C802="","",AG802-R802)</f>
        <v/>
      </c>
      <c r="AI802">
        <f>IF($C802="","",IF(COUNTIF($C$2:$C802,$C802)=1,1,0))</f>
        <v/>
      </c>
      <c r="AJ802">
        <f>IF($AI802=1,SUMPRODUCT(--($AL$2:$AL$1501&lt;$AL802))+1,"")</f>
        <v/>
      </c>
      <c r="AK802">
        <f>IF($C802="","",IF(OR($AD802=TRUE(),$AD802="TRUE"),0,1))</f>
        <v/>
      </c>
      <c r="AL802">
        <f>IF($AI802=1,IFERROR(IF(VALUE($C802)&lt;100000000,VALUE($C802),1000000000),IFERROR(IF(VALUE(MID($C802,2,20))&lt;100000000,VALUE(MID($C802,2,20)),1000000000),1000000000))+ROW()/100000,"")</f>
        <v/>
      </c>
    </row>
    <row r="803">
      <c r="J803" s="7" t="n"/>
      <c r="K803" s="7" t="n"/>
      <c r="R803" s="7">
        <f>IF($C803="","",Q803*AC803/100)</f>
        <v/>
      </c>
      <c r="S803" s="11" t="n"/>
      <c r="U803" s="11" t="n"/>
      <c r="AA803" s="7" t="n"/>
      <c r="AC803" s="7" t="n"/>
      <c r="AE803">
        <f>IF($C803="","",IF($AK803=1,Settings!$C$6,Settings!$C$7)*1)</f>
        <v/>
      </c>
      <c r="AF803" s="7">
        <f>IF($C803="","",AE803*AC803)</f>
        <v/>
      </c>
      <c r="AG803" s="7">
        <f>IF($C803="","",AC803-AF803)</f>
        <v/>
      </c>
      <c r="AH803" s="7">
        <f>IF($C803="","",AG803-R803)</f>
        <v/>
      </c>
      <c r="AI803">
        <f>IF($C803="","",IF(COUNTIF($C$2:$C803,$C803)=1,1,0))</f>
        <v/>
      </c>
      <c r="AJ803">
        <f>IF($AI803=1,SUMPRODUCT(--($AL$2:$AL$1501&lt;$AL803))+1,"")</f>
        <v/>
      </c>
      <c r="AK803">
        <f>IF($C803="","",IF(OR($AD803=TRUE(),$AD803="TRUE"),0,1))</f>
        <v/>
      </c>
      <c r="AL803">
        <f>IF($AI803=1,IFERROR(IF(VALUE($C803)&lt;100000000,VALUE($C803),1000000000),IFERROR(IF(VALUE(MID($C803,2,20))&lt;100000000,VALUE(MID($C803,2,20)),1000000000),1000000000))+ROW()/100000,"")</f>
        <v/>
      </c>
    </row>
    <row r="804">
      <c r="J804" s="7" t="n"/>
      <c r="K804" s="7" t="n"/>
      <c r="R804" s="7">
        <f>IF($C804="","",Q804*AC804/100)</f>
        <v/>
      </c>
      <c r="S804" s="11" t="n"/>
      <c r="U804" s="11" t="n"/>
      <c r="AA804" s="7" t="n"/>
      <c r="AC804" s="7" t="n"/>
      <c r="AE804">
        <f>IF($C804="","",IF($AK804=1,Settings!$C$6,Settings!$C$7)*1)</f>
        <v/>
      </c>
      <c r="AF804" s="7">
        <f>IF($C804="","",AE804*AC804)</f>
        <v/>
      </c>
      <c r="AG804" s="7">
        <f>IF($C804="","",AC804-AF804)</f>
        <v/>
      </c>
      <c r="AH804" s="7">
        <f>IF($C804="","",AG804-R804)</f>
        <v/>
      </c>
      <c r="AI804">
        <f>IF($C804="","",IF(COUNTIF($C$2:$C804,$C804)=1,1,0))</f>
        <v/>
      </c>
      <c r="AJ804">
        <f>IF($AI804=1,SUMPRODUCT(--($AL$2:$AL$1501&lt;$AL804))+1,"")</f>
        <v/>
      </c>
      <c r="AK804">
        <f>IF($C804="","",IF(OR($AD804=TRUE(),$AD804="TRUE"),0,1))</f>
        <v/>
      </c>
      <c r="AL804">
        <f>IF($AI804=1,IFERROR(IF(VALUE($C804)&lt;100000000,VALUE($C804),1000000000),IFERROR(IF(VALUE(MID($C804,2,20))&lt;100000000,VALUE(MID($C804,2,20)),1000000000),1000000000))+ROW()/100000,"")</f>
        <v/>
      </c>
    </row>
    <row r="805">
      <c r="J805" s="7" t="n"/>
      <c r="K805" s="7" t="n"/>
      <c r="R805" s="7">
        <f>IF($C805="","",Q805*AC805/100)</f>
        <v/>
      </c>
      <c r="S805" s="11" t="n"/>
      <c r="U805" s="11" t="n"/>
      <c r="AA805" s="7" t="n"/>
      <c r="AC805" s="7" t="n"/>
      <c r="AE805">
        <f>IF($C805="","",IF($AK805=1,Settings!$C$6,Settings!$C$7)*1)</f>
        <v/>
      </c>
      <c r="AF805" s="7">
        <f>IF($C805="","",AE805*AC805)</f>
        <v/>
      </c>
      <c r="AG805" s="7">
        <f>IF($C805="","",AC805-AF805)</f>
        <v/>
      </c>
      <c r="AH805" s="7">
        <f>IF($C805="","",AG805-R805)</f>
        <v/>
      </c>
      <c r="AI805">
        <f>IF($C805="","",IF(COUNTIF($C$2:$C805,$C805)=1,1,0))</f>
        <v/>
      </c>
      <c r="AJ805">
        <f>IF($AI805=1,SUMPRODUCT(--($AL$2:$AL$1501&lt;$AL805))+1,"")</f>
        <v/>
      </c>
      <c r="AK805">
        <f>IF($C805="","",IF(OR($AD805=TRUE(),$AD805="TRUE"),0,1))</f>
        <v/>
      </c>
      <c r="AL805">
        <f>IF($AI805=1,IFERROR(IF(VALUE($C805)&lt;100000000,VALUE($C805),1000000000),IFERROR(IF(VALUE(MID($C805,2,20))&lt;100000000,VALUE(MID($C805,2,20)),1000000000),1000000000))+ROW()/100000,"")</f>
        <v/>
      </c>
    </row>
    <row r="806">
      <c r="J806" s="7" t="n"/>
      <c r="K806" s="7" t="n"/>
      <c r="R806" s="7">
        <f>IF($C806="","",Q806*AC806/100)</f>
        <v/>
      </c>
      <c r="S806" s="11" t="n"/>
      <c r="U806" s="11" t="n"/>
      <c r="AA806" s="7" t="n"/>
      <c r="AC806" s="7" t="n"/>
      <c r="AE806">
        <f>IF($C806="","",IF($AK806=1,Settings!$C$6,Settings!$C$7)*1)</f>
        <v/>
      </c>
      <c r="AF806" s="7">
        <f>IF($C806="","",AE806*AC806)</f>
        <v/>
      </c>
      <c r="AG806" s="7">
        <f>IF($C806="","",AC806-AF806)</f>
        <v/>
      </c>
      <c r="AH806" s="7">
        <f>IF($C806="","",AG806-R806)</f>
        <v/>
      </c>
      <c r="AI806">
        <f>IF($C806="","",IF(COUNTIF($C$2:$C806,$C806)=1,1,0))</f>
        <v/>
      </c>
      <c r="AJ806">
        <f>IF($AI806=1,SUMPRODUCT(--($AL$2:$AL$1501&lt;$AL806))+1,"")</f>
        <v/>
      </c>
      <c r="AK806">
        <f>IF($C806="","",IF(OR($AD806=TRUE(),$AD806="TRUE"),0,1))</f>
        <v/>
      </c>
      <c r="AL806">
        <f>IF($AI806=1,IFERROR(IF(VALUE($C806)&lt;100000000,VALUE($C806),1000000000),IFERROR(IF(VALUE(MID($C806,2,20))&lt;100000000,VALUE(MID($C806,2,20)),1000000000),1000000000))+ROW()/100000,"")</f>
        <v/>
      </c>
    </row>
    <row r="807">
      <c r="J807" s="7" t="n"/>
      <c r="K807" s="7" t="n"/>
      <c r="R807" s="7">
        <f>IF($C807="","",Q807*AC807/100)</f>
        <v/>
      </c>
      <c r="S807" s="11" t="n"/>
      <c r="U807" s="11" t="n"/>
      <c r="AA807" s="7" t="n"/>
      <c r="AC807" s="7" t="n"/>
      <c r="AE807">
        <f>IF($C807="","",IF($AK807=1,Settings!$C$6,Settings!$C$7)*1)</f>
        <v/>
      </c>
      <c r="AF807" s="7">
        <f>IF($C807="","",AE807*AC807)</f>
        <v/>
      </c>
      <c r="AG807" s="7">
        <f>IF($C807="","",AC807-AF807)</f>
        <v/>
      </c>
      <c r="AH807" s="7">
        <f>IF($C807="","",AG807-R807)</f>
        <v/>
      </c>
      <c r="AI807">
        <f>IF($C807="","",IF(COUNTIF($C$2:$C807,$C807)=1,1,0))</f>
        <v/>
      </c>
      <c r="AJ807">
        <f>IF($AI807=1,SUMPRODUCT(--($AL$2:$AL$1501&lt;$AL807))+1,"")</f>
        <v/>
      </c>
      <c r="AK807">
        <f>IF($C807="","",IF(OR($AD807=TRUE(),$AD807="TRUE"),0,1))</f>
        <v/>
      </c>
      <c r="AL807">
        <f>IF($AI807=1,IFERROR(IF(VALUE($C807)&lt;100000000,VALUE($C807),1000000000),IFERROR(IF(VALUE(MID($C807,2,20))&lt;100000000,VALUE(MID($C807,2,20)),1000000000),1000000000))+ROW()/100000,"")</f>
        <v/>
      </c>
    </row>
    <row r="808">
      <c r="J808" s="7" t="n"/>
      <c r="K808" s="7" t="n"/>
      <c r="R808" s="7">
        <f>IF($C808="","",Q808*AC808/100)</f>
        <v/>
      </c>
      <c r="S808" s="11" t="n"/>
      <c r="U808" s="11" t="n"/>
      <c r="AA808" s="7" t="n"/>
      <c r="AC808" s="7" t="n"/>
      <c r="AE808">
        <f>IF($C808="","",IF($AK808=1,Settings!$C$6,Settings!$C$7)*1)</f>
        <v/>
      </c>
      <c r="AF808" s="7">
        <f>IF($C808="","",AE808*AC808)</f>
        <v/>
      </c>
      <c r="AG808" s="7">
        <f>IF($C808="","",AC808-AF808)</f>
        <v/>
      </c>
      <c r="AH808" s="7">
        <f>IF($C808="","",AG808-R808)</f>
        <v/>
      </c>
      <c r="AI808">
        <f>IF($C808="","",IF(COUNTIF($C$2:$C808,$C808)=1,1,0))</f>
        <v/>
      </c>
      <c r="AJ808">
        <f>IF($AI808=1,SUMPRODUCT(--($AL$2:$AL$1501&lt;$AL808))+1,"")</f>
        <v/>
      </c>
      <c r="AK808">
        <f>IF($C808="","",IF(OR($AD808=TRUE(),$AD808="TRUE"),0,1))</f>
        <v/>
      </c>
      <c r="AL808">
        <f>IF($AI808=1,IFERROR(IF(VALUE($C808)&lt;100000000,VALUE($C808),1000000000),IFERROR(IF(VALUE(MID($C808,2,20))&lt;100000000,VALUE(MID($C808,2,20)),1000000000),1000000000))+ROW()/100000,"")</f>
        <v/>
      </c>
    </row>
    <row r="809">
      <c r="J809" s="7" t="n"/>
      <c r="K809" s="7" t="n"/>
      <c r="R809" s="7">
        <f>IF($C809="","",Q809*AC809/100)</f>
        <v/>
      </c>
      <c r="S809" s="11" t="n"/>
      <c r="U809" s="11" t="n"/>
      <c r="AA809" s="7" t="n"/>
      <c r="AC809" s="7" t="n"/>
      <c r="AE809">
        <f>IF($C809="","",IF($AK809=1,Settings!$C$6,Settings!$C$7)*1)</f>
        <v/>
      </c>
      <c r="AF809" s="7">
        <f>IF($C809="","",AE809*AC809)</f>
        <v/>
      </c>
      <c r="AG809" s="7">
        <f>IF($C809="","",AC809-AF809)</f>
        <v/>
      </c>
      <c r="AH809" s="7">
        <f>IF($C809="","",AG809-R809)</f>
        <v/>
      </c>
      <c r="AI809">
        <f>IF($C809="","",IF(COUNTIF($C$2:$C809,$C809)=1,1,0))</f>
        <v/>
      </c>
      <c r="AJ809">
        <f>IF($AI809=1,SUMPRODUCT(--($AL$2:$AL$1501&lt;$AL809))+1,"")</f>
        <v/>
      </c>
      <c r="AK809">
        <f>IF($C809="","",IF(OR($AD809=TRUE(),$AD809="TRUE"),0,1))</f>
        <v/>
      </c>
      <c r="AL809">
        <f>IF($AI809=1,IFERROR(IF(VALUE($C809)&lt;100000000,VALUE($C809),1000000000),IFERROR(IF(VALUE(MID($C809,2,20))&lt;100000000,VALUE(MID($C809,2,20)),1000000000),1000000000))+ROW()/100000,"")</f>
        <v/>
      </c>
    </row>
    <row r="810">
      <c r="J810" s="7" t="n"/>
      <c r="K810" s="7" t="n"/>
      <c r="R810" s="7">
        <f>IF($C810="","",Q810*AC810/100)</f>
        <v/>
      </c>
      <c r="S810" s="11" t="n"/>
      <c r="U810" s="11" t="n"/>
      <c r="AA810" s="7" t="n"/>
      <c r="AC810" s="7" t="n"/>
      <c r="AE810">
        <f>IF($C810="","",IF($AK810=1,Settings!$C$6,Settings!$C$7)*1)</f>
        <v/>
      </c>
      <c r="AF810" s="7">
        <f>IF($C810="","",AE810*AC810)</f>
        <v/>
      </c>
      <c r="AG810" s="7">
        <f>IF($C810="","",AC810-AF810)</f>
        <v/>
      </c>
      <c r="AH810" s="7">
        <f>IF($C810="","",AG810-R810)</f>
        <v/>
      </c>
      <c r="AI810">
        <f>IF($C810="","",IF(COUNTIF($C$2:$C810,$C810)=1,1,0))</f>
        <v/>
      </c>
      <c r="AJ810">
        <f>IF($AI810=1,SUMPRODUCT(--($AL$2:$AL$1501&lt;$AL810))+1,"")</f>
        <v/>
      </c>
      <c r="AK810">
        <f>IF($C810="","",IF(OR($AD810=TRUE(),$AD810="TRUE"),0,1))</f>
        <v/>
      </c>
      <c r="AL810">
        <f>IF($AI810=1,IFERROR(IF(VALUE($C810)&lt;100000000,VALUE($C810),1000000000),IFERROR(IF(VALUE(MID($C810,2,20))&lt;100000000,VALUE(MID($C810,2,20)),1000000000),1000000000))+ROW()/100000,"")</f>
        <v/>
      </c>
    </row>
    <row r="811">
      <c r="J811" s="7" t="n"/>
      <c r="K811" s="7" t="n"/>
      <c r="R811" s="7">
        <f>IF($C811="","",Q811*AC811/100)</f>
        <v/>
      </c>
      <c r="S811" s="11" t="n"/>
      <c r="U811" s="11" t="n"/>
      <c r="AA811" s="7" t="n"/>
      <c r="AC811" s="7" t="n"/>
      <c r="AE811">
        <f>IF($C811="","",IF($AK811=1,Settings!$C$6,Settings!$C$7)*1)</f>
        <v/>
      </c>
      <c r="AF811" s="7">
        <f>IF($C811="","",AE811*AC811)</f>
        <v/>
      </c>
      <c r="AG811" s="7">
        <f>IF($C811="","",AC811-AF811)</f>
        <v/>
      </c>
      <c r="AH811" s="7">
        <f>IF($C811="","",AG811-R811)</f>
        <v/>
      </c>
      <c r="AI811">
        <f>IF($C811="","",IF(COUNTIF($C$2:$C811,$C811)=1,1,0))</f>
        <v/>
      </c>
      <c r="AJ811">
        <f>IF($AI811=1,SUMPRODUCT(--($AL$2:$AL$1501&lt;$AL811))+1,"")</f>
        <v/>
      </c>
      <c r="AK811">
        <f>IF($C811="","",IF(OR($AD811=TRUE(),$AD811="TRUE"),0,1))</f>
        <v/>
      </c>
      <c r="AL811">
        <f>IF($AI811=1,IFERROR(IF(VALUE($C811)&lt;100000000,VALUE($C811),1000000000),IFERROR(IF(VALUE(MID($C811,2,20))&lt;100000000,VALUE(MID($C811,2,20)),1000000000),1000000000))+ROW()/100000,"")</f>
        <v/>
      </c>
    </row>
    <row r="812">
      <c r="J812" s="7" t="n"/>
      <c r="K812" s="7" t="n"/>
      <c r="R812" s="7">
        <f>IF($C812="","",Q812*AC812/100)</f>
        <v/>
      </c>
      <c r="S812" s="11" t="n"/>
      <c r="U812" s="11" t="n"/>
      <c r="AA812" s="7" t="n"/>
      <c r="AC812" s="7" t="n"/>
      <c r="AE812">
        <f>IF($C812="","",IF($AK812=1,Settings!$C$6,Settings!$C$7)*1)</f>
        <v/>
      </c>
      <c r="AF812" s="7">
        <f>IF($C812="","",AE812*AC812)</f>
        <v/>
      </c>
      <c r="AG812" s="7">
        <f>IF($C812="","",AC812-AF812)</f>
        <v/>
      </c>
      <c r="AH812" s="7">
        <f>IF($C812="","",AG812-R812)</f>
        <v/>
      </c>
      <c r="AI812">
        <f>IF($C812="","",IF(COUNTIF($C$2:$C812,$C812)=1,1,0))</f>
        <v/>
      </c>
      <c r="AJ812">
        <f>IF($AI812=1,SUMPRODUCT(--($AL$2:$AL$1501&lt;$AL812))+1,"")</f>
        <v/>
      </c>
      <c r="AK812">
        <f>IF($C812="","",IF(OR($AD812=TRUE(),$AD812="TRUE"),0,1))</f>
        <v/>
      </c>
      <c r="AL812">
        <f>IF($AI812=1,IFERROR(IF(VALUE($C812)&lt;100000000,VALUE($C812),1000000000),IFERROR(IF(VALUE(MID($C812,2,20))&lt;100000000,VALUE(MID($C812,2,20)),1000000000),1000000000))+ROW()/100000,"")</f>
        <v/>
      </c>
    </row>
    <row r="813">
      <c r="J813" s="7" t="n"/>
      <c r="K813" s="7" t="n"/>
      <c r="R813" s="7">
        <f>IF($C813="","",Q813*AC813/100)</f>
        <v/>
      </c>
      <c r="S813" s="11" t="n"/>
      <c r="U813" s="11" t="n"/>
      <c r="AA813" s="7" t="n"/>
      <c r="AC813" s="7" t="n"/>
      <c r="AE813">
        <f>IF($C813="","",IF($AK813=1,Settings!$C$6,Settings!$C$7)*1)</f>
        <v/>
      </c>
      <c r="AF813" s="7">
        <f>IF($C813="","",AE813*AC813)</f>
        <v/>
      </c>
      <c r="AG813" s="7">
        <f>IF($C813="","",AC813-AF813)</f>
        <v/>
      </c>
      <c r="AH813" s="7">
        <f>IF($C813="","",AG813-R813)</f>
        <v/>
      </c>
      <c r="AI813">
        <f>IF($C813="","",IF(COUNTIF($C$2:$C813,$C813)=1,1,0))</f>
        <v/>
      </c>
      <c r="AJ813">
        <f>IF($AI813=1,SUMPRODUCT(--($AL$2:$AL$1501&lt;$AL813))+1,"")</f>
        <v/>
      </c>
      <c r="AK813">
        <f>IF($C813="","",IF(OR($AD813=TRUE(),$AD813="TRUE"),0,1))</f>
        <v/>
      </c>
      <c r="AL813">
        <f>IF($AI813=1,IFERROR(IF(VALUE($C813)&lt;100000000,VALUE($C813),1000000000),IFERROR(IF(VALUE(MID($C813,2,20))&lt;100000000,VALUE(MID($C813,2,20)),1000000000),1000000000))+ROW()/100000,"")</f>
        <v/>
      </c>
    </row>
    <row r="814">
      <c r="J814" s="7" t="n"/>
      <c r="K814" s="7" t="n"/>
      <c r="R814" s="7">
        <f>IF($C814="","",Q814*AC814/100)</f>
        <v/>
      </c>
      <c r="S814" s="11" t="n"/>
      <c r="U814" s="11" t="n"/>
      <c r="AA814" s="7" t="n"/>
      <c r="AC814" s="7" t="n"/>
      <c r="AE814">
        <f>IF($C814="","",IF($AK814=1,Settings!$C$6,Settings!$C$7)*1)</f>
        <v/>
      </c>
      <c r="AF814" s="7">
        <f>IF($C814="","",AE814*AC814)</f>
        <v/>
      </c>
      <c r="AG814" s="7">
        <f>IF($C814="","",AC814-AF814)</f>
        <v/>
      </c>
      <c r="AH814" s="7">
        <f>IF($C814="","",AG814-R814)</f>
        <v/>
      </c>
      <c r="AI814">
        <f>IF($C814="","",IF(COUNTIF($C$2:$C814,$C814)=1,1,0))</f>
        <v/>
      </c>
      <c r="AJ814">
        <f>IF($AI814=1,SUMPRODUCT(--($AL$2:$AL$1501&lt;$AL814))+1,"")</f>
        <v/>
      </c>
      <c r="AK814">
        <f>IF($C814="","",IF(OR($AD814=TRUE(),$AD814="TRUE"),0,1))</f>
        <v/>
      </c>
      <c r="AL814">
        <f>IF($AI814=1,IFERROR(IF(VALUE($C814)&lt;100000000,VALUE($C814),1000000000),IFERROR(IF(VALUE(MID($C814,2,20))&lt;100000000,VALUE(MID($C814,2,20)),1000000000),1000000000))+ROW()/100000,"")</f>
        <v/>
      </c>
    </row>
    <row r="815">
      <c r="J815" s="7" t="n"/>
      <c r="K815" s="7" t="n"/>
      <c r="R815" s="7">
        <f>IF($C815="","",Q815*AC815/100)</f>
        <v/>
      </c>
      <c r="S815" s="11" t="n"/>
      <c r="U815" s="11" t="n"/>
      <c r="AA815" s="7" t="n"/>
      <c r="AC815" s="7" t="n"/>
      <c r="AE815">
        <f>IF($C815="","",IF($AK815=1,Settings!$C$6,Settings!$C$7)*1)</f>
        <v/>
      </c>
      <c r="AF815" s="7">
        <f>IF($C815="","",AE815*AC815)</f>
        <v/>
      </c>
      <c r="AG815" s="7">
        <f>IF($C815="","",AC815-AF815)</f>
        <v/>
      </c>
      <c r="AH815" s="7">
        <f>IF($C815="","",AG815-R815)</f>
        <v/>
      </c>
      <c r="AI815">
        <f>IF($C815="","",IF(COUNTIF($C$2:$C815,$C815)=1,1,0))</f>
        <v/>
      </c>
      <c r="AJ815">
        <f>IF($AI815=1,SUMPRODUCT(--($AL$2:$AL$1501&lt;$AL815))+1,"")</f>
        <v/>
      </c>
      <c r="AK815">
        <f>IF($C815="","",IF(OR($AD815=TRUE(),$AD815="TRUE"),0,1))</f>
        <v/>
      </c>
      <c r="AL815">
        <f>IF($AI815=1,IFERROR(IF(VALUE($C815)&lt;100000000,VALUE($C815),1000000000),IFERROR(IF(VALUE(MID($C815,2,20))&lt;100000000,VALUE(MID($C815,2,20)),1000000000),1000000000))+ROW()/100000,"")</f>
        <v/>
      </c>
    </row>
    <row r="816">
      <c r="J816" s="7" t="n"/>
      <c r="K816" s="7" t="n"/>
      <c r="R816" s="7">
        <f>IF($C816="","",Q816*AC816/100)</f>
        <v/>
      </c>
      <c r="S816" s="11" t="n"/>
      <c r="U816" s="11" t="n"/>
      <c r="AA816" s="7" t="n"/>
      <c r="AC816" s="7" t="n"/>
      <c r="AE816">
        <f>IF($C816="","",IF($AK816=1,Settings!$C$6,Settings!$C$7)*1)</f>
        <v/>
      </c>
      <c r="AF816" s="7">
        <f>IF($C816="","",AE816*AC816)</f>
        <v/>
      </c>
      <c r="AG816" s="7">
        <f>IF($C816="","",AC816-AF816)</f>
        <v/>
      </c>
      <c r="AH816" s="7">
        <f>IF($C816="","",AG816-R816)</f>
        <v/>
      </c>
      <c r="AI816">
        <f>IF($C816="","",IF(COUNTIF($C$2:$C816,$C816)=1,1,0))</f>
        <v/>
      </c>
      <c r="AJ816">
        <f>IF($AI816=1,SUMPRODUCT(--($AL$2:$AL$1501&lt;$AL816))+1,"")</f>
        <v/>
      </c>
      <c r="AK816">
        <f>IF($C816="","",IF(OR($AD816=TRUE(),$AD816="TRUE"),0,1))</f>
        <v/>
      </c>
      <c r="AL816">
        <f>IF($AI816=1,IFERROR(IF(VALUE($C816)&lt;100000000,VALUE($C816),1000000000),IFERROR(IF(VALUE(MID($C816,2,20))&lt;100000000,VALUE(MID($C816,2,20)),1000000000),1000000000))+ROW()/100000,"")</f>
        <v/>
      </c>
    </row>
    <row r="817">
      <c r="J817" s="7" t="n"/>
      <c r="K817" s="7" t="n"/>
      <c r="R817" s="7">
        <f>IF($C817="","",Q817*AC817/100)</f>
        <v/>
      </c>
      <c r="S817" s="11" t="n"/>
      <c r="U817" s="11" t="n"/>
      <c r="AA817" s="7" t="n"/>
      <c r="AC817" s="7" t="n"/>
      <c r="AE817">
        <f>IF($C817="","",IF($AK817=1,Settings!$C$6,Settings!$C$7)*1)</f>
        <v/>
      </c>
      <c r="AF817" s="7">
        <f>IF($C817="","",AE817*AC817)</f>
        <v/>
      </c>
      <c r="AG817" s="7">
        <f>IF($C817="","",AC817-AF817)</f>
        <v/>
      </c>
      <c r="AH817" s="7">
        <f>IF($C817="","",AG817-R817)</f>
        <v/>
      </c>
      <c r="AI817">
        <f>IF($C817="","",IF(COUNTIF($C$2:$C817,$C817)=1,1,0))</f>
        <v/>
      </c>
      <c r="AJ817">
        <f>IF($AI817=1,SUMPRODUCT(--($AL$2:$AL$1501&lt;$AL817))+1,"")</f>
        <v/>
      </c>
      <c r="AK817">
        <f>IF($C817="","",IF(OR($AD817=TRUE(),$AD817="TRUE"),0,1))</f>
        <v/>
      </c>
      <c r="AL817">
        <f>IF($AI817=1,IFERROR(IF(VALUE($C817)&lt;100000000,VALUE($C817),1000000000),IFERROR(IF(VALUE(MID($C817,2,20))&lt;100000000,VALUE(MID($C817,2,20)),1000000000),1000000000))+ROW()/100000,"")</f>
        <v/>
      </c>
    </row>
    <row r="818">
      <c r="J818" s="7" t="n"/>
      <c r="K818" s="7" t="n"/>
      <c r="R818" s="7">
        <f>IF($C818="","",Q818*AC818/100)</f>
        <v/>
      </c>
      <c r="S818" s="11" t="n"/>
      <c r="U818" s="11" t="n"/>
      <c r="AA818" s="7" t="n"/>
      <c r="AC818" s="7" t="n"/>
      <c r="AE818">
        <f>IF($C818="","",IF($AK818=1,Settings!$C$6,Settings!$C$7)*1)</f>
        <v/>
      </c>
      <c r="AF818" s="7">
        <f>IF($C818="","",AE818*AC818)</f>
        <v/>
      </c>
      <c r="AG818" s="7">
        <f>IF($C818="","",AC818-AF818)</f>
        <v/>
      </c>
      <c r="AH818" s="7">
        <f>IF($C818="","",AG818-R818)</f>
        <v/>
      </c>
      <c r="AI818">
        <f>IF($C818="","",IF(COUNTIF($C$2:$C818,$C818)=1,1,0))</f>
        <v/>
      </c>
      <c r="AJ818">
        <f>IF($AI818=1,SUMPRODUCT(--($AL$2:$AL$1501&lt;$AL818))+1,"")</f>
        <v/>
      </c>
      <c r="AK818">
        <f>IF($C818="","",IF(OR($AD818=TRUE(),$AD818="TRUE"),0,1))</f>
        <v/>
      </c>
      <c r="AL818">
        <f>IF($AI818=1,IFERROR(IF(VALUE($C818)&lt;100000000,VALUE($C818),1000000000),IFERROR(IF(VALUE(MID($C818,2,20))&lt;100000000,VALUE(MID($C818,2,20)),1000000000),1000000000))+ROW()/100000,"")</f>
        <v/>
      </c>
    </row>
    <row r="819">
      <c r="J819" s="7" t="n"/>
      <c r="K819" s="7" t="n"/>
      <c r="R819" s="7">
        <f>IF($C819="","",Q819*AC819/100)</f>
        <v/>
      </c>
      <c r="S819" s="11" t="n"/>
      <c r="U819" s="11" t="n"/>
      <c r="AA819" s="7" t="n"/>
      <c r="AC819" s="7" t="n"/>
      <c r="AE819">
        <f>IF($C819="","",IF($AK819=1,Settings!$C$6,Settings!$C$7)*1)</f>
        <v/>
      </c>
      <c r="AF819" s="7">
        <f>IF($C819="","",AE819*AC819)</f>
        <v/>
      </c>
      <c r="AG819" s="7">
        <f>IF($C819="","",AC819-AF819)</f>
        <v/>
      </c>
      <c r="AH819" s="7">
        <f>IF($C819="","",AG819-R819)</f>
        <v/>
      </c>
      <c r="AI819">
        <f>IF($C819="","",IF(COUNTIF($C$2:$C819,$C819)=1,1,0))</f>
        <v/>
      </c>
      <c r="AJ819">
        <f>IF($AI819=1,SUMPRODUCT(--($AL$2:$AL$1501&lt;$AL819))+1,"")</f>
        <v/>
      </c>
      <c r="AK819">
        <f>IF($C819="","",IF(OR($AD819=TRUE(),$AD819="TRUE"),0,1))</f>
        <v/>
      </c>
      <c r="AL819">
        <f>IF($AI819=1,IFERROR(IF(VALUE($C819)&lt;100000000,VALUE($C819),1000000000),IFERROR(IF(VALUE(MID($C819,2,20))&lt;100000000,VALUE(MID($C819,2,20)),1000000000),1000000000))+ROW()/100000,"")</f>
        <v/>
      </c>
    </row>
    <row r="820">
      <c r="J820" s="7" t="n"/>
      <c r="K820" s="7" t="n"/>
      <c r="R820" s="7">
        <f>IF($C820="","",Q820*AC820/100)</f>
        <v/>
      </c>
      <c r="S820" s="11" t="n"/>
      <c r="U820" s="11" t="n"/>
      <c r="AA820" s="7" t="n"/>
      <c r="AC820" s="7" t="n"/>
      <c r="AE820">
        <f>IF($C820="","",IF($AK820=1,Settings!$C$6,Settings!$C$7)*1)</f>
        <v/>
      </c>
      <c r="AF820" s="7">
        <f>IF($C820="","",AE820*AC820)</f>
        <v/>
      </c>
      <c r="AG820" s="7">
        <f>IF($C820="","",AC820-AF820)</f>
        <v/>
      </c>
      <c r="AH820" s="7">
        <f>IF($C820="","",AG820-R820)</f>
        <v/>
      </c>
      <c r="AI820">
        <f>IF($C820="","",IF(COUNTIF($C$2:$C820,$C820)=1,1,0))</f>
        <v/>
      </c>
      <c r="AJ820">
        <f>IF($AI820=1,SUMPRODUCT(--($AL$2:$AL$1501&lt;$AL820))+1,"")</f>
        <v/>
      </c>
      <c r="AK820">
        <f>IF($C820="","",IF(OR($AD820=TRUE(),$AD820="TRUE"),0,1))</f>
        <v/>
      </c>
      <c r="AL820">
        <f>IF($AI820=1,IFERROR(IF(VALUE($C820)&lt;100000000,VALUE($C820),1000000000),IFERROR(IF(VALUE(MID($C820,2,20))&lt;100000000,VALUE(MID($C820,2,20)),1000000000),1000000000))+ROW()/100000,"")</f>
        <v/>
      </c>
    </row>
    <row r="821">
      <c r="J821" s="7" t="n"/>
      <c r="K821" s="7" t="n"/>
      <c r="R821" s="7">
        <f>IF($C821="","",Q821*AC821/100)</f>
        <v/>
      </c>
      <c r="S821" s="11" t="n"/>
      <c r="U821" s="11" t="n"/>
      <c r="AA821" s="7" t="n"/>
      <c r="AC821" s="7" t="n"/>
      <c r="AE821">
        <f>IF($C821="","",IF($AK821=1,Settings!$C$6,Settings!$C$7)*1)</f>
        <v/>
      </c>
      <c r="AF821" s="7">
        <f>IF($C821="","",AE821*AC821)</f>
        <v/>
      </c>
      <c r="AG821" s="7">
        <f>IF($C821="","",AC821-AF821)</f>
        <v/>
      </c>
      <c r="AH821" s="7">
        <f>IF($C821="","",AG821-R821)</f>
        <v/>
      </c>
      <c r="AI821">
        <f>IF($C821="","",IF(COUNTIF($C$2:$C821,$C821)=1,1,0))</f>
        <v/>
      </c>
      <c r="AJ821">
        <f>IF($AI821=1,SUMPRODUCT(--($AL$2:$AL$1501&lt;$AL821))+1,"")</f>
        <v/>
      </c>
      <c r="AK821">
        <f>IF($C821="","",IF(OR($AD821=TRUE(),$AD821="TRUE"),0,1))</f>
        <v/>
      </c>
      <c r="AL821">
        <f>IF($AI821=1,IFERROR(IF(VALUE($C821)&lt;100000000,VALUE($C821),1000000000),IFERROR(IF(VALUE(MID($C821,2,20))&lt;100000000,VALUE(MID($C821,2,20)),1000000000),1000000000))+ROW()/100000,"")</f>
        <v/>
      </c>
    </row>
    <row r="822">
      <c r="J822" s="7" t="n"/>
      <c r="K822" s="7" t="n"/>
      <c r="R822" s="7">
        <f>IF($C822="","",Q822*AC822/100)</f>
        <v/>
      </c>
      <c r="S822" s="11" t="n"/>
      <c r="U822" s="11" t="n"/>
      <c r="AA822" s="7" t="n"/>
      <c r="AC822" s="7" t="n"/>
      <c r="AE822">
        <f>IF($C822="","",IF($AK822=1,Settings!$C$6,Settings!$C$7)*1)</f>
        <v/>
      </c>
      <c r="AF822" s="7">
        <f>IF($C822="","",AE822*AC822)</f>
        <v/>
      </c>
      <c r="AG822" s="7">
        <f>IF($C822="","",AC822-AF822)</f>
        <v/>
      </c>
      <c r="AH822" s="7">
        <f>IF($C822="","",AG822-R822)</f>
        <v/>
      </c>
      <c r="AI822">
        <f>IF($C822="","",IF(COUNTIF($C$2:$C822,$C822)=1,1,0))</f>
        <v/>
      </c>
      <c r="AJ822">
        <f>IF($AI822=1,SUMPRODUCT(--($AL$2:$AL$1501&lt;$AL822))+1,"")</f>
        <v/>
      </c>
      <c r="AK822">
        <f>IF($C822="","",IF(OR($AD822=TRUE(),$AD822="TRUE"),0,1))</f>
        <v/>
      </c>
      <c r="AL822">
        <f>IF($AI822=1,IFERROR(IF(VALUE($C822)&lt;100000000,VALUE($C822),1000000000),IFERROR(IF(VALUE(MID($C822,2,20))&lt;100000000,VALUE(MID($C822,2,20)),1000000000),1000000000))+ROW()/100000,"")</f>
        <v/>
      </c>
    </row>
    <row r="823">
      <c r="J823" s="7" t="n"/>
      <c r="K823" s="7" t="n"/>
      <c r="R823" s="7">
        <f>IF($C823="","",Q823*AC823/100)</f>
        <v/>
      </c>
      <c r="S823" s="11" t="n"/>
      <c r="U823" s="11" t="n"/>
      <c r="AA823" s="7" t="n"/>
      <c r="AC823" s="7" t="n"/>
      <c r="AE823">
        <f>IF($C823="","",IF($AK823=1,Settings!$C$6,Settings!$C$7)*1)</f>
        <v/>
      </c>
      <c r="AF823" s="7">
        <f>IF($C823="","",AE823*AC823)</f>
        <v/>
      </c>
      <c r="AG823" s="7">
        <f>IF($C823="","",AC823-AF823)</f>
        <v/>
      </c>
      <c r="AH823" s="7">
        <f>IF($C823="","",AG823-R823)</f>
        <v/>
      </c>
      <c r="AI823">
        <f>IF($C823="","",IF(COUNTIF($C$2:$C823,$C823)=1,1,0))</f>
        <v/>
      </c>
      <c r="AJ823">
        <f>IF($AI823=1,SUMPRODUCT(--($AL$2:$AL$1501&lt;$AL823))+1,"")</f>
        <v/>
      </c>
      <c r="AK823">
        <f>IF($C823="","",IF(OR($AD823=TRUE(),$AD823="TRUE"),0,1))</f>
        <v/>
      </c>
      <c r="AL823">
        <f>IF($AI823=1,IFERROR(IF(VALUE($C823)&lt;100000000,VALUE($C823),1000000000),IFERROR(IF(VALUE(MID($C823,2,20))&lt;100000000,VALUE(MID($C823,2,20)),1000000000),1000000000))+ROW()/100000,"")</f>
        <v/>
      </c>
    </row>
    <row r="824">
      <c r="J824" s="7" t="n"/>
      <c r="K824" s="7" t="n"/>
      <c r="R824" s="7">
        <f>IF($C824="","",Q824*AC824/100)</f>
        <v/>
      </c>
      <c r="S824" s="11" t="n"/>
      <c r="U824" s="11" t="n"/>
      <c r="AA824" s="7" t="n"/>
      <c r="AC824" s="7" t="n"/>
      <c r="AE824">
        <f>IF($C824="","",IF($AK824=1,Settings!$C$6,Settings!$C$7)*1)</f>
        <v/>
      </c>
      <c r="AF824" s="7">
        <f>IF($C824="","",AE824*AC824)</f>
        <v/>
      </c>
      <c r="AG824" s="7">
        <f>IF($C824="","",AC824-AF824)</f>
        <v/>
      </c>
      <c r="AH824" s="7">
        <f>IF($C824="","",AG824-R824)</f>
        <v/>
      </c>
      <c r="AI824">
        <f>IF($C824="","",IF(COUNTIF($C$2:$C824,$C824)=1,1,0))</f>
        <v/>
      </c>
      <c r="AJ824">
        <f>IF($AI824=1,SUMPRODUCT(--($AL$2:$AL$1501&lt;$AL824))+1,"")</f>
        <v/>
      </c>
      <c r="AK824">
        <f>IF($C824="","",IF(OR($AD824=TRUE(),$AD824="TRUE"),0,1))</f>
        <v/>
      </c>
      <c r="AL824">
        <f>IF($AI824=1,IFERROR(IF(VALUE($C824)&lt;100000000,VALUE($C824),1000000000),IFERROR(IF(VALUE(MID($C824,2,20))&lt;100000000,VALUE(MID($C824,2,20)),1000000000),1000000000))+ROW()/100000,"")</f>
        <v/>
      </c>
    </row>
    <row r="825">
      <c r="J825" s="7" t="n"/>
      <c r="K825" s="7" t="n"/>
      <c r="R825" s="7">
        <f>IF($C825="","",Q825*AC825/100)</f>
        <v/>
      </c>
      <c r="S825" s="11" t="n"/>
      <c r="U825" s="11" t="n"/>
      <c r="AA825" s="7" t="n"/>
      <c r="AC825" s="7" t="n"/>
      <c r="AE825">
        <f>IF($C825="","",IF($AK825=1,Settings!$C$6,Settings!$C$7)*1)</f>
        <v/>
      </c>
      <c r="AF825" s="7">
        <f>IF($C825="","",AE825*AC825)</f>
        <v/>
      </c>
      <c r="AG825" s="7">
        <f>IF($C825="","",AC825-AF825)</f>
        <v/>
      </c>
      <c r="AH825" s="7">
        <f>IF($C825="","",AG825-R825)</f>
        <v/>
      </c>
      <c r="AI825">
        <f>IF($C825="","",IF(COUNTIF($C$2:$C825,$C825)=1,1,0))</f>
        <v/>
      </c>
      <c r="AJ825">
        <f>IF($AI825=1,SUMPRODUCT(--($AL$2:$AL$1501&lt;$AL825))+1,"")</f>
        <v/>
      </c>
      <c r="AK825">
        <f>IF($C825="","",IF(OR($AD825=TRUE(),$AD825="TRUE"),0,1))</f>
        <v/>
      </c>
      <c r="AL825">
        <f>IF($AI825=1,IFERROR(IF(VALUE($C825)&lt;100000000,VALUE($C825),1000000000),IFERROR(IF(VALUE(MID($C825,2,20))&lt;100000000,VALUE(MID($C825,2,20)),1000000000),1000000000))+ROW()/100000,"")</f>
        <v/>
      </c>
    </row>
    <row r="826">
      <c r="J826" s="7" t="n"/>
      <c r="K826" s="7" t="n"/>
      <c r="R826" s="7">
        <f>IF($C826="","",Q826*AC826/100)</f>
        <v/>
      </c>
      <c r="S826" s="11" t="n"/>
      <c r="U826" s="11" t="n"/>
      <c r="AA826" s="7" t="n"/>
      <c r="AC826" s="7" t="n"/>
      <c r="AE826">
        <f>IF($C826="","",IF($AK826=1,Settings!$C$6,Settings!$C$7)*1)</f>
        <v/>
      </c>
      <c r="AF826" s="7">
        <f>IF($C826="","",AE826*AC826)</f>
        <v/>
      </c>
      <c r="AG826" s="7">
        <f>IF($C826="","",AC826-AF826)</f>
        <v/>
      </c>
      <c r="AH826" s="7">
        <f>IF($C826="","",AG826-R826)</f>
        <v/>
      </c>
      <c r="AI826">
        <f>IF($C826="","",IF(COUNTIF($C$2:$C826,$C826)=1,1,0))</f>
        <v/>
      </c>
      <c r="AJ826">
        <f>IF($AI826=1,SUMPRODUCT(--($AL$2:$AL$1501&lt;$AL826))+1,"")</f>
        <v/>
      </c>
      <c r="AK826">
        <f>IF($C826="","",IF(OR($AD826=TRUE(),$AD826="TRUE"),0,1))</f>
        <v/>
      </c>
      <c r="AL826">
        <f>IF($AI826=1,IFERROR(IF(VALUE($C826)&lt;100000000,VALUE($C826),1000000000),IFERROR(IF(VALUE(MID($C826,2,20))&lt;100000000,VALUE(MID($C826,2,20)),1000000000),1000000000))+ROW()/100000,"")</f>
        <v/>
      </c>
    </row>
    <row r="827">
      <c r="J827" s="7" t="n"/>
      <c r="K827" s="7" t="n"/>
      <c r="R827" s="7">
        <f>IF($C827="","",Q827*AC827/100)</f>
        <v/>
      </c>
      <c r="S827" s="11" t="n"/>
      <c r="U827" s="11" t="n"/>
      <c r="AA827" s="7" t="n"/>
      <c r="AC827" s="7" t="n"/>
      <c r="AE827">
        <f>IF($C827="","",IF($AK827=1,Settings!$C$6,Settings!$C$7)*1)</f>
        <v/>
      </c>
      <c r="AF827" s="7">
        <f>IF($C827="","",AE827*AC827)</f>
        <v/>
      </c>
      <c r="AG827" s="7">
        <f>IF($C827="","",AC827-AF827)</f>
        <v/>
      </c>
      <c r="AH827" s="7">
        <f>IF($C827="","",AG827-R827)</f>
        <v/>
      </c>
      <c r="AI827">
        <f>IF($C827="","",IF(COUNTIF($C$2:$C827,$C827)=1,1,0))</f>
        <v/>
      </c>
      <c r="AJ827">
        <f>IF($AI827=1,SUMPRODUCT(--($AL$2:$AL$1501&lt;$AL827))+1,"")</f>
        <v/>
      </c>
      <c r="AK827">
        <f>IF($C827="","",IF(OR($AD827=TRUE(),$AD827="TRUE"),0,1))</f>
        <v/>
      </c>
      <c r="AL827">
        <f>IF($AI827=1,IFERROR(IF(VALUE($C827)&lt;100000000,VALUE($C827),1000000000),IFERROR(IF(VALUE(MID($C827,2,20))&lt;100000000,VALUE(MID($C827,2,20)),1000000000),1000000000))+ROW()/100000,"")</f>
        <v/>
      </c>
    </row>
    <row r="828">
      <c r="J828" s="7" t="n"/>
      <c r="K828" s="7" t="n"/>
      <c r="R828" s="7">
        <f>IF($C828="","",Q828*AC828/100)</f>
        <v/>
      </c>
      <c r="S828" s="11" t="n"/>
      <c r="U828" s="11" t="n"/>
      <c r="AA828" s="7" t="n"/>
      <c r="AC828" s="7" t="n"/>
      <c r="AE828">
        <f>IF($C828="","",IF($AK828=1,Settings!$C$6,Settings!$C$7)*1)</f>
        <v/>
      </c>
      <c r="AF828" s="7">
        <f>IF($C828="","",AE828*AC828)</f>
        <v/>
      </c>
      <c r="AG828" s="7">
        <f>IF($C828="","",AC828-AF828)</f>
        <v/>
      </c>
      <c r="AH828" s="7">
        <f>IF($C828="","",AG828-R828)</f>
        <v/>
      </c>
      <c r="AI828">
        <f>IF($C828="","",IF(COUNTIF($C$2:$C828,$C828)=1,1,0))</f>
        <v/>
      </c>
      <c r="AJ828">
        <f>IF($AI828=1,SUMPRODUCT(--($AL$2:$AL$1501&lt;$AL828))+1,"")</f>
        <v/>
      </c>
      <c r="AK828">
        <f>IF($C828="","",IF(OR($AD828=TRUE(),$AD828="TRUE"),0,1))</f>
        <v/>
      </c>
      <c r="AL828">
        <f>IF($AI828=1,IFERROR(IF(VALUE($C828)&lt;100000000,VALUE($C828),1000000000),IFERROR(IF(VALUE(MID($C828,2,20))&lt;100000000,VALUE(MID($C828,2,20)),1000000000),1000000000))+ROW()/100000,"")</f>
        <v/>
      </c>
    </row>
    <row r="829">
      <c r="J829" s="7" t="n"/>
      <c r="K829" s="7" t="n"/>
      <c r="R829" s="7">
        <f>IF($C829="","",Q829*AC829/100)</f>
        <v/>
      </c>
      <c r="S829" s="11" t="n"/>
      <c r="U829" s="11" t="n"/>
      <c r="AA829" s="7" t="n"/>
      <c r="AC829" s="7" t="n"/>
      <c r="AE829">
        <f>IF($C829="","",IF($AK829=1,Settings!$C$6,Settings!$C$7)*1)</f>
        <v/>
      </c>
      <c r="AF829" s="7">
        <f>IF($C829="","",AE829*AC829)</f>
        <v/>
      </c>
      <c r="AG829" s="7">
        <f>IF($C829="","",AC829-AF829)</f>
        <v/>
      </c>
      <c r="AH829" s="7">
        <f>IF($C829="","",AG829-R829)</f>
        <v/>
      </c>
      <c r="AI829">
        <f>IF($C829="","",IF(COUNTIF($C$2:$C829,$C829)=1,1,0))</f>
        <v/>
      </c>
      <c r="AJ829">
        <f>IF($AI829=1,SUMPRODUCT(--($AL$2:$AL$1501&lt;$AL829))+1,"")</f>
        <v/>
      </c>
      <c r="AK829">
        <f>IF($C829="","",IF(OR($AD829=TRUE(),$AD829="TRUE"),0,1))</f>
        <v/>
      </c>
      <c r="AL829">
        <f>IF($AI829=1,IFERROR(IF(VALUE($C829)&lt;100000000,VALUE($C829),1000000000),IFERROR(IF(VALUE(MID($C829,2,20))&lt;100000000,VALUE(MID($C829,2,20)),1000000000),1000000000))+ROW()/100000,"")</f>
        <v/>
      </c>
    </row>
    <row r="830">
      <c r="J830" s="7" t="n"/>
      <c r="K830" s="7" t="n"/>
      <c r="R830" s="7">
        <f>IF($C830="","",Q830*AC830/100)</f>
        <v/>
      </c>
      <c r="S830" s="11" t="n"/>
      <c r="U830" s="11" t="n"/>
      <c r="AA830" s="7" t="n"/>
      <c r="AC830" s="7" t="n"/>
      <c r="AE830">
        <f>IF($C830="","",IF($AK830=1,Settings!$C$6,Settings!$C$7)*1)</f>
        <v/>
      </c>
      <c r="AF830" s="7">
        <f>IF($C830="","",AE830*AC830)</f>
        <v/>
      </c>
      <c r="AG830" s="7">
        <f>IF($C830="","",AC830-AF830)</f>
        <v/>
      </c>
      <c r="AH830" s="7">
        <f>IF($C830="","",AG830-R830)</f>
        <v/>
      </c>
      <c r="AI830">
        <f>IF($C830="","",IF(COUNTIF($C$2:$C830,$C830)=1,1,0))</f>
        <v/>
      </c>
      <c r="AJ830">
        <f>IF($AI830=1,SUMPRODUCT(--($AL$2:$AL$1501&lt;$AL830))+1,"")</f>
        <v/>
      </c>
      <c r="AK830">
        <f>IF($C830="","",IF(OR($AD830=TRUE(),$AD830="TRUE"),0,1))</f>
        <v/>
      </c>
      <c r="AL830">
        <f>IF($AI830=1,IFERROR(IF(VALUE($C830)&lt;100000000,VALUE($C830),1000000000),IFERROR(IF(VALUE(MID($C830,2,20))&lt;100000000,VALUE(MID($C830,2,20)),1000000000),1000000000))+ROW()/100000,"")</f>
        <v/>
      </c>
    </row>
    <row r="831">
      <c r="J831" s="7" t="n"/>
      <c r="K831" s="7" t="n"/>
      <c r="R831" s="7">
        <f>IF($C831="","",Q831*AC831/100)</f>
        <v/>
      </c>
      <c r="S831" s="11" t="n"/>
      <c r="U831" s="11" t="n"/>
      <c r="AA831" s="7" t="n"/>
      <c r="AC831" s="7" t="n"/>
      <c r="AE831">
        <f>IF($C831="","",IF($AK831=1,Settings!$C$6,Settings!$C$7)*1)</f>
        <v/>
      </c>
      <c r="AF831" s="7">
        <f>IF($C831="","",AE831*AC831)</f>
        <v/>
      </c>
      <c r="AG831" s="7">
        <f>IF($C831="","",AC831-AF831)</f>
        <v/>
      </c>
      <c r="AH831" s="7">
        <f>IF($C831="","",AG831-R831)</f>
        <v/>
      </c>
      <c r="AI831">
        <f>IF($C831="","",IF(COUNTIF($C$2:$C831,$C831)=1,1,0))</f>
        <v/>
      </c>
      <c r="AJ831">
        <f>IF($AI831=1,SUMPRODUCT(--($AL$2:$AL$1501&lt;$AL831))+1,"")</f>
        <v/>
      </c>
      <c r="AK831">
        <f>IF($C831="","",IF(OR($AD831=TRUE(),$AD831="TRUE"),0,1))</f>
        <v/>
      </c>
      <c r="AL831">
        <f>IF($AI831=1,IFERROR(IF(VALUE($C831)&lt;100000000,VALUE($C831),1000000000),IFERROR(IF(VALUE(MID($C831,2,20))&lt;100000000,VALUE(MID($C831,2,20)),1000000000),1000000000))+ROW()/100000,"")</f>
        <v/>
      </c>
    </row>
    <row r="832">
      <c r="J832" s="7" t="n"/>
      <c r="K832" s="7" t="n"/>
      <c r="R832" s="7">
        <f>IF($C832="","",Q832*AC832/100)</f>
        <v/>
      </c>
      <c r="S832" s="11" t="n"/>
      <c r="U832" s="11" t="n"/>
      <c r="AA832" s="7" t="n"/>
      <c r="AC832" s="7" t="n"/>
      <c r="AE832">
        <f>IF($C832="","",IF($AK832=1,Settings!$C$6,Settings!$C$7)*1)</f>
        <v/>
      </c>
      <c r="AF832" s="7">
        <f>IF($C832="","",AE832*AC832)</f>
        <v/>
      </c>
      <c r="AG832" s="7">
        <f>IF($C832="","",AC832-AF832)</f>
        <v/>
      </c>
      <c r="AH832" s="7">
        <f>IF($C832="","",AG832-R832)</f>
        <v/>
      </c>
      <c r="AI832">
        <f>IF($C832="","",IF(COUNTIF($C$2:$C832,$C832)=1,1,0))</f>
        <v/>
      </c>
      <c r="AJ832">
        <f>IF($AI832=1,SUMPRODUCT(--($AL$2:$AL$1501&lt;$AL832))+1,"")</f>
        <v/>
      </c>
      <c r="AK832">
        <f>IF($C832="","",IF(OR($AD832=TRUE(),$AD832="TRUE"),0,1))</f>
        <v/>
      </c>
      <c r="AL832">
        <f>IF($AI832=1,IFERROR(IF(VALUE($C832)&lt;100000000,VALUE($C832),1000000000),IFERROR(IF(VALUE(MID($C832,2,20))&lt;100000000,VALUE(MID($C832,2,20)),1000000000),1000000000))+ROW()/100000,"")</f>
        <v/>
      </c>
    </row>
    <row r="833">
      <c r="J833" s="7" t="n"/>
      <c r="K833" s="7" t="n"/>
      <c r="R833" s="7">
        <f>IF($C833="","",Q833*AC833/100)</f>
        <v/>
      </c>
      <c r="S833" s="11" t="n"/>
      <c r="U833" s="11" t="n"/>
      <c r="AA833" s="7" t="n"/>
      <c r="AC833" s="7" t="n"/>
      <c r="AE833">
        <f>IF($C833="","",IF($AK833=1,Settings!$C$6,Settings!$C$7)*1)</f>
        <v/>
      </c>
      <c r="AF833" s="7">
        <f>IF($C833="","",AE833*AC833)</f>
        <v/>
      </c>
      <c r="AG833" s="7">
        <f>IF($C833="","",AC833-AF833)</f>
        <v/>
      </c>
      <c r="AH833" s="7">
        <f>IF($C833="","",AG833-R833)</f>
        <v/>
      </c>
      <c r="AI833">
        <f>IF($C833="","",IF(COUNTIF($C$2:$C833,$C833)=1,1,0))</f>
        <v/>
      </c>
      <c r="AJ833">
        <f>IF($AI833=1,SUMPRODUCT(--($AL$2:$AL$1501&lt;$AL833))+1,"")</f>
        <v/>
      </c>
      <c r="AK833">
        <f>IF($C833="","",IF(OR($AD833=TRUE(),$AD833="TRUE"),0,1))</f>
        <v/>
      </c>
      <c r="AL833">
        <f>IF($AI833=1,IFERROR(IF(VALUE($C833)&lt;100000000,VALUE($C833),1000000000),IFERROR(IF(VALUE(MID($C833,2,20))&lt;100000000,VALUE(MID($C833,2,20)),1000000000),1000000000))+ROW()/100000,"")</f>
        <v/>
      </c>
    </row>
    <row r="834">
      <c r="J834" s="7" t="n"/>
      <c r="K834" s="7" t="n"/>
      <c r="R834" s="7">
        <f>IF($C834="","",Q834*AC834/100)</f>
        <v/>
      </c>
      <c r="S834" s="11" t="n"/>
      <c r="U834" s="11" t="n"/>
      <c r="AA834" s="7" t="n"/>
      <c r="AC834" s="7" t="n"/>
      <c r="AE834">
        <f>IF($C834="","",IF($AK834=1,Settings!$C$6,Settings!$C$7)*1)</f>
        <v/>
      </c>
      <c r="AF834" s="7">
        <f>IF($C834="","",AE834*AC834)</f>
        <v/>
      </c>
      <c r="AG834" s="7">
        <f>IF($C834="","",AC834-AF834)</f>
        <v/>
      </c>
      <c r="AH834" s="7">
        <f>IF($C834="","",AG834-R834)</f>
        <v/>
      </c>
      <c r="AI834">
        <f>IF($C834="","",IF(COUNTIF($C$2:$C834,$C834)=1,1,0))</f>
        <v/>
      </c>
      <c r="AJ834">
        <f>IF($AI834=1,SUMPRODUCT(--($AL$2:$AL$1501&lt;$AL834))+1,"")</f>
        <v/>
      </c>
      <c r="AK834">
        <f>IF($C834="","",IF(OR($AD834=TRUE(),$AD834="TRUE"),0,1))</f>
        <v/>
      </c>
      <c r="AL834">
        <f>IF($AI834=1,IFERROR(IF(VALUE($C834)&lt;100000000,VALUE($C834),1000000000),IFERROR(IF(VALUE(MID($C834,2,20))&lt;100000000,VALUE(MID($C834,2,20)),1000000000),1000000000))+ROW()/100000,"")</f>
        <v/>
      </c>
    </row>
    <row r="835">
      <c r="J835" s="7" t="n"/>
      <c r="K835" s="7" t="n"/>
      <c r="R835" s="7">
        <f>IF($C835="","",Q835*AC835/100)</f>
        <v/>
      </c>
      <c r="S835" s="11" t="n"/>
      <c r="U835" s="11" t="n"/>
      <c r="AA835" s="7" t="n"/>
      <c r="AC835" s="7" t="n"/>
      <c r="AE835">
        <f>IF($C835="","",IF($AK835=1,Settings!$C$6,Settings!$C$7)*1)</f>
        <v/>
      </c>
      <c r="AF835" s="7">
        <f>IF($C835="","",AE835*AC835)</f>
        <v/>
      </c>
      <c r="AG835" s="7">
        <f>IF($C835="","",AC835-AF835)</f>
        <v/>
      </c>
      <c r="AH835" s="7">
        <f>IF($C835="","",AG835-R835)</f>
        <v/>
      </c>
      <c r="AI835">
        <f>IF($C835="","",IF(COUNTIF($C$2:$C835,$C835)=1,1,0))</f>
        <v/>
      </c>
      <c r="AJ835">
        <f>IF($AI835=1,SUMPRODUCT(--($AL$2:$AL$1501&lt;$AL835))+1,"")</f>
        <v/>
      </c>
      <c r="AK835">
        <f>IF($C835="","",IF(OR($AD835=TRUE(),$AD835="TRUE"),0,1))</f>
        <v/>
      </c>
      <c r="AL835">
        <f>IF($AI835=1,IFERROR(IF(VALUE($C835)&lt;100000000,VALUE($C835),1000000000),IFERROR(IF(VALUE(MID($C835,2,20))&lt;100000000,VALUE(MID($C835,2,20)),1000000000),1000000000))+ROW()/100000,"")</f>
        <v/>
      </c>
    </row>
    <row r="836">
      <c r="J836" s="7" t="n"/>
      <c r="K836" s="7" t="n"/>
      <c r="R836" s="7">
        <f>IF($C836="","",Q836*AC836/100)</f>
        <v/>
      </c>
      <c r="S836" s="11" t="n"/>
      <c r="U836" s="11" t="n"/>
      <c r="AA836" s="7" t="n"/>
      <c r="AC836" s="7" t="n"/>
      <c r="AE836">
        <f>IF($C836="","",IF($AK836=1,Settings!$C$6,Settings!$C$7)*1)</f>
        <v/>
      </c>
      <c r="AF836" s="7">
        <f>IF($C836="","",AE836*AC836)</f>
        <v/>
      </c>
      <c r="AG836" s="7">
        <f>IF($C836="","",AC836-AF836)</f>
        <v/>
      </c>
      <c r="AH836" s="7">
        <f>IF($C836="","",AG836-R836)</f>
        <v/>
      </c>
      <c r="AI836">
        <f>IF($C836="","",IF(COUNTIF($C$2:$C836,$C836)=1,1,0))</f>
        <v/>
      </c>
      <c r="AJ836">
        <f>IF($AI836=1,SUMPRODUCT(--($AL$2:$AL$1501&lt;$AL836))+1,"")</f>
        <v/>
      </c>
      <c r="AK836">
        <f>IF($C836="","",IF(OR($AD836=TRUE(),$AD836="TRUE"),0,1))</f>
        <v/>
      </c>
      <c r="AL836">
        <f>IF($AI836=1,IFERROR(IF(VALUE($C836)&lt;100000000,VALUE($C836),1000000000),IFERROR(IF(VALUE(MID($C836,2,20))&lt;100000000,VALUE(MID($C836,2,20)),1000000000),1000000000))+ROW()/100000,"")</f>
        <v/>
      </c>
    </row>
    <row r="837">
      <c r="J837" s="7" t="n"/>
      <c r="K837" s="7" t="n"/>
      <c r="R837" s="7">
        <f>IF($C837="","",Q837*AC837/100)</f>
        <v/>
      </c>
      <c r="S837" s="11" t="n"/>
      <c r="U837" s="11" t="n"/>
      <c r="AA837" s="7" t="n"/>
      <c r="AC837" s="7" t="n"/>
      <c r="AE837">
        <f>IF($C837="","",IF($AK837=1,Settings!$C$6,Settings!$C$7)*1)</f>
        <v/>
      </c>
      <c r="AF837" s="7">
        <f>IF($C837="","",AE837*AC837)</f>
        <v/>
      </c>
      <c r="AG837" s="7">
        <f>IF($C837="","",AC837-AF837)</f>
        <v/>
      </c>
      <c r="AH837" s="7">
        <f>IF($C837="","",AG837-R837)</f>
        <v/>
      </c>
      <c r="AI837">
        <f>IF($C837="","",IF(COUNTIF($C$2:$C837,$C837)=1,1,0))</f>
        <v/>
      </c>
      <c r="AJ837">
        <f>IF($AI837=1,SUMPRODUCT(--($AL$2:$AL$1501&lt;$AL837))+1,"")</f>
        <v/>
      </c>
      <c r="AK837">
        <f>IF($C837="","",IF(OR($AD837=TRUE(),$AD837="TRUE"),0,1))</f>
        <v/>
      </c>
      <c r="AL837">
        <f>IF($AI837=1,IFERROR(IF(VALUE($C837)&lt;100000000,VALUE($C837),1000000000),IFERROR(IF(VALUE(MID($C837,2,20))&lt;100000000,VALUE(MID($C837,2,20)),1000000000),1000000000))+ROW()/100000,"")</f>
        <v/>
      </c>
    </row>
    <row r="838">
      <c r="J838" s="7" t="n"/>
      <c r="K838" s="7" t="n"/>
      <c r="R838" s="7">
        <f>IF($C838="","",Q838*AC838/100)</f>
        <v/>
      </c>
      <c r="S838" s="11" t="n"/>
      <c r="U838" s="11" t="n"/>
      <c r="AA838" s="7" t="n"/>
      <c r="AC838" s="7" t="n"/>
      <c r="AE838">
        <f>IF($C838="","",IF($AK838=1,Settings!$C$6,Settings!$C$7)*1)</f>
        <v/>
      </c>
      <c r="AF838" s="7">
        <f>IF($C838="","",AE838*AC838)</f>
        <v/>
      </c>
      <c r="AG838" s="7">
        <f>IF($C838="","",AC838-AF838)</f>
        <v/>
      </c>
      <c r="AH838" s="7">
        <f>IF($C838="","",AG838-R838)</f>
        <v/>
      </c>
      <c r="AI838">
        <f>IF($C838="","",IF(COUNTIF($C$2:$C838,$C838)=1,1,0))</f>
        <v/>
      </c>
      <c r="AJ838">
        <f>IF($AI838=1,SUMPRODUCT(--($AL$2:$AL$1501&lt;$AL838))+1,"")</f>
        <v/>
      </c>
      <c r="AK838">
        <f>IF($C838="","",IF(OR($AD838=TRUE(),$AD838="TRUE"),0,1))</f>
        <v/>
      </c>
      <c r="AL838">
        <f>IF($AI838=1,IFERROR(IF(VALUE($C838)&lt;100000000,VALUE($C838),1000000000),IFERROR(IF(VALUE(MID($C838,2,20))&lt;100000000,VALUE(MID($C838,2,20)),1000000000),1000000000))+ROW()/100000,"")</f>
        <v/>
      </c>
    </row>
    <row r="839">
      <c r="J839" s="7" t="n"/>
      <c r="K839" s="7" t="n"/>
      <c r="R839" s="7">
        <f>IF($C839="","",Q839*AC839/100)</f>
        <v/>
      </c>
      <c r="S839" s="11" t="n"/>
      <c r="U839" s="11" t="n"/>
      <c r="AA839" s="7" t="n"/>
      <c r="AC839" s="7" t="n"/>
      <c r="AE839">
        <f>IF($C839="","",IF($AK839=1,Settings!$C$6,Settings!$C$7)*1)</f>
        <v/>
      </c>
      <c r="AF839" s="7">
        <f>IF($C839="","",AE839*AC839)</f>
        <v/>
      </c>
      <c r="AG839" s="7">
        <f>IF($C839="","",AC839-AF839)</f>
        <v/>
      </c>
      <c r="AH839" s="7">
        <f>IF($C839="","",AG839-R839)</f>
        <v/>
      </c>
      <c r="AI839">
        <f>IF($C839="","",IF(COUNTIF($C$2:$C839,$C839)=1,1,0))</f>
        <v/>
      </c>
      <c r="AJ839">
        <f>IF($AI839=1,SUMPRODUCT(--($AL$2:$AL$1501&lt;$AL839))+1,"")</f>
        <v/>
      </c>
      <c r="AK839">
        <f>IF($C839="","",IF(OR($AD839=TRUE(),$AD839="TRUE"),0,1))</f>
        <v/>
      </c>
      <c r="AL839">
        <f>IF($AI839=1,IFERROR(IF(VALUE($C839)&lt;100000000,VALUE($C839),1000000000),IFERROR(IF(VALUE(MID($C839,2,20))&lt;100000000,VALUE(MID($C839,2,20)),1000000000),1000000000))+ROW()/100000,"")</f>
        <v/>
      </c>
    </row>
    <row r="840">
      <c r="J840" s="7" t="n"/>
      <c r="K840" s="7" t="n"/>
      <c r="R840" s="7">
        <f>IF($C840="","",Q840*AC840/100)</f>
        <v/>
      </c>
      <c r="S840" s="11" t="n"/>
      <c r="U840" s="11" t="n"/>
      <c r="AA840" s="7" t="n"/>
      <c r="AC840" s="7" t="n"/>
      <c r="AE840">
        <f>IF($C840="","",IF($AK840=1,Settings!$C$6,Settings!$C$7)*1)</f>
        <v/>
      </c>
      <c r="AF840" s="7">
        <f>IF($C840="","",AE840*AC840)</f>
        <v/>
      </c>
      <c r="AG840" s="7">
        <f>IF($C840="","",AC840-AF840)</f>
        <v/>
      </c>
      <c r="AH840" s="7">
        <f>IF($C840="","",AG840-R840)</f>
        <v/>
      </c>
      <c r="AI840">
        <f>IF($C840="","",IF(COUNTIF($C$2:$C840,$C840)=1,1,0))</f>
        <v/>
      </c>
      <c r="AJ840">
        <f>IF($AI840=1,SUMPRODUCT(--($AL$2:$AL$1501&lt;$AL840))+1,"")</f>
        <v/>
      </c>
      <c r="AK840">
        <f>IF($C840="","",IF(OR($AD840=TRUE(),$AD840="TRUE"),0,1))</f>
        <v/>
      </c>
      <c r="AL840">
        <f>IF($AI840=1,IFERROR(IF(VALUE($C840)&lt;100000000,VALUE($C840),1000000000),IFERROR(IF(VALUE(MID($C840,2,20))&lt;100000000,VALUE(MID($C840,2,20)),1000000000),1000000000))+ROW()/100000,"")</f>
        <v/>
      </c>
    </row>
    <row r="841">
      <c r="J841" s="7" t="n"/>
      <c r="K841" s="7" t="n"/>
      <c r="R841" s="7">
        <f>IF($C841="","",Q841*AC841/100)</f>
        <v/>
      </c>
      <c r="S841" s="11" t="n"/>
      <c r="U841" s="11" t="n"/>
      <c r="AA841" s="7" t="n"/>
      <c r="AC841" s="7" t="n"/>
      <c r="AE841">
        <f>IF($C841="","",IF($AK841=1,Settings!$C$6,Settings!$C$7)*1)</f>
        <v/>
      </c>
      <c r="AF841" s="7">
        <f>IF($C841="","",AE841*AC841)</f>
        <v/>
      </c>
      <c r="AG841" s="7">
        <f>IF($C841="","",AC841-AF841)</f>
        <v/>
      </c>
      <c r="AH841" s="7">
        <f>IF($C841="","",AG841-R841)</f>
        <v/>
      </c>
      <c r="AI841">
        <f>IF($C841="","",IF(COUNTIF($C$2:$C841,$C841)=1,1,0))</f>
        <v/>
      </c>
      <c r="AJ841">
        <f>IF($AI841=1,SUMPRODUCT(--($AL$2:$AL$1501&lt;$AL841))+1,"")</f>
        <v/>
      </c>
      <c r="AK841">
        <f>IF($C841="","",IF(OR($AD841=TRUE(),$AD841="TRUE"),0,1))</f>
        <v/>
      </c>
      <c r="AL841">
        <f>IF($AI841=1,IFERROR(IF(VALUE($C841)&lt;100000000,VALUE($C841),1000000000),IFERROR(IF(VALUE(MID($C841,2,20))&lt;100000000,VALUE(MID($C841,2,20)),1000000000),1000000000))+ROW()/100000,"")</f>
        <v/>
      </c>
    </row>
    <row r="842">
      <c r="J842" s="7" t="n"/>
      <c r="K842" s="7" t="n"/>
      <c r="R842" s="7">
        <f>IF($C842="","",Q842*AC842/100)</f>
        <v/>
      </c>
      <c r="S842" s="11" t="n"/>
      <c r="U842" s="11" t="n"/>
      <c r="AA842" s="7" t="n"/>
      <c r="AC842" s="7" t="n"/>
      <c r="AE842">
        <f>IF($C842="","",IF($AK842=1,Settings!$C$6,Settings!$C$7)*1)</f>
        <v/>
      </c>
      <c r="AF842" s="7">
        <f>IF($C842="","",AE842*AC842)</f>
        <v/>
      </c>
      <c r="AG842" s="7">
        <f>IF($C842="","",AC842-AF842)</f>
        <v/>
      </c>
      <c r="AH842" s="7">
        <f>IF($C842="","",AG842-R842)</f>
        <v/>
      </c>
      <c r="AI842">
        <f>IF($C842="","",IF(COUNTIF($C$2:$C842,$C842)=1,1,0))</f>
        <v/>
      </c>
      <c r="AJ842">
        <f>IF($AI842=1,SUMPRODUCT(--($AL$2:$AL$1501&lt;$AL842))+1,"")</f>
        <v/>
      </c>
      <c r="AK842">
        <f>IF($C842="","",IF(OR($AD842=TRUE(),$AD842="TRUE"),0,1))</f>
        <v/>
      </c>
      <c r="AL842">
        <f>IF($AI842=1,IFERROR(IF(VALUE($C842)&lt;100000000,VALUE($C842),1000000000),IFERROR(IF(VALUE(MID($C842,2,20))&lt;100000000,VALUE(MID($C842,2,20)),1000000000),1000000000))+ROW()/100000,"")</f>
        <v/>
      </c>
    </row>
    <row r="843">
      <c r="J843" s="7" t="n"/>
      <c r="K843" s="7" t="n"/>
      <c r="R843" s="7">
        <f>IF($C843="","",Q843*AC843/100)</f>
        <v/>
      </c>
      <c r="S843" s="11" t="n"/>
      <c r="U843" s="11" t="n"/>
      <c r="AA843" s="7" t="n"/>
      <c r="AC843" s="7" t="n"/>
      <c r="AE843">
        <f>IF($C843="","",IF($AK843=1,Settings!$C$6,Settings!$C$7)*1)</f>
        <v/>
      </c>
      <c r="AF843" s="7">
        <f>IF($C843="","",AE843*AC843)</f>
        <v/>
      </c>
      <c r="AG843" s="7">
        <f>IF($C843="","",AC843-AF843)</f>
        <v/>
      </c>
      <c r="AH843" s="7">
        <f>IF($C843="","",AG843-R843)</f>
        <v/>
      </c>
      <c r="AI843">
        <f>IF($C843="","",IF(COUNTIF($C$2:$C843,$C843)=1,1,0))</f>
        <v/>
      </c>
      <c r="AJ843">
        <f>IF($AI843=1,SUMPRODUCT(--($AL$2:$AL$1501&lt;$AL843))+1,"")</f>
        <v/>
      </c>
      <c r="AK843">
        <f>IF($C843="","",IF(OR($AD843=TRUE(),$AD843="TRUE"),0,1))</f>
        <v/>
      </c>
      <c r="AL843">
        <f>IF($AI843=1,IFERROR(IF(VALUE($C843)&lt;100000000,VALUE($C843),1000000000),IFERROR(IF(VALUE(MID($C843,2,20))&lt;100000000,VALUE(MID($C843,2,20)),1000000000),1000000000))+ROW()/100000,"")</f>
        <v/>
      </c>
    </row>
    <row r="844">
      <c r="J844" s="7" t="n"/>
      <c r="K844" s="7" t="n"/>
      <c r="R844" s="7">
        <f>IF($C844="","",Q844*AC844/100)</f>
        <v/>
      </c>
      <c r="S844" s="11" t="n"/>
      <c r="U844" s="11" t="n"/>
      <c r="AA844" s="7" t="n"/>
      <c r="AC844" s="7" t="n"/>
      <c r="AE844">
        <f>IF($C844="","",IF($AK844=1,Settings!$C$6,Settings!$C$7)*1)</f>
        <v/>
      </c>
      <c r="AF844" s="7">
        <f>IF($C844="","",AE844*AC844)</f>
        <v/>
      </c>
      <c r="AG844" s="7">
        <f>IF($C844="","",AC844-AF844)</f>
        <v/>
      </c>
      <c r="AH844" s="7">
        <f>IF($C844="","",AG844-R844)</f>
        <v/>
      </c>
      <c r="AI844">
        <f>IF($C844="","",IF(COUNTIF($C$2:$C844,$C844)=1,1,0))</f>
        <v/>
      </c>
      <c r="AJ844">
        <f>IF($AI844=1,SUMPRODUCT(--($AL$2:$AL$1501&lt;$AL844))+1,"")</f>
        <v/>
      </c>
      <c r="AK844">
        <f>IF($C844="","",IF(OR($AD844=TRUE(),$AD844="TRUE"),0,1))</f>
        <v/>
      </c>
      <c r="AL844">
        <f>IF($AI844=1,IFERROR(IF(VALUE($C844)&lt;100000000,VALUE($C844),1000000000),IFERROR(IF(VALUE(MID($C844,2,20))&lt;100000000,VALUE(MID($C844,2,20)),1000000000),1000000000))+ROW()/100000,"")</f>
        <v/>
      </c>
    </row>
    <row r="845">
      <c r="J845" s="7" t="n"/>
      <c r="K845" s="7" t="n"/>
      <c r="R845" s="7">
        <f>IF($C845="","",Q845*AC845/100)</f>
        <v/>
      </c>
      <c r="S845" s="11" t="n"/>
      <c r="U845" s="11" t="n"/>
      <c r="AA845" s="7" t="n"/>
      <c r="AC845" s="7" t="n"/>
      <c r="AE845">
        <f>IF($C845="","",IF($AK845=1,Settings!$C$6,Settings!$C$7)*1)</f>
        <v/>
      </c>
      <c r="AF845" s="7">
        <f>IF($C845="","",AE845*AC845)</f>
        <v/>
      </c>
      <c r="AG845" s="7">
        <f>IF($C845="","",AC845-AF845)</f>
        <v/>
      </c>
      <c r="AH845" s="7">
        <f>IF($C845="","",AG845-R845)</f>
        <v/>
      </c>
      <c r="AI845">
        <f>IF($C845="","",IF(COUNTIF($C$2:$C845,$C845)=1,1,0))</f>
        <v/>
      </c>
      <c r="AJ845">
        <f>IF($AI845=1,SUMPRODUCT(--($AL$2:$AL$1501&lt;$AL845))+1,"")</f>
        <v/>
      </c>
      <c r="AK845">
        <f>IF($C845="","",IF(OR($AD845=TRUE(),$AD845="TRUE"),0,1))</f>
        <v/>
      </c>
      <c r="AL845">
        <f>IF($AI845=1,IFERROR(IF(VALUE($C845)&lt;100000000,VALUE($C845),1000000000),IFERROR(IF(VALUE(MID($C845,2,20))&lt;100000000,VALUE(MID($C845,2,20)),1000000000),1000000000))+ROW()/100000,"")</f>
        <v/>
      </c>
    </row>
    <row r="846">
      <c r="J846" s="7" t="n"/>
      <c r="K846" s="7" t="n"/>
      <c r="R846" s="7">
        <f>IF($C846="","",Q846*AC846/100)</f>
        <v/>
      </c>
      <c r="S846" s="11" t="n"/>
      <c r="U846" s="11" t="n"/>
      <c r="AA846" s="7" t="n"/>
      <c r="AC846" s="7" t="n"/>
      <c r="AE846">
        <f>IF($C846="","",IF($AK846=1,Settings!$C$6,Settings!$C$7)*1)</f>
        <v/>
      </c>
      <c r="AF846" s="7">
        <f>IF($C846="","",AE846*AC846)</f>
        <v/>
      </c>
      <c r="AG846" s="7">
        <f>IF($C846="","",AC846-AF846)</f>
        <v/>
      </c>
      <c r="AH846" s="7">
        <f>IF($C846="","",AG846-R846)</f>
        <v/>
      </c>
      <c r="AI846">
        <f>IF($C846="","",IF(COUNTIF($C$2:$C846,$C846)=1,1,0))</f>
        <v/>
      </c>
      <c r="AJ846">
        <f>IF($AI846=1,SUMPRODUCT(--($AL$2:$AL$1501&lt;$AL846))+1,"")</f>
        <v/>
      </c>
      <c r="AK846">
        <f>IF($C846="","",IF(OR($AD846=TRUE(),$AD846="TRUE"),0,1))</f>
        <v/>
      </c>
      <c r="AL846">
        <f>IF($AI846=1,IFERROR(IF(VALUE($C846)&lt;100000000,VALUE($C846),1000000000),IFERROR(IF(VALUE(MID($C846,2,20))&lt;100000000,VALUE(MID($C846,2,20)),1000000000),1000000000))+ROW()/100000,"")</f>
        <v/>
      </c>
    </row>
    <row r="847">
      <c r="J847" s="7" t="n"/>
      <c r="K847" s="7" t="n"/>
      <c r="R847" s="7">
        <f>IF($C847="","",Q847*AC847/100)</f>
        <v/>
      </c>
      <c r="S847" s="11" t="n"/>
      <c r="U847" s="11" t="n"/>
      <c r="AA847" s="7" t="n"/>
      <c r="AC847" s="7" t="n"/>
      <c r="AE847">
        <f>IF($C847="","",IF($AK847=1,Settings!$C$6,Settings!$C$7)*1)</f>
        <v/>
      </c>
      <c r="AF847" s="7">
        <f>IF($C847="","",AE847*AC847)</f>
        <v/>
      </c>
      <c r="AG847" s="7">
        <f>IF($C847="","",AC847-AF847)</f>
        <v/>
      </c>
      <c r="AH847" s="7">
        <f>IF($C847="","",AG847-R847)</f>
        <v/>
      </c>
      <c r="AI847">
        <f>IF($C847="","",IF(COUNTIF($C$2:$C847,$C847)=1,1,0))</f>
        <v/>
      </c>
      <c r="AJ847">
        <f>IF($AI847=1,SUMPRODUCT(--($AL$2:$AL$1501&lt;$AL847))+1,"")</f>
        <v/>
      </c>
      <c r="AK847">
        <f>IF($C847="","",IF(OR($AD847=TRUE(),$AD847="TRUE"),0,1))</f>
        <v/>
      </c>
      <c r="AL847">
        <f>IF($AI847=1,IFERROR(IF(VALUE($C847)&lt;100000000,VALUE($C847),1000000000),IFERROR(IF(VALUE(MID($C847,2,20))&lt;100000000,VALUE(MID($C847,2,20)),1000000000),1000000000))+ROW()/100000,"")</f>
        <v/>
      </c>
    </row>
    <row r="848">
      <c r="J848" s="7" t="n"/>
      <c r="K848" s="7" t="n"/>
      <c r="R848" s="7">
        <f>IF($C848="","",Q848*AC848/100)</f>
        <v/>
      </c>
      <c r="S848" s="11" t="n"/>
      <c r="U848" s="11" t="n"/>
      <c r="AA848" s="7" t="n"/>
      <c r="AC848" s="7" t="n"/>
      <c r="AE848">
        <f>IF($C848="","",IF($AK848=1,Settings!$C$6,Settings!$C$7)*1)</f>
        <v/>
      </c>
      <c r="AF848" s="7">
        <f>IF($C848="","",AE848*AC848)</f>
        <v/>
      </c>
      <c r="AG848" s="7">
        <f>IF($C848="","",AC848-AF848)</f>
        <v/>
      </c>
      <c r="AH848" s="7">
        <f>IF($C848="","",AG848-R848)</f>
        <v/>
      </c>
      <c r="AI848">
        <f>IF($C848="","",IF(COUNTIF($C$2:$C848,$C848)=1,1,0))</f>
        <v/>
      </c>
      <c r="AJ848">
        <f>IF($AI848=1,SUMPRODUCT(--($AL$2:$AL$1501&lt;$AL848))+1,"")</f>
        <v/>
      </c>
      <c r="AK848">
        <f>IF($C848="","",IF(OR($AD848=TRUE(),$AD848="TRUE"),0,1))</f>
        <v/>
      </c>
      <c r="AL848">
        <f>IF($AI848=1,IFERROR(IF(VALUE($C848)&lt;100000000,VALUE($C848),1000000000),IFERROR(IF(VALUE(MID($C848,2,20))&lt;100000000,VALUE(MID($C848,2,20)),1000000000),1000000000))+ROW()/100000,"")</f>
        <v/>
      </c>
    </row>
    <row r="849">
      <c r="J849" s="7" t="n"/>
      <c r="K849" s="7" t="n"/>
      <c r="R849" s="7">
        <f>IF($C849="","",Q849*AC849/100)</f>
        <v/>
      </c>
      <c r="S849" s="11" t="n"/>
      <c r="U849" s="11" t="n"/>
      <c r="AA849" s="7" t="n"/>
      <c r="AC849" s="7" t="n"/>
      <c r="AE849">
        <f>IF($C849="","",IF($AK849=1,Settings!$C$6,Settings!$C$7)*1)</f>
        <v/>
      </c>
      <c r="AF849" s="7">
        <f>IF($C849="","",AE849*AC849)</f>
        <v/>
      </c>
      <c r="AG849" s="7">
        <f>IF($C849="","",AC849-AF849)</f>
        <v/>
      </c>
      <c r="AH849" s="7">
        <f>IF($C849="","",AG849-R849)</f>
        <v/>
      </c>
      <c r="AI849">
        <f>IF($C849="","",IF(COUNTIF($C$2:$C849,$C849)=1,1,0))</f>
        <v/>
      </c>
      <c r="AJ849">
        <f>IF($AI849=1,SUMPRODUCT(--($AL$2:$AL$1501&lt;$AL849))+1,"")</f>
        <v/>
      </c>
      <c r="AK849">
        <f>IF($C849="","",IF(OR($AD849=TRUE(),$AD849="TRUE"),0,1))</f>
        <v/>
      </c>
      <c r="AL849">
        <f>IF($AI849=1,IFERROR(IF(VALUE($C849)&lt;100000000,VALUE($C849),1000000000),IFERROR(IF(VALUE(MID($C849,2,20))&lt;100000000,VALUE(MID($C849,2,20)),1000000000),1000000000))+ROW()/100000,"")</f>
        <v/>
      </c>
    </row>
    <row r="850">
      <c r="J850" s="7" t="n"/>
      <c r="K850" s="7" t="n"/>
      <c r="R850" s="7">
        <f>IF($C850="","",Q850*AC850/100)</f>
        <v/>
      </c>
      <c r="S850" s="11" t="n"/>
      <c r="U850" s="11" t="n"/>
      <c r="AA850" s="7" t="n"/>
      <c r="AC850" s="7" t="n"/>
      <c r="AE850">
        <f>IF($C850="","",IF($AK850=1,Settings!$C$6,Settings!$C$7)*1)</f>
        <v/>
      </c>
      <c r="AF850" s="7">
        <f>IF($C850="","",AE850*AC850)</f>
        <v/>
      </c>
      <c r="AG850" s="7">
        <f>IF($C850="","",AC850-AF850)</f>
        <v/>
      </c>
      <c r="AH850" s="7">
        <f>IF($C850="","",AG850-R850)</f>
        <v/>
      </c>
      <c r="AI850">
        <f>IF($C850="","",IF(COUNTIF($C$2:$C850,$C850)=1,1,0))</f>
        <v/>
      </c>
      <c r="AJ850">
        <f>IF($AI850=1,SUMPRODUCT(--($AL$2:$AL$1501&lt;$AL850))+1,"")</f>
        <v/>
      </c>
      <c r="AK850">
        <f>IF($C850="","",IF(OR($AD850=TRUE(),$AD850="TRUE"),0,1))</f>
        <v/>
      </c>
      <c r="AL850">
        <f>IF($AI850=1,IFERROR(IF(VALUE($C850)&lt;100000000,VALUE($C850),1000000000),IFERROR(IF(VALUE(MID($C850,2,20))&lt;100000000,VALUE(MID($C850,2,20)),1000000000),1000000000))+ROW()/100000,"")</f>
        <v/>
      </c>
    </row>
    <row r="851">
      <c r="J851" s="7" t="n"/>
      <c r="K851" s="7" t="n"/>
      <c r="R851" s="7">
        <f>IF($C851="","",Q851*AC851/100)</f>
        <v/>
      </c>
      <c r="S851" s="11" t="n"/>
      <c r="U851" s="11" t="n"/>
      <c r="AA851" s="7" t="n"/>
      <c r="AC851" s="7" t="n"/>
      <c r="AE851">
        <f>IF($C851="","",IF($AK851=1,Settings!$C$6,Settings!$C$7)*1)</f>
        <v/>
      </c>
      <c r="AF851" s="7">
        <f>IF($C851="","",AE851*AC851)</f>
        <v/>
      </c>
      <c r="AG851" s="7">
        <f>IF($C851="","",AC851-AF851)</f>
        <v/>
      </c>
      <c r="AH851" s="7">
        <f>IF($C851="","",AG851-R851)</f>
        <v/>
      </c>
      <c r="AI851">
        <f>IF($C851="","",IF(COUNTIF($C$2:$C851,$C851)=1,1,0))</f>
        <v/>
      </c>
      <c r="AJ851">
        <f>IF($AI851=1,SUMPRODUCT(--($AL$2:$AL$1501&lt;$AL851))+1,"")</f>
        <v/>
      </c>
      <c r="AK851">
        <f>IF($C851="","",IF(OR($AD851=TRUE(),$AD851="TRUE"),0,1))</f>
        <v/>
      </c>
      <c r="AL851">
        <f>IF($AI851=1,IFERROR(IF(VALUE($C851)&lt;100000000,VALUE($C851),1000000000),IFERROR(IF(VALUE(MID($C851,2,20))&lt;100000000,VALUE(MID($C851,2,20)),1000000000),1000000000))+ROW()/100000,"")</f>
        <v/>
      </c>
    </row>
    <row r="852">
      <c r="J852" s="7" t="n"/>
      <c r="K852" s="7" t="n"/>
      <c r="R852" s="7">
        <f>IF($C852="","",Q852*AC852/100)</f>
        <v/>
      </c>
      <c r="S852" s="11" t="n"/>
      <c r="U852" s="11" t="n"/>
      <c r="AA852" s="7" t="n"/>
      <c r="AC852" s="7" t="n"/>
      <c r="AE852">
        <f>IF($C852="","",IF($AK852=1,Settings!$C$6,Settings!$C$7)*1)</f>
        <v/>
      </c>
      <c r="AF852" s="7">
        <f>IF($C852="","",AE852*AC852)</f>
        <v/>
      </c>
      <c r="AG852" s="7">
        <f>IF($C852="","",AC852-AF852)</f>
        <v/>
      </c>
      <c r="AH852" s="7">
        <f>IF($C852="","",AG852-R852)</f>
        <v/>
      </c>
      <c r="AI852">
        <f>IF($C852="","",IF(COUNTIF($C$2:$C852,$C852)=1,1,0))</f>
        <v/>
      </c>
      <c r="AJ852">
        <f>IF($AI852=1,SUMPRODUCT(--($AL$2:$AL$1501&lt;$AL852))+1,"")</f>
        <v/>
      </c>
      <c r="AK852">
        <f>IF($C852="","",IF(OR($AD852=TRUE(),$AD852="TRUE"),0,1))</f>
        <v/>
      </c>
      <c r="AL852">
        <f>IF($AI852=1,IFERROR(IF(VALUE($C852)&lt;100000000,VALUE($C852),1000000000),IFERROR(IF(VALUE(MID($C852,2,20))&lt;100000000,VALUE(MID($C852,2,20)),1000000000),1000000000))+ROW()/100000,"")</f>
        <v/>
      </c>
    </row>
    <row r="853">
      <c r="J853" s="7" t="n"/>
      <c r="K853" s="7" t="n"/>
      <c r="R853" s="7">
        <f>IF($C853="","",Q853*AC853/100)</f>
        <v/>
      </c>
      <c r="S853" s="11" t="n"/>
      <c r="U853" s="11" t="n"/>
      <c r="AA853" s="7" t="n"/>
      <c r="AC853" s="7" t="n"/>
      <c r="AE853">
        <f>IF($C853="","",IF($AK853=1,Settings!$C$6,Settings!$C$7)*1)</f>
        <v/>
      </c>
      <c r="AF853" s="7">
        <f>IF($C853="","",AE853*AC853)</f>
        <v/>
      </c>
      <c r="AG853" s="7">
        <f>IF($C853="","",AC853-AF853)</f>
        <v/>
      </c>
      <c r="AH853" s="7">
        <f>IF($C853="","",AG853-R853)</f>
        <v/>
      </c>
      <c r="AI853">
        <f>IF($C853="","",IF(COUNTIF($C$2:$C853,$C853)=1,1,0))</f>
        <v/>
      </c>
      <c r="AJ853">
        <f>IF($AI853=1,SUMPRODUCT(--($AL$2:$AL$1501&lt;$AL853))+1,"")</f>
        <v/>
      </c>
      <c r="AK853">
        <f>IF($C853="","",IF(OR($AD853=TRUE(),$AD853="TRUE"),0,1))</f>
        <v/>
      </c>
      <c r="AL853">
        <f>IF($AI853=1,IFERROR(IF(VALUE($C853)&lt;100000000,VALUE($C853),1000000000),IFERROR(IF(VALUE(MID($C853,2,20))&lt;100000000,VALUE(MID($C853,2,20)),1000000000),1000000000))+ROW()/100000,"")</f>
        <v/>
      </c>
    </row>
    <row r="854">
      <c r="J854" s="7" t="n"/>
      <c r="K854" s="7" t="n"/>
      <c r="R854" s="7">
        <f>IF($C854="","",Q854*AC854/100)</f>
        <v/>
      </c>
      <c r="S854" s="11" t="n"/>
      <c r="U854" s="11" t="n"/>
      <c r="AA854" s="7" t="n"/>
      <c r="AC854" s="7" t="n"/>
      <c r="AE854">
        <f>IF($C854="","",IF($AK854=1,Settings!$C$6,Settings!$C$7)*1)</f>
        <v/>
      </c>
      <c r="AF854" s="7">
        <f>IF($C854="","",AE854*AC854)</f>
        <v/>
      </c>
      <c r="AG854" s="7">
        <f>IF($C854="","",AC854-AF854)</f>
        <v/>
      </c>
      <c r="AH854" s="7">
        <f>IF($C854="","",AG854-R854)</f>
        <v/>
      </c>
      <c r="AI854">
        <f>IF($C854="","",IF(COUNTIF($C$2:$C854,$C854)=1,1,0))</f>
        <v/>
      </c>
      <c r="AJ854">
        <f>IF($AI854=1,SUMPRODUCT(--($AL$2:$AL$1501&lt;$AL854))+1,"")</f>
        <v/>
      </c>
      <c r="AK854">
        <f>IF($C854="","",IF(OR($AD854=TRUE(),$AD854="TRUE"),0,1))</f>
        <v/>
      </c>
      <c r="AL854">
        <f>IF($AI854=1,IFERROR(IF(VALUE($C854)&lt;100000000,VALUE($C854),1000000000),IFERROR(IF(VALUE(MID($C854,2,20))&lt;100000000,VALUE(MID($C854,2,20)),1000000000),1000000000))+ROW()/100000,"")</f>
        <v/>
      </c>
    </row>
    <row r="855">
      <c r="J855" s="7" t="n"/>
      <c r="K855" s="7" t="n"/>
      <c r="R855" s="7">
        <f>IF($C855="","",Q855*AC855/100)</f>
        <v/>
      </c>
      <c r="S855" s="11" t="n"/>
      <c r="U855" s="11" t="n"/>
      <c r="AA855" s="7" t="n"/>
      <c r="AC855" s="7" t="n"/>
      <c r="AE855">
        <f>IF($C855="","",IF($AK855=1,Settings!$C$6,Settings!$C$7)*1)</f>
        <v/>
      </c>
      <c r="AF855" s="7">
        <f>IF($C855="","",AE855*AC855)</f>
        <v/>
      </c>
      <c r="AG855" s="7">
        <f>IF($C855="","",AC855-AF855)</f>
        <v/>
      </c>
      <c r="AH855" s="7">
        <f>IF($C855="","",AG855-R855)</f>
        <v/>
      </c>
      <c r="AI855">
        <f>IF($C855="","",IF(COUNTIF($C$2:$C855,$C855)=1,1,0))</f>
        <v/>
      </c>
      <c r="AJ855">
        <f>IF($AI855=1,SUMPRODUCT(--($AL$2:$AL$1501&lt;$AL855))+1,"")</f>
        <v/>
      </c>
      <c r="AK855">
        <f>IF($C855="","",IF(OR($AD855=TRUE(),$AD855="TRUE"),0,1))</f>
        <v/>
      </c>
      <c r="AL855">
        <f>IF($AI855=1,IFERROR(IF(VALUE($C855)&lt;100000000,VALUE($C855),1000000000),IFERROR(IF(VALUE(MID($C855,2,20))&lt;100000000,VALUE(MID($C855,2,20)),1000000000),1000000000))+ROW()/100000,"")</f>
        <v/>
      </c>
    </row>
    <row r="856">
      <c r="J856" s="7" t="n"/>
      <c r="K856" s="7" t="n"/>
      <c r="R856" s="7">
        <f>IF($C856="","",Q856*AC856/100)</f>
        <v/>
      </c>
      <c r="S856" s="11" t="n"/>
      <c r="U856" s="11" t="n"/>
      <c r="AA856" s="7" t="n"/>
      <c r="AC856" s="7" t="n"/>
      <c r="AE856">
        <f>IF($C856="","",IF($AK856=1,Settings!$C$6,Settings!$C$7)*1)</f>
        <v/>
      </c>
      <c r="AF856" s="7">
        <f>IF($C856="","",AE856*AC856)</f>
        <v/>
      </c>
      <c r="AG856" s="7">
        <f>IF($C856="","",AC856-AF856)</f>
        <v/>
      </c>
      <c r="AH856" s="7">
        <f>IF($C856="","",AG856-R856)</f>
        <v/>
      </c>
      <c r="AI856">
        <f>IF($C856="","",IF(COUNTIF($C$2:$C856,$C856)=1,1,0))</f>
        <v/>
      </c>
      <c r="AJ856">
        <f>IF($AI856=1,SUMPRODUCT(--($AL$2:$AL$1501&lt;$AL856))+1,"")</f>
        <v/>
      </c>
      <c r="AK856">
        <f>IF($C856="","",IF(OR($AD856=TRUE(),$AD856="TRUE"),0,1))</f>
        <v/>
      </c>
      <c r="AL856">
        <f>IF($AI856=1,IFERROR(IF(VALUE($C856)&lt;100000000,VALUE($C856),1000000000),IFERROR(IF(VALUE(MID($C856,2,20))&lt;100000000,VALUE(MID($C856,2,20)),1000000000),1000000000))+ROW()/100000,"")</f>
        <v/>
      </c>
    </row>
    <row r="857">
      <c r="J857" s="7" t="n"/>
      <c r="K857" s="7" t="n"/>
      <c r="R857" s="7">
        <f>IF($C857="","",Q857*AC857/100)</f>
        <v/>
      </c>
      <c r="S857" s="11" t="n"/>
      <c r="U857" s="11" t="n"/>
      <c r="AA857" s="7" t="n"/>
      <c r="AC857" s="7" t="n"/>
      <c r="AE857">
        <f>IF($C857="","",IF($AK857=1,Settings!$C$6,Settings!$C$7)*1)</f>
        <v/>
      </c>
      <c r="AF857" s="7">
        <f>IF($C857="","",AE857*AC857)</f>
        <v/>
      </c>
      <c r="AG857" s="7">
        <f>IF($C857="","",AC857-AF857)</f>
        <v/>
      </c>
      <c r="AH857" s="7">
        <f>IF($C857="","",AG857-R857)</f>
        <v/>
      </c>
      <c r="AI857">
        <f>IF($C857="","",IF(COUNTIF($C$2:$C857,$C857)=1,1,0))</f>
        <v/>
      </c>
      <c r="AJ857">
        <f>IF($AI857=1,SUMPRODUCT(--($AL$2:$AL$1501&lt;$AL857))+1,"")</f>
        <v/>
      </c>
      <c r="AK857">
        <f>IF($C857="","",IF(OR($AD857=TRUE(),$AD857="TRUE"),0,1))</f>
        <v/>
      </c>
      <c r="AL857">
        <f>IF($AI857=1,IFERROR(IF(VALUE($C857)&lt;100000000,VALUE($C857),1000000000),IFERROR(IF(VALUE(MID($C857,2,20))&lt;100000000,VALUE(MID($C857,2,20)),1000000000),1000000000))+ROW()/100000,"")</f>
        <v/>
      </c>
    </row>
    <row r="858">
      <c r="J858" s="7" t="n"/>
      <c r="K858" s="7" t="n"/>
      <c r="R858" s="7">
        <f>IF($C858="","",Q858*AC858/100)</f>
        <v/>
      </c>
      <c r="S858" s="11" t="n"/>
      <c r="U858" s="11" t="n"/>
      <c r="AA858" s="7" t="n"/>
      <c r="AC858" s="7" t="n"/>
      <c r="AE858">
        <f>IF($C858="","",IF($AK858=1,Settings!$C$6,Settings!$C$7)*1)</f>
        <v/>
      </c>
      <c r="AF858" s="7">
        <f>IF($C858="","",AE858*AC858)</f>
        <v/>
      </c>
      <c r="AG858" s="7">
        <f>IF($C858="","",AC858-AF858)</f>
        <v/>
      </c>
      <c r="AH858" s="7">
        <f>IF($C858="","",AG858-R858)</f>
        <v/>
      </c>
      <c r="AI858">
        <f>IF($C858="","",IF(COUNTIF($C$2:$C858,$C858)=1,1,0))</f>
        <v/>
      </c>
      <c r="AJ858">
        <f>IF($AI858=1,SUMPRODUCT(--($AL$2:$AL$1501&lt;$AL858))+1,"")</f>
        <v/>
      </c>
      <c r="AK858">
        <f>IF($C858="","",IF(OR($AD858=TRUE(),$AD858="TRUE"),0,1))</f>
        <v/>
      </c>
      <c r="AL858">
        <f>IF($AI858=1,IFERROR(IF(VALUE($C858)&lt;100000000,VALUE($C858),1000000000),IFERROR(IF(VALUE(MID($C858,2,20))&lt;100000000,VALUE(MID($C858,2,20)),1000000000),1000000000))+ROW()/100000,"")</f>
        <v/>
      </c>
    </row>
    <row r="859">
      <c r="J859" s="7" t="n"/>
      <c r="K859" s="7" t="n"/>
      <c r="R859" s="7">
        <f>IF($C859="","",Q859*AC859/100)</f>
        <v/>
      </c>
      <c r="S859" s="11" t="n"/>
      <c r="U859" s="11" t="n"/>
      <c r="AA859" s="7" t="n"/>
      <c r="AC859" s="7" t="n"/>
      <c r="AE859">
        <f>IF($C859="","",IF($AK859=1,Settings!$C$6,Settings!$C$7)*1)</f>
        <v/>
      </c>
      <c r="AF859" s="7">
        <f>IF($C859="","",AE859*AC859)</f>
        <v/>
      </c>
      <c r="AG859" s="7">
        <f>IF($C859="","",AC859-AF859)</f>
        <v/>
      </c>
      <c r="AH859" s="7">
        <f>IF($C859="","",AG859-R859)</f>
        <v/>
      </c>
      <c r="AI859">
        <f>IF($C859="","",IF(COUNTIF($C$2:$C859,$C859)=1,1,0))</f>
        <v/>
      </c>
      <c r="AJ859">
        <f>IF($AI859=1,SUMPRODUCT(--($AL$2:$AL$1501&lt;$AL859))+1,"")</f>
        <v/>
      </c>
      <c r="AK859">
        <f>IF($C859="","",IF(OR($AD859=TRUE(),$AD859="TRUE"),0,1))</f>
        <v/>
      </c>
      <c r="AL859">
        <f>IF($AI859=1,IFERROR(IF(VALUE($C859)&lt;100000000,VALUE($C859),1000000000),IFERROR(IF(VALUE(MID($C859,2,20))&lt;100000000,VALUE(MID($C859,2,20)),1000000000),1000000000))+ROW()/100000,"")</f>
        <v/>
      </c>
    </row>
    <row r="860">
      <c r="J860" s="7" t="n"/>
      <c r="K860" s="7" t="n"/>
      <c r="R860" s="7">
        <f>IF($C860="","",Q860*AC860/100)</f>
        <v/>
      </c>
      <c r="S860" s="11" t="n"/>
      <c r="U860" s="11" t="n"/>
      <c r="AA860" s="7" t="n"/>
      <c r="AC860" s="7" t="n"/>
      <c r="AE860">
        <f>IF($C860="","",IF($AK860=1,Settings!$C$6,Settings!$C$7)*1)</f>
        <v/>
      </c>
      <c r="AF860" s="7">
        <f>IF($C860="","",AE860*AC860)</f>
        <v/>
      </c>
      <c r="AG860" s="7">
        <f>IF($C860="","",AC860-AF860)</f>
        <v/>
      </c>
      <c r="AH860" s="7">
        <f>IF($C860="","",AG860-R860)</f>
        <v/>
      </c>
      <c r="AI860">
        <f>IF($C860="","",IF(COUNTIF($C$2:$C860,$C860)=1,1,0))</f>
        <v/>
      </c>
      <c r="AJ860">
        <f>IF($AI860=1,SUMPRODUCT(--($AL$2:$AL$1501&lt;$AL860))+1,"")</f>
        <v/>
      </c>
      <c r="AK860">
        <f>IF($C860="","",IF(OR($AD860=TRUE(),$AD860="TRUE"),0,1))</f>
        <v/>
      </c>
      <c r="AL860">
        <f>IF($AI860=1,IFERROR(IF(VALUE($C860)&lt;100000000,VALUE($C860),1000000000),IFERROR(IF(VALUE(MID($C860,2,20))&lt;100000000,VALUE(MID($C860,2,20)),1000000000),1000000000))+ROW()/100000,"")</f>
        <v/>
      </c>
    </row>
    <row r="861">
      <c r="J861" s="7" t="n"/>
      <c r="K861" s="7" t="n"/>
      <c r="R861" s="7">
        <f>IF($C861="","",Q861*AC861/100)</f>
        <v/>
      </c>
      <c r="S861" s="11" t="n"/>
      <c r="U861" s="11" t="n"/>
      <c r="AA861" s="7" t="n"/>
      <c r="AC861" s="7" t="n"/>
      <c r="AE861">
        <f>IF($C861="","",IF($AK861=1,Settings!$C$6,Settings!$C$7)*1)</f>
        <v/>
      </c>
      <c r="AF861" s="7">
        <f>IF($C861="","",AE861*AC861)</f>
        <v/>
      </c>
      <c r="AG861" s="7">
        <f>IF($C861="","",AC861-AF861)</f>
        <v/>
      </c>
      <c r="AH861" s="7">
        <f>IF($C861="","",AG861-R861)</f>
        <v/>
      </c>
      <c r="AI861">
        <f>IF($C861="","",IF(COUNTIF($C$2:$C861,$C861)=1,1,0))</f>
        <v/>
      </c>
      <c r="AJ861">
        <f>IF($AI861=1,SUMPRODUCT(--($AL$2:$AL$1501&lt;$AL861))+1,"")</f>
        <v/>
      </c>
      <c r="AK861">
        <f>IF($C861="","",IF(OR($AD861=TRUE(),$AD861="TRUE"),0,1))</f>
        <v/>
      </c>
      <c r="AL861">
        <f>IF($AI861=1,IFERROR(IF(VALUE($C861)&lt;100000000,VALUE($C861),1000000000),IFERROR(IF(VALUE(MID($C861,2,20))&lt;100000000,VALUE(MID($C861,2,20)),1000000000),1000000000))+ROW()/100000,"")</f>
        <v/>
      </c>
    </row>
    <row r="862">
      <c r="J862" s="7" t="n"/>
      <c r="K862" s="7" t="n"/>
      <c r="R862" s="7">
        <f>IF($C862="","",Q862*AC862/100)</f>
        <v/>
      </c>
      <c r="S862" s="11" t="n"/>
      <c r="U862" s="11" t="n"/>
      <c r="AA862" s="7" t="n"/>
      <c r="AC862" s="7" t="n"/>
      <c r="AE862">
        <f>IF($C862="","",IF($AK862=1,Settings!$C$6,Settings!$C$7)*1)</f>
        <v/>
      </c>
      <c r="AF862" s="7">
        <f>IF($C862="","",AE862*AC862)</f>
        <v/>
      </c>
      <c r="AG862" s="7">
        <f>IF($C862="","",AC862-AF862)</f>
        <v/>
      </c>
      <c r="AH862" s="7">
        <f>IF($C862="","",AG862-R862)</f>
        <v/>
      </c>
      <c r="AI862">
        <f>IF($C862="","",IF(COUNTIF($C$2:$C862,$C862)=1,1,0))</f>
        <v/>
      </c>
      <c r="AJ862">
        <f>IF($AI862=1,SUMPRODUCT(--($AL$2:$AL$1501&lt;$AL862))+1,"")</f>
        <v/>
      </c>
      <c r="AK862">
        <f>IF($C862="","",IF(OR($AD862=TRUE(),$AD862="TRUE"),0,1))</f>
        <v/>
      </c>
      <c r="AL862">
        <f>IF($AI862=1,IFERROR(IF(VALUE($C862)&lt;100000000,VALUE($C862),1000000000),IFERROR(IF(VALUE(MID($C862,2,20))&lt;100000000,VALUE(MID($C862,2,20)),1000000000),1000000000))+ROW()/100000,"")</f>
        <v/>
      </c>
    </row>
    <row r="863">
      <c r="J863" s="7" t="n"/>
      <c r="K863" s="7" t="n"/>
      <c r="R863" s="7">
        <f>IF($C863="","",Q863*AC863/100)</f>
        <v/>
      </c>
      <c r="S863" s="11" t="n"/>
      <c r="U863" s="11" t="n"/>
      <c r="AA863" s="7" t="n"/>
      <c r="AC863" s="7" t="n"/>
      <c r="AE863">
        <f>IF($C863="","",IF($AK863=1,Settings!$C$6,Settings!$C$7)*1)</f>
        <v/>
      </c>
      <c r="AF863" s="7">
        <f>IF($C863="","",AE863*AC863)</f>
        <v/>
      </c>
      <c r="AG863" s="7">
        <f>IF($C863="","",AC863-AF863)</f>
        <v/>
      </c>
      <c r="AH863" s="7">
        <f>IF($C863="","",AG863-R863)</f>
        <v/>
      </c>
      <c r="AI863">
        <f>IF($C863="","",IF(COUNTIF($C$2:$C863,$C863)=1,1,0))</f>
        <v/>
      </c>
      <c r="AJ863">
        <f>IF($AI863=1,SUMPRODUCT(--($AL$2:$AL$1501&lt;$AL863))+1,"")</f>
        <v/>
      </c>
      <c r="AK863">
        <f>IF($C863="","",IF(OR($AD863=TRUE(),$AD863="TRUE"),0,1))</f>
        <v/>
      </c>
      <c r="AL863">
        <f>IF($AI863=1,IFERROR(IF(VALUE($C863)&lt;100000000,VALUE($C863),1000000000),IFERROR(IF(VALUE(MID($C863,2,20))&lt;100000000,VALUE(MID($C863,2,20)),1000000000),1000000000))+ROW()/100000,"")</f>
        <v/>
      </c>
    </row>
    <row r="864">
      <c r="J864" s="7" t="n"/>
      <c r="K864" s="7" t="n"/>
      <c r="R864" s="7">
        <f>IF($C864="","",Q864*AC864/100)</f>
        <v/>
      </c>
      <c r="S864" s="11" t="n"/>
      <c r="U864" s="11" t="n"/>
      <c r="AA864" s="7" t="n"/>
      <c r="AC864" s="7" t="n"/>
      <c r="AE864">
        <f>IF($C864="","",IF($AK864=1,Settings!$C$6,Settings!$C$7)*1)</f>
        <v/>
      </c>
      <c r="AF864" s="7">
        <f>IF($C864="","",AE864*AC864)</f>
        <v/>
      </c>
      <c r="AG864" s="7">
        <f>IF($C864="","",AC864-AF864)</f>
        <v/>
      </c>
      <c r="AH864" s="7">
        <f>IF($C864="","",AG864-R864)</f>
        <v/>
      </c>
      <c r="AI864">
        <f>IF($C864="","",IF(COUNTIF($C$2:$C864,$C864)=1,1,0))</f>
        <v/>
      </c>
      <c r="AJ864">
        <f>IF($AI864=1,SUMPRODUCT(--($AL$2:$AL$1501&lt;$AL864))+1,"")</f>
        <v/>
      </c>
      <c r="AK864">
        <f>IF($C864="","",IF(OR($AD864=TRUE(),$AD864="TRUE"),0,1))</f>
        <v/>
      </c>
      <c r="AL864">
        <f>IF($AI864=1,IFERROR(IF(VALUE($C864)&lt;100000000,VALUE($C864),1000000000),IFERROR(IF(VALUE(MID($C864,2,20))&lt;100000000,VALUE(MID($C864,2,20)),1000000000),1000000000))+ROW()/100000,"")</f>
        <v/>
      </c>
    </row>
    <row r="865">
      <c r="J865" s="7" t="n"/>
      <c r="K865" s="7" t="n"/>
      <c r="R865" s="7">
        <f>IF($C865="","",Q865*AC865/100)</f>
        <v/>
      </c>
      <c r="S865" s="11" t="n"/>
      <c r="U865" s="11" t="n"/>
      <c r="AA865" s="7" t="n"/>
      <c r="AC865" s="7" t="n"/>
      <c r="AE865">
        <f>IF($C865="","",IF($AK865=1,Settings!$C$6,Settings!$C$7)*1)</f>
        <v/>
      </c>
      <c r="AF865" s="7">
        <f>IF($C865="","",AE865*AC865)</f>
        <v/>
      </c>
      <c r="AG865" s="7">
        <f>IF($C865="","",AC865-AF865)</f>
        <v/>
      </c>
      <c r="AH865" s="7">
        <f>IF($C865="","",AG865-R865)</f>
        <v/>
      </c>
      <c r="AI865">
        <f>IF($C865="","",IF(COUNTIF($C$2:$C865,$C865)=1,1,0))</f>
        <v/>
      </c>
      <c r="AJ865">
        <f>IF($AI865=1,SUMPRODUCT(--($AL$2:$AL$1501&lt;$AL865))+1,"")</f>
        <v/>
      </c>
      <c r="AK865">
        <f>IF($C865="","",IF(OR($AD865=TRUE(),$AD865="TRUE"),0,1))</f>
        <v/>
      </c>
      <c r="AL865">
        <f>IF($AI865=1,IFERROR(IF(VALUE($C865)&lt;100000000,VALUE($C865),1000000000),IFERROR(IF(VALUE(MID($C865,2,20))&lt;100000000,VALUE(MID($C865,2,20)),1000000000),1000000000))+ROW()/100000,"")</f>
        <v/>
      </c>
    </row>
    <row r="866">
      <c r="J866" s="7" t="n"/>
      <c r="K866" s="7" t="n"/>
      <c r="R866" s="7">
        <f>IF($C866="","",Q866*AC866/100)</f>
        <v/>
      </c>
      <c r="S866" s="11" t="n"/>
      <c r="U866" s="11" t="n"/>
      <c r="AA866" s="7" t="n"/>
      <c r="AC866" s="7" t="n"/>
      <c r="AE866">
        <f>IF($C866="","",IF($AK866=1,Settings!$C$6,Settings!$C$7)*1)</f>
        <v/>
      </c>
      <c r="AF866" s="7">
        <f>IF($C866="","",AE866*AC866)</f>
        <v/>
      </c>
      <c r="AG866" s="7">
        <f>IF($C866="","",AC866-AF866)</f>
        <v/>
      </c>
      <c r="AH866" s="7">
        <f>IF($C866="","",AG866-R866)</f>
        <v/>
      </c>
      <c r="AI866">
        <f>IF($C866="","",IF(COUNTIF($C$2:$C866,$C866)=1,1,0))</f>
        <v/>
      </c>
      <c r="AJ866">
        <f>IF($AI866=1,SUMPRODUCT(--($AL$2:$AL$1501&lt;$AL866))+1,"")</f>
        <v/>
      </c>
      <c r="AK866">
        <f>IF($C866="","",IF(OR($AD866=TRUE(),$AD866="TRUE"),0,1))</f>
        <v/>
      </c>
      <c r="AL866">
        <f>IF($AI866=1,IFERROR(IF(VALUE($C866)&lt;100000000,VALUE($C866),1000000000),IFERROR(IF(VALUE(MID($C866,2,20))&lt;100000000,VALUE(MID($C866,2,20)),1000000000),1000000000))+ROW()/100000,"")</f>
        <v/>
      </c>
    </row>
    <row r="867">
      <c r="J867" s="7" t="n"/>
      <c r="K867" s="7" t="n"/>
      <c r="R867" s="7">
        <f>IF($C867="","",Q867*AC867/100)</f>
        <v/>
      </c>
      <c r="S867" s="11" t="n"/>
      <c r="U867" s="11" t="n"/>
      <c r="AA867" s="7" t="n"/>
      <c r="AC867" s="7" t="n"/>
      <c r="AE867">
        <f>IF($C867="","",IF($AK867=1,Settings!$C$6,Settings!$C$7)*1)</f>
        <v/>
      </c>
      <c r="AF867" s="7">
        <f>IF($C867="","",AE867*AC867)</f>
        <v/>
      </c>
      <c r="AG867" s="7">
        <f>IF($C867="","",AC867-AF867)</f>
        <v/>
      </c>
      <c r="AH867" s="7">
        <f>IF($C867="","",AG867-R867)</f>
        <v/>
      </c>
      <c r="AI867">
        <f>IF($C867="","",IF(COUNTIF($C$2:$C867,$C867)=1,1,0))</f>
        <v/>
      </c>
      <c r="AJ867">
        <f>IF($AI867=1,SUMPRODUCT(--($AL$2:$AL$1501&lt;$AL867))+1,"")</f>
        <v/>
      </c>
      <c r="AK867">
        <f>IF($C867="","",IF(OR($AD867=TRUE(),$AD867="TRUE"),0,1))</f>
        <v/>
      </c>
      <c r="AL867">
        <f>IF($AI867=1,IFERROR(IF(VALUE($C867)&lt;100000000,VALUE($C867),1000000000),IFERROR(IF(VALUE(MID($C867,2,20))&lt;100000000,VALUE(MID($C867,2,20)),1000000000),1000000000))+ROW()/100000,"")</f>
        <v/>
      </c>
    </row>
    <row r="868">
      <c r="J868" s="7" t="n"/>
      <c r="K868" s="7" t="n"/>
      <c r="R868" s="7">
        <f>IF($C868="","",Q868*AC868/100)</f>
        <v/>
      </c>
      <c r="S868" s="11" t="n"/>
      <c r="U868" s="11" t="n"/>
      <c r="AA868" s="7" t="n"/>
      <c r="AC868" s="7" t="n"/>
      <c r="AE868">
        <f>IF($C868="","",IF($AK868=1,Settings!$C$6,Settings!$C$7)*1)</f>
        <v/>
      </c>
      <c r="AF868" s="7">
        <f>IF($C868="","",AE868*AC868)</f>
        <v/>
      </c>
      <c r="AG868" s="7">
        <f>IF($C868="","",AC868-AF868)</f>
        <v/>
      </c>
      <c r="AH868" s="7">
        <f>IF($C868="","",AG868-R868)</f>
        <v/>
      </c>
      <c r="AI868">
        <f>IF($C868="","",IF(COUNTIF($C$2:$C868,$C868)=1,1,0))</f>
        <v/>
      </c>
      <c r="AJ868">
        <f>IF($AI868=1,SUMPRODUCT(--($AL$2:$AL$1501&lt;$AL868))+1,"")</f>
        <v/>
      </c>
      <c r="AK868">
        <f>IF($C868="","",IF(OR($AD868=TRUE(),$AD868="TRUE"),0,1))</f>
        <v/>
      </c>
      <c r="AL868">
        <f>IF($AI868=1,IFERROR(IF(VALUE($C868)&lt;100000000,VALUE($C868),1000000000),IFERROR(IF(VALUE(MID($C868,2,20))&lt;100000000,VALUE(MID($C868,2,20)),1000000000),1000000000))+ROW()/100000,"")</f>
        <v/>
      </c>
    </row>
    <row r="869">
      <c r="J869" s="7" t="n"/>
      <c r="K869" s="7" t="n"/>
      <c r="R869" s="7">
        <f>IF($C869="","",Q869*AC869/100)</f>
        <v/>
      </c>
      <c r="S869" s="11" t="n"/>
      <c r="U869" s="11" t="n"/>
      <c r="AA869" s="7" t="n"/>
      <c r="AC869" s="7" t="n"/>
      <c r="AE869">
        <f>IF($C869="","",IF($AK869=1,Settings!$C$6,Settings!$C$7)*1)</f>
        <v/>
      </c>
      <c r="AF869" s="7">
        <f>IF($C869="","",AE869*AC869)</f>
        <v/>
      </c>
      <c r="AG869" s="7">
        <f>IF($C869="","",AC869-AF869)</f>
        <v/>
      </c>
      <c r="AH869" s="7">
        <f>IF($C869="","",AG869-R869)</f>
        <v/>
      </c>
      <c r="AI869">
        <f>IF($C869="","",IF(COUNTIF($C$2:$C869,$C869)=1,1,0))</f>
        <v/>
      </c>
      <c r="AJ869">
        <f>IF($AI869=1,SUMPRODUCT(--($AL$2:$AL$1501&lt;$AL869))+1,"")</f>
        <v/>
      </c>
      <c r="AK869">
        <f>IF($C869="","",IF(OR($AD869=TRUE(),$AD869="TRUE"),0,1))</f>
        <v/>
      </c>
      <c r="AL869">
        <f>IF($AI869=1,IFERROR(IF(VALUE($C869)&lt;100000000,VALUE($C869),1000000000),IFERROR(IF(VALUE(MID($C869,2,20))&lt;100000000,VALUE(MID($C869,2,20)),1000000000),1000000000))+ROW()/100000,"")</f>
        <v/>
      </c>
    </row>
    <row r="870">
      <c r="J870" s="7" t="n"/>
      <c r="K870" s="7" t="n"/>
      <c r="R870" s="7">
        <f>IF($C870="","",Q870*AC870/100)</f>
        <v/>
      </c>
      <c r="S870" s="11" t="n"/>
      <c r="U870" s="11" t="n"/>
      <c r="AA870" s="7" t="n"/>
      <c r="AC870" s="7" t="n"/>
      <c r="AE870">
        <f>IF($C870="","",IF($AK870=1,Settings!$C$6,Settings!$C$7)*1)</f>
        <v/>
      </c>
      <c r="AF870" s="7">
        <f>IF($C870="","",AE870*AC870)</f>
        <v/>
      </c>
      <c r="AG870" s="7">
        <f>IF($C870="","",AC870-AF870)</f>
        <v/>
      </c>
      <c r="AH870" s="7">
        <f>IF($C870="","",AG870-R870)</f>
        <v/>
      </c>
      <c r="AI870">
        <f>IF($C870="","",IF(COUNTIF($C$2:$C870,$C870)=1,1,0))</f>
        <v/>
      </c>
      <c r="AJ870">
        <f>IF($AI870=1,SUMPRODUCT(--($AL$2:$AL$1501&lt;$AL870))+1,"")</f>
        <v/>
      </c>
      <c r="AK870">
        <f>IF($C870="","",IF(OR($AD870=TRUE(),$AD870="TRUE"),0,1))</f>
        <v/>
      </c>
      <c r="AL870">
        <f>IF($AI870=1,IFERROR(IF(VALUE($C870)&lt;100000000,VALUE($C870),1000000000),IFERROR(IF(VALUE(MID($C870,2,20))&lt;100000000,VALUE(MID($C870,2,20)),1000000000),1000000000))+ROW()/100000,"")</f>
        <v/>
      </c>
    </row>
    <row r="871">
      <c r="J871" s="7" t="n"/>
      <c r="K871" s="7" t="n"/>
      <c r="R871" s="7">
        <f>IF($C871="","",Q871*AC871/100)</f>
        <v/>
      </c>
      <c r="S871" s="11" t="n"/>
      <c r="U871" s="11" t="n"/>
      <c r="AA871" s="7" t="n"/>
      <c r="AC871" s="7" t="n"/>
      <c r="AE871">
        <f>IF($C871="","",IF($AK871=1,Settings!$C$6,Settings!$C$7)*1)</f>
        <v/>
      </c>
      <c r="AF871" s="7">
        <f>IF($C871="","",AE871*AC871)</f>
        <v/>
      </c>
      <c r="AG871" s="7">
        <f>IF($C871="","",AC871-AF871)</f>
        <v/>
      </c>
      <c r="AH871" s="7">
        <f>IF($C871="","",AG871-R871)</f>
        <v/>
      </c>
      <c r="AI871">
        <f>IF($C871="","",IF(COUNTIF($C$2:$C871,$C871)=1,1,0))</f>
        <v/>
      </c>
      <c r="AJ871">
        <f>IF($AI871=1,SUMPRODUCT(--($AL$2:$AL$1501&lt;$AL871))+1,"")</f>
        <v/>
      </c>
      <c r="AK871">
        <f>IF($C871="","",IF(OR($AD871=TRUE(),$AD871="TRUE"),0,1))</f>
        <v/>
      </c>
      <c r="AL871">
        <f>IF($AI871=1,IFERROR(IF(VALUE($C871)&lt;100000000,VALUE($C871),1000000000),IFERROR(IF(VALUE(MID($C871,2,20))&lt;100000000,VALUE(MID($C871,2,20)),1000000000),1000000000))+ROW()/100000,"")</f>
        <v/>
      </c>
    </row>
    <row r="872">
      <c r="J872" s="7" t="n"/>
      <c r="K872" s="7" t="n"/>
      <c r="R872" s="7">
        <f>IF($C872="","",Q872*AC872/100)</f>
        <v/>
      </c>
      <c r="S872" s="11" t="n"/>
      <c r="U872" s="11" t="n"/>
      <c r="AA872" s="7" t="n"/>
      <c r="AC872" s="7" t="n"/>
      <c r="AE872">
        <f>IF($C872="","",IF($AK872=1,Settings!$C$6,Settings!$C$7)*1)</f>
        <v/>
      </c>
      <c r="AF872" s="7">
        <f>IF($C872="","",AE872*AC872)</f>
        <v/>
      </c>
      <c r="AG872" s="7">
        <f>IF($C872="","",AC872-AF872)</f>
        <v/>
      </c>
      <c r="AH872" s="7">
        <f>IF($C872="","",AG872-R872)</f>
        <v/>
      </c>
      <c r="AI872">
        <f>IF($C872="","",IF(COUNTIF($C$2:$C872,$C872)=1,1,0))</f>
        <v/>
      </c>
      <c r="AJ872">
        <f>IF($AI872=1,SUMPRODUCT(--($AL$2:$AL$1501&lt;$AL872))+1,"")</f>
        <v/>
      </c>
      <c r="AK872">
        <f>IF($C872="","",IF(OR($AD872=TRUE(),$AD872="TRUE"),0,1))</f>
        <v/>
      </c>
      <c r="AL872">
        <f>IF($AI872=1,IFERROR(IF(VALUE($C872)&lt;100000000,VALUE($C872),1000000000),IFERROR(IF(VALUE(MID($C872,2,20))&lt;100000000,VALUE(MID($C872,2,20)),1000000000),1000000000))+ROW()/100000,"")</f>
        <v/>
      </c>
    </row>
    <row r="873">
      <c r="J873" s="7" t="n"/>
      <c r="K873" s="7" t="n"/>
      <c r="R873" s="7">
        <f>IF($C873="","",Q873*AC873/100)</f>
        <v/>
      </c>
      <c r="S873" s="11" t="n"/>
      <c r="U873" s="11" t="n"/>
      <c r="AA873" s="7" t="n"/>
      <c r="AC873" s="7" t="n"/>
      <c r="AE873">
        <f>IF($C873="","",IF($AK873=1,Settings!$C$6,Settings!$C$7)*1)</f>
        <v/>
      </c>
      <c r="AF873" s="7">
        <f>IF($C873="","",AE873*AC873)</f>
        <v/>
      </c>
      <c r="AG873" s="7">
        <f>IF($C873="","",AC873-AF873)</f>
        <v/>
      </c>
      <c r="AH873" s="7">
        <f>IF($C873="","",AG873-R873)</f>
        <v/>
      </c>
      <c r="AI873">
        <f>IF($C873="","",IF(COUNTIF($C$2:$C873,$C873)=1,1,0))</f>
        <v/>
      </c>
      <c r="AJ873">
        <f>IF($AI873=1,SUMPRODUCT(--($AL$2:$AL$1501&lt;$AL873))+1,"")</f>
        <v/>
      </c>
      <c r="AK873">
        <f>IF($C873="","",IF(OR($AD873=TRUE(),$AD873="TRUE"),0,1))</f>
        <v/>
      </c>
      <c r="AL873">
        <f>IF($AI873=1,IFERROR(IF(VALUE($C873)&lt;100000000,VALUE($C873),1000000000),IFERROR(IF(VALUE(MID($C873,2,20))&lt;100000000,VALUE(MID($C873,2,20)),1000000000),1000000000))+ROW()/100000,"")</f>
        <v/>
      </c>
    </row>
    <row r="874">
      <c r="J874" s="7" t="n"/>
      <c r="K874" s="7" t="n"/>
      <c r="R874" s="7">
        <f>IF($C874="","",Q874*AC874/100)</f>
        <v/>
      </c>
      <c r="S874" s="11" t="n"/>
      <c r="U874" s="11" t="n"/>
      <c r="AA874" s="7" t="n"/>
      <c r="AC874" s="7" t="n"/>
      <c r="AE874">
        <f>IF($C874="","",IF($AK874=1,Settings!$C$6,Settings!$C$7)*1)</f>
        <v/>
      </c>
      <c r="AF874" s="7">
        <f>IF($C874="","",AE874*AC874)</f>
        <v/>
      </c>
      <c r="AG874" s="7">
        <f>IF($C874="","",AC874-AF874)</f>
        <v/>
      </c>
      <c r="AH874" s="7">
        <f>IF($C874="","",AG874-R874)</f>
        <v/>
      </c>
      <c r="AI874">
        <f>IF($C874="","",IF(COUNTIF($C$2:$C874,$C874)=1,1,0))</f>
        <v/>
      </c>
      <c r="AJ874">
        <f>IF($AI874=1,SUMPRODUCT(--($AL$2:$AL$1501&lt;$AL874))+1,"")</f>
        <v/>
      </c>
      <c r="AK874">
        <f>IF($C874="","",IF(OR($AD874=TRUE(),$AD874="TRUE"),0,1))</f>
        <v/>
      </c>
      <c r="AL874">
        <f>IF($AI874=1,IFERROR(IF(VALUE($C874)&lt;100000000,VALUE($C874),1000000000),IFERROR(IF(VALUE(MID($C874,2,20))&lt;100000000,VALUE(MID($C874,2,20)),1000000000),1000000000))+ROW()/100000,"")</f>
        <v/>
      </c>
    </row>
    <row r="875">
      <c r="J875" s="7" t="n"/>
      <c r="K875" s="7" t="n"/>
      <c r="R875" s="7">
        <f>IF($C875="","",Q875*AC875/100)</f>
        <v/>
      </c>
      <c r="S875" s="11" t="n"/>
      <c r="U875" s="11" t="n"/>
      <c r="AA875" s="7" t="n"/>
      <c r="AC875" s="7" t="n"/>
      <c r="AE875">
        <f>IF($C875="","",IF($AK875=1,Settings!$C$6,Settings!$C$7)*1)</f>
        <v/>
      </c>
      <c r="AF875" s="7">
        <f>IF($C875="","",AE875*AC875)</f>
        <v/>
      </c>
      <c r="AG875" s="7">
        <f>IF($C875="","",AC875-AF875)</f>
        <v/>
      </c>
      <c r="AH875" s="7">
        <f>IF($C875="","",AG875-R875)</f>
        <v/>
      </c>
      <c r="AI875">
        <f>IF($C875="","",IF(COUNTIF($C$2:$C875,$C875)=1,1,0))</f>
        <v/>
      </c>
      <c r="AJ875">
        <f>IF($AI875=1,SUMPRODUCT(--($AL$2:$AL$1501&lt;$AL875))+1,"")</f>
        <v/>
      </c>
      <c r="AK875">
        <f>IF($C875="","",IF(OR($AD875=TRUE(),$AD875="TRUE"),0,1))</f>
        <v/>
      </c>
      <c r="AL875">
        <f>IF($AI875=1,IFERROR(IF(VALUE($C875)&lt;100000000,VALUE($C875),1000000000),IFERROR(IF(VALUE(MID($C875,2,20))&lt;100000000,VALUE(MID($C875,2,20)),1000000000),1000000000))+ROW()/100000,"")</f>
        <v/>
      </c>
    </row>
    <row r="876">
      <c r="J876" s="7" t="n"/>
      <c r="K876" s="7" t="n"/>
      <c r="R876" s="7">
        <f>IF($C876="","",Q876*AC876/100)</f>
        <v/>
      </c>
      <c r="S876" s="11" t="n"/>
      <c r="U876" s="11" t="n"/>
      <c r="AA876" s="7" t="n"/>
      <c r="AC876" s="7" t="n"/>
      <c r="AE876">
        <f>IF($C876="","",IF($AK876=1,Settings!$C$6,Settings!$C$7)*1)</f>
        <v/>
      </c>
      <c r="AF876" s="7">
        <f>IF($C876="","",AE876*AC876)</f>
        <v/>
      </c>
      <c r="AG876" s="7">
        <f>IF($C876="","",AC876-AF876)</f>
        <v/>
      </c>
      <c r="AH876" s="7">
        <f>IF($C876="","",AG876-R876)</f>
        <v/>
      </c>
      <c r="AI876">
        <f>IF($C876="","",IF(COUNTIF($C$2:$C876,$C876)=1,1,0))</f>
        <v/>
      </c>
      <c r="AJ876">
        <f>IF($AI876=1,SUMPRODUCT(--($AL$2:$AL$1501&lt;$AL876))+1,"")</f>
        <v/>
      </c>
      <c r="AK876">
        <f>IF($C876="","",IF(OR($AD876=TRUE(),$AD876="TRUE"),0,1))</f>
        <v/>
      </c>
      <c r="AL876">
        <f>IF($AI876=1,IFERROR(IF(VALUE($C876)&lt;100000000,VALUE($C876),1000000000),IFERROR(IF(VALUE(MID($C876,2,20))&lt;100000000,VALUE(MID($C876,2,20)),1000000000),1000000000))+ROW()/100000,"")</f>
        <v/>
      </c>
    </row>
    <row r="877">
      <c r="J877" s="7" t="n"/>
      <c r="K877" s="7" t="n"/>
      <c r="R877" s="7">
        <f>IF($C877="","",Q877*AC877/100)</f>
        <v/>
      </c>
      <c r="S877" s="11" t="n"/>
      <c r="U877" s="11" t="n"/>
      <c r="AA877" s="7" t="n"/>
      <c r="AC877" s="7" t="n"/>
      <c r="AE877">
        <f>IF($C877="","",IF($AK877=1,Settings!$C$6,Settings!$C$7)*1)</f>
        <v/>
      </c>
      <c r="AF877" s="7">
        <f>IF($C877="","",AE877*AC877)</f>
        <v/>
      </c>
      <c r="AG877" s="7">
        <f>IF($C877="","",AC877-AF877)</f>
        <v/>
      </c>
      <c r="AH877" s="7">
        <f>IF($C877="","",AG877-R877)</f>
        <v/>
      </c>
      <c r="AI877">
        <f>IF($C877="","",IF(COUNTIF($C$2:$C877,$C877)=1,1,0))</f>
        <v/>
      </c>
      <c r="AJ877">
        <f>IF($AI877=1,SUMPRODUCT(--($AL$2:$AL$1501&lt;$AL877))+1,"")</f>
        <v/>
      </c>
      <c r="AK877">
        <f>IF($C877="","",IF(OR($AD877=TRUE(),$AD877="TRUE"),0,1))</f>
        <v/>
      </c>
      <c r="AL877">
        <f>IF($AI877=1,IFERROR(IF(VALUE($C877)&lt;100000000,VALUE($C877),1000000000),IFERROR(IF(VALUE(MID($C877,2,20))&lt;100000000,VALUE(MID($C877,2,20)),1000000000),1000000000))+ROW()/100000,"")</f>
        <v/>
      </c>
    </row>
    <row r="878">
      <c r="J878" s="7" t="n"/>
      <c r="K878" s="7" t="n"/>
      <c r="R878" s="7">
        <f>IF($C878="","",Q878*AC878/100)</f>
        <v/>
      </c>
      <c r="S878" s="11" t="n"/>
      <c r="U878" s="11" t="n"/>
      <c r="AA878" s="7" t="n"/>
      <c r="AC878" s="7" t="n"/>
      <c r="AE878">
        <f>IF($C878="","",IF($AK878=1,Settings!$C$6,Settings!$C$7)*1)</f>
        <v/>
      </c>
      <c r="AF878" s="7">
        <f>IF($C878="","",AE878*AC878)</f>
        <v/>
      </c>
      <c r="AG878" s="7">
        <f>IF($C878="","",AC878-AF878)</f>
        <v/>
      </c>
      <c r="AH878" s="7">
        <f>IF($C878="","",AG878-R878)</f>
        <v/>
      </c>
      <c r="AI878">
        <f>IF($C878="","",IF(COUNTIF($C$2:$C878,$C878)=1,1,0))</f>
        <v/>
      </c>
      <c r="AJ878">
        <f>IF($AI878=1,SUMPRODUCT(--($AL$2:$AL$1501&lt;$AL878))+1,"")</f>
        <v/>
      </c>
      <c r="AK878">
        <f>IF($C878="","",IF(OR($AD878=TRUE(),$AD878="TRUE"),0,1))</f>
        <v/>
      </c>
      <c r="AL878">
        <f>IF($AI878=1,IFERROR(IF(VALUE($C878)&lt;100000000,VALUE($C878),1000000000),IFERROR(IF(VALUE(MID($C878,2,20))&lt;100000000,VALUE(MID($C878,2,20)),1000000000),1000000000))+ROW()/100000,"")</f>
        <v/>
      </c>
    </row>
    <row r="879">
      <c r="J879" s="7" t="n"/>
      <c r="K879" s="7" t="n"/>
      <c r="R879" s="7">
        <f>IF($C879="","",Q879*AC879/100)</f>
        <v/>
      </c>
      <c r="S879" s="11" t="n"/>
      <c r="U879" s="11" t="n"/>
      <c r="AA879" s="7" t="n"/>
      <c r="AC879" s="7" t="n"/>
      <c r="AE879">
        <f>IF($C879="","",IF($AK879=1,Settings!$C$6,Settings!$C$7)*1)</f>
        <v/>
      </c>
      <c r="AF879" s="7">
        <f>IF($C879="","",AE879*AC879)</f>
        <v/>
      </c>
      <c r="AG879" s="7">
        <f>IF($C879="","",AC879-AF879)</f>
        <v/>
      </c>
      <c r="AH879" s="7">
        <f>IF($C879="","",AG879-R879)</f>
        <v/>
      </c>
      <c r="AI879">
        <f>IF($C879="","",IF(COUNTIF($C$2:$C879,$C879)=1,1,0))</f>
        <v/>
      </c>
      <c r="AJ879">
        <f>IF($AI879=1,SUMPRODUCT(--($AL$2:$AL$1501&lt;$AL879))+1,"")</f>
        <v/>
      </c>
      <c r="AK879">
        <f>IF($C879="","",IF(OR($AD879=TRUE(),$AD879="TRUE"),0,1))</f>
        <v/>
      </c>
      <c r="AL879">
        <f>IF($AI879=1,IFERROR(IF(VALUE($C879)&lt;100000000,VALUE($C879),1000000000),IFERROR(IF(VALUE(MID($C879,2,20))&lt;100000000,VALUE(MID($C879,2,20)),1000000000),1000000000))+ROW()/100000,"")</f>
        <v/>
      </c>
    </row>
    <row r="880">
      <c r="J880" s="7" t="n"/>
      <c r="K880" s="7" t="n"/>
      <c r="R880" s="7">
        <f>IF($C880="","",Q880*AC880/100)</f>
        <v/>
      </c>
      <c r="S880" s="11" t="n"/>
      <c r="U880" s="11" t="n"/>
      <c r="AA880" s="7" t="n"/>
      <c r="AC880" s="7" t="n"/>
      <c r="AE880">
        <f>IF($C880="","",IF($AK880=1,Settings!$C$6,Settings!$C$7)*1)</f>
        <v/>
      </c>
      <c r="AF880" s="7">
        <f>IF($C880="","",AE880*AC880)</f>
        <v/>
      </c>
      <c r="AG880" s="7">
        <f>IF($C880="","",AC880-AF880)</f>
        <v/>
      </c>
      <c r="AH880" s="7">
        <f>IF($C880="","",AG880-R880)</f>
        <v/>
      </c>
      <c r="AI880">
        <f>IF($C880="","",IF(COUNTIF($C$2:$C880,$C880)=1,1,0))</f>
        <v/>
      </c>
      <c r="AJ880">
        <f>IF($AI880=1,SUMPRODUCT(--($AL$2:$AL$1501&lt;$AL880))+1,"")</f>
        <v/>
      </c>
      <c r="AK880">
        <f>IF($C880="","",IF(OR($AD880=TRUE(),$AD880="TRUE"),0,1))</f>
        <v/>
      </c>
      <c r="AL880">
        <f>IF($AI880=1,IFERROR(IF(VALUE($C880)&lt;100000000,VALUE($C880),1000000000),IFERROR(IF(VALUE(MID($C880,2,20))&lt;100000000,VALUE(MID($C880,2,20)),1000000000),1000000000))+ROW()/100000,"")</f>
        <v/>
      </c>
    </row>
    <row r="881">
      <c r="J881" s="7" t="n"/>
      <c r="K881" s="7" t="n"/>
      <c r="R881" s="7">
        <f>IF($C881="","",Q881*AC881/100)</f>
        <v/>
      </c>
      <c r="S881" s="11" t="n"/>
      <c r="U881" s="11" t="n"/>
      <c r="AA881" s="7" t="n"/>
      <c r="AC881" s="7" t="n"/>
      <c r="AE881">
        <f>IF($C881="","",IF($AK881=1,Settings!$C$6,Settings!$C$7)*1)</f>
        <v/>
      </c>
      <c r="AF881" s="7">
        <f>IF($C881="","",AE881*AC881)</f>
        <v/>
      </c>
      <c r="AG881" s="7">
        <f>IF($C881="","",AC881-AF881)</f>
        <v/>
      </c>
      <c r="AH881" s="7">
        <f>IF($C881="","",AG881-R881)</f>
        <v/>
      </c>
      <c r="AI881">
        <f>IF($C881="","",IF(COUNTIF($C$2:$C881,$C881)=1,1,0))</f>
        <v/>
      </c>
      <c r="AJ881">
        <f>IF($AI881=1,SUMPRODUCT(--($AL$2:$AL$1501&lt;$AL881))+1,"")</f>
        <v/>
      </c>
      <c r="AK881">
        <f>IF($C881="","",IF(OR($AD881=TRUE(),$AD881="TRUE"),0,1))</f>
        <v/>
      </c>
      <c r="AL881">
        <f>IF($AI881=1,IFERROR(IF(VALUE($C881)&lt;100000000,VALUE($C881),1000000000),IFERROR(IF(VALUE(MID($C881,2,20))&lt;100000000,VALUE(MID($C881,2,20)),1000000000),1000000000))+ROW()/100000,"")</f>
        <v/>
      </c>
    </row>
    <row r="882">
      <c r="J882" s="7" t="n"/>
      <c r="K882" s="7" t="n"/>
      <c r="R882" s="7">
        <f>IF($C882="","",Q882*AC882/100)</f>
        <v/>
      </c>
      <c r="S882" s="11" t="n"/>
      <c r="U882" s="11" t="n"/>
      <c r="AA882" s="7" t="n"/>
      <c r="AC882" s="7" t="n"/>
      <c r="AE882">
        <f>IF($C882="","",IF($AK882=1,Settings!$C$6,Settings!$C$7)*1)</f>
        <v/>
      </c>
      <c r="AF882" s="7">
        <f>IF($C882="","",AE882*AC882)</f>
        <v/>
      </c>
      <c r="AG882" s="7">
        <f>IF($C882="","",AC882-AF882)</f>
        <v/>
      </c>
      <c r="AH882" s="7">
        <f>IF($C882="","",AG882-R882)</f>
        <v/>
      </c>
      <c r="AI882">
        <f>IF($C882="","",IF(COUNTIF($C$2:$C882,$C882)=1,1,0))</f>
        <v/>
      </c>
      <c r="AJ882">
        <f>IF($AI882=1,SUMPRODUCT(--($AL$2:$AL$1501&lt;$AL882))+1,"")</f>
        <v/>
      </c>
      <c r="AK882">
        <f>IF($C882="","",IF(OR($AD882=TRUE(),$AD882="TRUE"),0,1))</f>
        <v/>
      </c>
      <c r="AL882">
        <f>IF($AI882=1,IFERROR(IF(VALUE($C882)&lt;100000000,VALUE($C882),1000000000),IFERROR(IF(VALUE(MID($C882,2,20))&lt;100000000,VALUE(MID($C882,2,20)),1000000000),1000000000))+ROW()/100000,"")</f>
        <v/>
      </c>
    </row>
    <row r="883">
      <c r="J883" s="7" t="n"/>
      <c r="K883" s="7" t="n"/>
      <c r="R883" s="7">
        <f>IF($C883="","",Q883*AC883/100)</f>
        <v/>
      </c>
      <c r="S883" s="11" t="n"/>
      <c r="U883" s="11" t="n"/>
      <c r="AA883" s="7" t="n"/>
      <c r="AC883" s="7" t="n"/>
      <c r="AE883">
        <f>IF($C883="","",IF($AK883=1,Settings!$C$6,Settings!$C$7)*1)</f>
        <v/>
      </c>
      <c r="AF883" s="7">
        <f>IF($C883="","",AE883*AC883)</f>
        <v/>
      </c>
      <c r="AG883" s="7">
        <f>IF($C883="","",AC883-AF883)</f>
        <v/>
      </c>
      <c r="AH883" s="7">
        <f>IF($C883="","",AG883-R883)</f>
        <v/>
      </c>
      <c r="AI883">
        <f>IF($C883="","",IF(COUNTIF($C$2:$C883,$C883)=1,1,0))</f>
        <v/>
      </c>
      <c r="AJ883">
        <f>IF($AI883=1,SUMPRODUCT(--($AL$2:$AL$1501&lt;$AL883))+1,"")</f>
        <v/>
      </c>
      <c r="AK883">
        <f>IF($C883="","",IF(OR($AD883=TRUE(),$AD883="TRUE"),0,1))</f>
        <v/>
      </c>
      <c r="AL883">
        <f>IF($AI883=1,IFERROR(IF(VALUE($C883)&lt;100000000,VALUE($C883),1000000000),IFERROR(IF(VALUE(MID($C883,2,20))&lt;100000000,VALUE(MID($C883,2,20)),1000000000),1000000000))+ROW()/100000,"")</f>
        <v/>
      </c>
    </row>
    <row r="884">
      <c r="J884" s="7" t="n"/>
      <c r="K884" s="7" t="n"/>
      <c r="R884" s="7">
        <f>IF($C884="","",Q884*AC884/100)</f>
        <v/>
      </c>
      <c r="S884" s="11" t="n"/>
      <c r="U884" s="11" t="n"/>
      <c r="AA884" s="7" t="n"/>
      <c r="AC884" s="7" t="n"/>
      <c r="AE884">
        <f>IF($C884="","",IF($AK884=1,Settings!$C$6,Settings!$C$7)*1)</f>
        <v/>
      </c>
      <c r="AF884" s="7">
        <f>IF($C884="","",AE884*AC884)</f>
        <v/>
      </c>
      <c r="AG884" s="7">
        <f>IF($C884="","",AC884-AF884)</f>
        <v/>
      </c>
      <c r="AH884" s="7">
        <f>IF($C884="","",AG884-R884)</f>
        <v/>
      </c>
      <c r="AI884">
        <f>IF($C884="","",IF(COUNTIF($C$2:$C884,$C884)=1,1,0))</f>
        <v/>
      </c>
      <c r="AJ884">
        <f>IF($AI884=1,SUMPRODUCT(--($AL$2:$AL$1501&lt;$AL884))+1,"")</f>
        <v/>
      </c>
      <c r="AK884">
        <f>IF($C884="","",IF(OR($AD884=TRUE(),$AD884="TRUE"),0,1))</f>
        <v/>
      </c>
      <c r="AL884">
        <f>IF($AI884=1,IFERROR(IF(VALUE($C884)&lt;100000000,VALUE($C884),1000000000),IFERROR(IF(VALUE(MID($C884,2,20))&lt;100000000,VALUE(MID($C884,2,20)),1000000000),1000000000))+ROW()/100000,"")</f>
        <v/>
      </c>
    </row>
    <row r="885">
      <c r="J885" s="7" t="n"/>
      <c r="K885" s="7" t="n"/>
      <c r="R885" s="7">
        <f>IF($C885="","",Q885*AC885/100)</f>
        <v/>
      </c>
      <c r="S885" s="11" t="n"/>
      <c r="U885" s="11" t="n"/>
      <c r="AA885" s="7" t="n"/>
      <c r="AC885" s="7" t="n"/>
      <c r="AE885">
        <f>IF($C885="","",IF($AK885=1,Settings!$C$6,Settings!$C$7)*1)</f>
        <v/>
      </c>
      <c r="AF885" s="7">
        <f>IF($C885="","",AE885*AC885)</f>
        <v/>
      </c>
      <c r="AG885" s="7">
        <f>IF($C885="","",AC885-AF885)</f>
        <v/>
      </c>
      <c r="AH885" s="7">
        <f>IF($C885="","",AG885-R885)</f>
        <v/>
      </c>
      <c r="AI885">
        <f>IF($C885="","",IF(COUNTIF($C$2:$C885,$C885)=1,1,0))</f>
        <v/>
      </c>
      <c r="AJ885">
        <f>IF($AI885=1,SUMPRODUCT(--($AL$2:$AL$1501&lt;$AL885))+1,"")</f>
        <v/>
      </c>
      <c r="AK885">
        <f>IF($C885="","",IF(OR($AD885=TRUE(),$AD885="TRUE"),0,1))</f>
        <v/>
      </c>
      <c r="AL885">
        <f>IF($AI885=1,IFERROR(IF(VALUE($C885)&lt;100000000,VALUE($C885),1000000000),IFERROR(IF(VALUE(MID($C885,2,20))&lt;100000000,VALUE(MID($C885,2,20)),1000000000),1000000000))+ROW()/100000,"")</f>
        <v/>
      </c>
    </row>
    <row r="886">
      <c r="J886" s="7" t="n"/>
      <c r="K886" s="7" t="n"/>
      <c r="R886" s="7">
        <f>IF($C886="","",Q886*AC886/100)</f>
        <v/>
      </c>
      <c r="S886" s="11" t="n"/>
      <c r="U886" s="11" t="n"/>
      <c r="AA886" s="7" t="n"/>
      <c r="AC886" s="7" t="n"/>
      <c r="AE886">
        <f>IF($C886="","",IF($AK886=1,Settings!$C$6,Settings!$C$7)*1)</f>
        <v/>
      </c>
      <c r="AF886" s="7">
        <f>IF($C886="","",AE886*AC886)</f>
        <v/>
      </c>
      <c r="AG886" s="7">
        <f>IF($C886="","",AC886-AF886)</f>
        <v/>
      </c>
      <c r="AH886" s="7">
        <f>IF($C886="","",AG886-R886)</f>
        <v/>
      </c>
      <c r="AI886">
        <f>IF($C886="","",IF(COUNTIF($C$2:$C886,$C886)=1,1,0))</f>
        <v/>
      </c>
      <c r="AJ886">
        <f>IF($AI886=1,SUMPRODUCT(--($AL$2:$AL$1501&lt;$AL886))+1,"")</f>
        <v/>
      </c>
      <c r="AK886">
        <f>IF($C886="","",IF(OR($AD886=TRUE(),$AD886="TRUE"),0,1))</f>
        <v/>
      </c>
      <c r="AL886">
        <f>IF($AI886=1,IFERROR(IF(VALUE($C886)&lt;100000000,VALUE($C886),1000000000),IFERROR(IF(VALUE(MID($C886,2,20))&lt;100000000,VALUE(MID($C886,2,20)),1000000000),1000000000))+ROW()/100000,"")</f>
        <v/>
      </c>
    </row>
    <row r="887">
      <c r="J887" s="7" t="n"/>
      <c r="K887" s="7" t="n"/>
      <c r="R887" s="7">
        <f>IF($C887="","",Q887*AC887/100)</f>
        <v/>
      </c>
      <c r="S887" s="11" t="n"/>
      <c r="U887" s="11" t="n"/>
      <c r="AA887" s="7" t="n"/>
      <c r="AC887" s="7" t="n"/>
      <c r="AE887">
        <f>IF($C887="","",IF($AK887=1,Settings!$C$6,Settings!$C$7)*1)</f>
        <v/>
      </c>
      <c r="AF887" s="7">
        <f>IF($C887="","",AE887*AC887)</f>
        <v/>
      </c>
      <c r="AG887" s="7">
        <f>IF($C887="","",AC887-AF887)</f>
        <v/>
      </c>
      <c r="AH887" s="7">
        <f>IF($C887="","",AG887-R887)</f>
        <v/>
      </c>
      <c r="AI887">
        <f>IF($C887="","",IF(COUNTIF($C$2:$C887,$C887)=1,1,0))</f>
        <v/>
      </c>
      <c r="AJ887">
        <f>IF($AI887=1,SUMPRODUCT(--($AL$2:$AL$1501&lt;$AL887))+1,"")</f>
        <v/>
      </c>
      <c r="AK887">
        <f>IF($C887="","",IF(OR($AD887=TRUE(),$AD887="TRUE"),0,1))</f>
        <v/>
      </c>
      <c r="AL887">
        <f>IF($AI887=1,IFERROR(IF(VALUE($C887)&lt;100000000,VALUE($C887),1000000000),IFERROR(IF(VALUE(MID($C887,2,20))&lt;100000000,VALUE(MID($C887,2,20)),1000000000),1000000000))+ROW()/100000,"")</f>
        <v/>
      </c>
    </row>
    <row r="888">
      <c r="J888" s="7" t="n"/>
      <c r="K888" s="7" t="n"/>
      <c r="R888" s="7">
        <f>IF($C888="","",Q888*AC888/100)</f>
        <v/>
      </c>
      <c r="S888" s="11" t="n"/>
      <c r="U888" s="11" t="n"/>
      <c r="AA888" s="7" t="n"/>
      <c r="AC888" s="7" t="n"/>
      <c r="AE888">
        <f>IF($C888="","",IF($AK888=1,Settings!$C$6,Settings!$C$7)*1)</f>
        <v/>
      </c>
      <c r="AF888" s="7">
        <f>IF($C888="","",AE888*AC888)</f>
        <v/>
      </c>
      <c r="AG888" s="7">
        <f>IF($C888="","",AC888-AF888)</f>
        <v/>
      </c>
      <c r="AH888" s="7">
        <f>IF($C888="","",AG888-R888)</f>
        <v/>
      </c>
      <c r="AI888">
        <f>IF($C888="","",IF(COUNTIF($C$2:$C888,$C888)=1,1,0))</f>
        <v/>
      </c>
      <c r="AJ888">
        <f>IF($AI888=1,SUMPRODUCT(--($AL$2:$AL$1501&lt;$AL888))+1,"")</f>
        <v/>
      </c>
      <c r="AK888">
        <f>IF($C888="","",IF(OR($AD888=TRUE(),$AD888="TRUE"),0,1))</f>
        <v/>
      </c>
      <c r="AL888">
        <f>IF($AI888=1,IFERROR(IF(VALUE($C888)&lt;100000000,VALUE($C888),1000000000),IFERROR(IF(VALUE(MID($C888,2,20))&lt;100000000,VALUE(MID($C888,2,20)),1000000000),1000000000))+ROW()/100000,"")</f>
        <v/>
      </c>
    </row>
    <row r="889">
      <c r="J889" s="7" t="n"/>
      <c r="K889" s="7" t="n"/>
      <c r="R889" s="7">
        <f>IF($C889="","",Q889*AC889/100)</f>
        <v/>
      </c>
      <c r="S889" s="11" t="n"/>
      <c r="U889" s="11" t="n"/>
      <c r="AA889" s="7" t="n"/>
      <c r="AC889" s="7" t="n"/>
      <c r="AE889">
        <f>IF($C889="","",IF($AK889=1,Settings!$C$6,Settings!$C$7)*1)</f>
        <v/>
      </c>
      <c r="AF889" s="7">
        <f>IF($C889="","",AE889*AC889)</f>
        <v/>
      </c>
      <c r="AG889" s="7">
        <f>IF($C889="","",AC889-AF889)</f>
        <v/>
      </c>
      <c r="AH889" s="7">
        <f>IF($C889="","",AG889-R889)</f>
        <v/>
      </c>
      <c r="AI889">
        <f>IF($C889="","",IF(COUNTIF($C$2:$C889,$C889)=1,1,0))</f>
        <v/>
      </c>
      <c r="AJ889">
        <f>IF($AI889=1,SUMPRODUCT(--($AL$2:$AL$1501&lt;$AL889))+1,"")</f>
        <v/>
      </c>
      <c r="AK889">
        <f>IF($C889="","",IF(OR($AD889=TRUE(),$AD889="TRUE"),0,1))</f>
        <v/>
      </c>
      <c r="AL889">
        <f>IF($AI889=1,IFERROR(IF(VALUE($C889)&lt;100000000,VALUE($C889),1000000000),IFERROR(IF(VALUE(MID($C889,2,20))&lt;100000000,VALUE(MID($C889,2,20)),1000000000),1000000000))+ROW()/100000,"")</f>
        <v/>
      </c>
    </row>
    <row r="890">
      <c r="J890" s="7" t="n"/>
      <c r="K890" s="7" t="n"/>
      <c r="R890" s="7">
        <f>IF($C890="","",Q890*AC890/100)</f>
        <v/>
      </c>
      <c r="S890" s="11" t="n"/>
      <c r="U890" s="11" t="n"/>
      <c r="AA890" s="7" t="n"/>
      <c r="AC890" s="7" t="n"/>
      <c r="AE890">
        <f>IF($C890="","",IF($AK890=1,Settings!$C$6,Settings!$C$7)*1)</f>
        <v/>
      </c>
      <c r="AF890" s="7">
        <f>IF($C890="","",AE890*AC890)</f>
        <v/>
      </c>
      <c r="AG890" s="7">
        <f>IF($C890="","",AC890-AF890)</f>
        <v/>
      </c>
      <c r="AH890" s="7">
        <f>IF($C890="","",AG890-R890)</f>
        <v/>
      </c>
      <c r="AI890">
        <f>IF($C890="","",IF(COUNTIF($C$2:$C890,$C890)=1,1,0))</f>
        <v/>
      </c>
      <c r="AJ890">
        <f>IF($AI890=1,SUMPRODUCT(--($AL$2:$AL$1501&lt;$AL890))+1,"")</f>
        <v/>
      </c>
      <c r="AK890">
        <f>IF($C890="","",IF(OR($AD890=TRUE(),$AD890="TRUE"),0,1))</f>
        <v/>
      </c>
      <c r="AL890">
        <f>IF($AI890=1,IFERROR(IF(VALUE($C890)&lt;100000000,VALUE($C890),1000000000),IFERROR(IF(VALUE(MID($C890,2,20))&lt;100000000,VALUE(MID($C890,2,20)),1000000000),1000000000))+ROW()/100000,"")</f>
        <v/>
      </c>
    </row>
    <row r="891">
      <c r="J891" s="7" t="n"/>
      <c r="K891" s="7" t="n"/>
      <c r="R891" s="7">
        <f>IF($C891="","",Q891*AC891/100)</f>
        <v/>
      </c>
      <c r="S891" s="11" t="n"/>
      <c r="U891" s="11" t="n"/>
      <c r="AA891" s="7" t="n"/>
      <c r="AC891" s="7" t="n"/>
      <c r="AE891">
        <f>IF($C891="","",IF($AK891=1,Settings!$C$6,Settings!$C$7)*1)</f>
        <v/>
      </c>
      <c r="AF891" s="7">
        <f>IF($C891="","",AE891*AC891)</f>
        <v/>
      </c>
      <c r="AG891" s="7">
        <f>IF($C891="","",AC891-AF891)</f>
        <v/>
      </c>
      <c r="AH891" s="7">
        <f>IF($C891="","",AG891-R891)</f>
        <v/>
      </c>
      <c r="AI891">
        <f>IF($C891="","",IF(COUNTIF($C$2:$C891,$C891)=1,1,0))</f>
        <v/>
      </c>
      <c r="AJ891">
        <f>IF($AI891=1,SUMPRODUCT(--($AL$2:$AL$1501&lt;$AL891))+1,"")</f>
        <v/>
      </c>
      <c r="AK891">
        <f>IF($C891="","",IF(OR($AD891=TRUE(),$AD891="TRUE"),0,1))</f>
        <v/>
      </c>
      <c r="AL891">
        <f>IF($AI891=1,IFERROR(IF(VALUE($C891)&lt;100000000,VALUE($C891),1000000000),IFERROR(IF(VALUE(MID($C891,2,20))&lt;100000000,VALUE(MID($C891,2,20)),1000000000),1000000000))+ROW()/100000,"")</f>
        <v/>
      </c>
    </row>
    <row r="892">
      <c r="J892" s="7" t="n"/>
      <c r="K892" s="7" t="n"/>
      <c r="R892" s="7">
        <f>IF($C892="","",Q892*AC892/100)</f>
        <v/>
      </c>
      <c r="S892" s="11" t="n"/>
      <c r="U892" s="11" t="n"/>
      <c r="AA892" s="7" t="n"/>
      <c r="AC892" s="7" t="n"/>
      <c r="AE892">
        <f>IF($C892="","",IF($AK892=1,Settings!$C$6,Settings!$C$7)*1)</f>
        <v/>
      </c>
      <c r="AF892" s="7">
        <f>IF($C892="","",AE892*AC892)</f>
        <v/>
      </c>
      <c r="AG892" s="7">
        <f>IF($C892="","",AC892-AF892)</f>
        <v/>
      </c>
      <c r="AH892" s="7">
        <f>IF($C892="","",AG892-R892)</f>
        <v/>
      </c>
      <c r="AI892">
        <f>IF($C892="","",IF(COUNTIF($C$2:$C892,$C892)=1,1,0))</f>
        <v/>
      </c>
      <c r="AJ892">
        <f>IF($AI892=1,SUMPRODUCT(--($AL$2:$AL$1501&lt;$AL892))+1,"")</f>
        <v/>
      </c>
      <c r="AK892">
        <f>IF($C892="","",IF(OR($AD892=TRUE(),$AD892="TRUE"),0,1))</f>
        <v/>
      </c>
      <c r="AL892">
        <f>IF($AI892=1,IFERROR(IF(VALUE($C892)&lt;100000000,VALUE($C892),1000000000),IFERROR(IF(VALUE(MID($C892,2,20))&lt;100000000,VALUE(MID($C892,2,20)),1000000000),1000000000))+ROW()/100000,"")</f>
        <v/>
      </c>
    </row>
    <row r="893">
      <c r="J893" s="7" t="n"/>
      <c r="K893" s="7" t="n"/>
      <c r="R893" s="7">
        <f>IF($C893="","",Q893*AC893/100)</f>
        <v/>
      </c>
      <c r="S893" s="11" t="n"/>
      <c r="U893" s="11" t="n"/>
      <c r="AA893" s="7" t="n"/>
      <c r="AC893" s="7" t="n"/>
      <c r="AE893">
        <f>IF($C893="","",IF($AK893=1,Settings!$C$6,Settings!$C$7)*1)</f>
        <v/>
      </c>
      <c r="AF893" s="7">
        <f>IF($C893="","",AE893*AC893)</f>
        <v/>
      </c>
      <c r="AG893" s="7">
        <f>IF($C893="","",AC893-AF893)</f>
        <v/>
      </c>
      <c r="AH893" s="7">
        <f>IF($C893="","",AG893-R893)</f>
        <v/>
      </c>
      <c r="AI893">
        <f>IF($C893="","",IF(COUNTIF($C$2:$C893,$C893)=1,1,0))</f>
        <v/>
      </c>
      <c r="AJ893">
        <f>IF($AI893=1,SUMPRODUCT(--($AL$2:$AL$1501&lt;$AL893))+1,"")</f>
        <v/>
      </c>
      <c r="AK893">
        <f>IF($C893="","",IF(OR($AD893=TRUE(),$AD893="TRUE"),0,1))</f>
        <v/>
      </c>
      <c r="AL893">
        <f>IF($AI893=1,IFERROR(IF(VALUE($C893)&lt;100000000,VALUE($C893),1000000000),IFERROR(IF(VALUE(MID($C893,2,20))&lt;100000000,VALUE(MID($C893,2,20)),1000000000),1000000000))+ROW()/100000,"")</f>
        <v/>
      </c>
    </row>
    <row r="894">
      <c r="J894" s="7" t="n"/>
      <c r="K894" s="7" t="n"/>
      <c r="R894" s="7">
        <f>IF($C894="","",Q894*AC894/100)</f>
        <v/>
      </c>
      <c r="S894" s="11" t="n"/>
      <c r="U894" s="11" t="n"/>
      <c r="AA894" s="7" t="n"/>
      <c r="AC894" s="7" t="n"/>
      <c r="AE894">
        <f>IF($C894="","",IF($AK894=1,Settings!$C$6,Settings!$C$7)*1)</f>
        <v/>
      </c>
      <c r="AF894" s="7">
        <f>IF($C894="","",AE894*AC894)</f>
        <v/>
      </c>
      <c r="AG894" s="7">
        <f>IF($C894="","",AC894-AF894)</f>
        <v/>
      </c>
      <c r="AH894" s="7">
        <f>IF($C894="","",AG894-R894)</f>
        <v/>
      </c>
      <c r="AI894">
        <f>IF($C894="","",IF(COUNTIF($C$2:$C894,$C894)=1,1,0))</f>
        <v/>
      </c>
      <c r="AJ894">
        <f>IF($AI894=1,SUMPRODUCT(--($AL$2:$AL$1501&lt;$AL894))+1,"")</f>
        <v/>
      </c>
      <c r="AK894">
        <f>IF($C894="","",IF(OR($AD894=TRUE(),$AD894="TRUE"),0,1))</f>
        <v/>
      </c>
      <c r="AL894">
        <f>IF($AI894=1,IFERROR(IF(VALUE($C894)&lt;100000000,VALUE($C894),1000000000),IFERROR(IF(VALUE(MID($C894,2,20))&lt;100000000,VALUE(MID($C894,2,20)),1000000000),1000000000))+ROW()/100000,"")</f>
        <v/>
      </c>
    </row>
    <row r="895">
      <c r="J895" s="7" t="n"/>
      <c r="K895" s="7" t="n"/>
      <c r="R895" s="7">
        <f>IF($C895="","",Q895*AC895/100)</f>
        <v/>
      </c>
      <c r="S895" s="11" t="n"/>
      <c r="U895" s="11" t="n"/>
      <c r="AA895" s="7" t="n"/>
      <c r="AC895" s="7" t="n"/>
      <c r="AE895">
        <f>IF($C895="","",IF($AK895=1,Settings!$C$6,Settings!$C$7)*1)</f>
        <v/>
      </c>
      <c r="AF895" s="7">
        <f>IF($C895="","",AE895*AC895)</f>
        <v/>
      </c>
      <c r="AG895" s="7">
        <f>IF($C895="","",AC895-AF895)</f>
        <v/>
      </c>
      <c r="AH895" s="7">
        <f>IF($C895="","",AG895-R895)</f>
        <v/>
      </c>
      <c r="AI895">
        <f>IF($C895="","",IF(COUNTIF($C$2:$C895,$C895)=1,1,0))</f>
        <v/>
      </c>
      <c r="AJ895">
        <f>IF($AI895=1,SUMPRODUCT(--($AL$2:$AL$1501&lt;$AL895))+1,"")</f>
        <v/>
      </c>
      <c r="AK895">
        <f>IF($C895="","",IF(OR($AD895=TRUE(),$AD895="TRUE"),0,1))</f>
        <v/>
      </c>
      <c r="AL895">
        <f>IF($AI895=1,IFERROR(IF(VALUE($C895)&lt;100000000,VALUE($C895),1000000000),IFERROR(IF(VALUE(MID($C895,2,20))&lt;100000000,VALUE(MID($C895,2,20)),1000000000),1000000000))+ROW()/100000,"")</f>
        <v/>
      </c>
    </row>
    <row r="896">
      <c r="J896" s="7" t="n"/>
      <c r="K896" s="7" t="n"/>
      <c r="R896" s="7">
        <f>IF($C896="","",Q896*AC896/100)</f>
        <v/>
      </c>
      <c r="S896" s="11" t="n"/>
      <c r="U896" s="11" t="n"/>
      <c r="AA896" s="7" t="n"/>
      <c r="AC896" s="7" t="n"/>
      <c r="AE896">
        <f>IF($C896="","",IF($AK896=1,Settings!$C$6,Settings!$C$7)*1)</f>
        <v/>
      </c>
      <c r="AF896" s="7">
        <f>IF($C896="","",AE896*AC896)</f>
        <v/>
      </c>
      <c r="AG896" s="7">
        <f>IF($C896="","",AC896-AF896)</f>
        <v/>
      </c>
      <c r="AH896" s="7">
        <f>IF($C896="","",AG896-R896)</f>
        <v/>
      </c>
      <c r="AI896">
        <f>IF($C896="","",IF(COUNTIF($C$2:$C896,$C896)=1,1,0))</f>
        <v/>
      </c>
      <c r="AJ896">
        <f>IF($AI896=1,SUMPRODUCT(--($AL$2:$AL$1501&lt;$AL896))+1,"")</f>
        <v/>
      </c>
      <c r="AK896">
        <f>IF($C896="","",IF(OR($AD896=TRUE(),$AD896="TRUE"),0,1))</f>
        <v/>
      </c>
      <c r="AL896">
        <f>IF($AI896=1,IFERROR(IF(VALUE($C896)&lt;100000000,VALUE($C896),1000000000),IFERROR(IF(VALUE(MID($C896,2,20))&lt;100000000,VALUE(MID($C896,2,20)),1000000000),1000000000))+ROW()/100000,"")</f>
        <v/>
      </c>
    </row>
    <row r="897">
      <c r="J897" s="7" t="n"/>
      <c r="K897" s="7" t="n"/>
      <c r="R897" s="7">
        <f>IF($C897="","",Q897*AC897/100)</f>
        <v/>
      </c>
      <c r="S897" s="11" t="n"/>
      <c r="U897" s="11" t="n"/>
      <c r="AA897" s="7" t="n"/>
      <c r="AC897" s="7" t="n"/>
      <c r="AE897">
        <f>IF($C897="","",IF($AK897=1,Settings!$C$6,Settings!$C$7)*1)</f>
        <v/>
      </c>
      <c r="AF897" s="7">
        <f>IF($C897="","",AE897*AC897)</f>
        <v/>
      </c>
      <c r="AG897" s="7">
        <f>IF($C897="","",AC897-AF897)</f>
        <v/>
      </c>
      <c r="AH897" s="7">
        <f>IF($C897="","",AG897-R897)</f>
        <v/>
      </c>
      <c r="AI897">
        <f>IF($C897="","",IF(COUNTIF($C$2:$C897,$C897)=1,1,0))</f>
        <v/>
      </c>
      <c r="AJ897">
        <f>IF($AI897=1,SUMPRODUCT(--($AL$2:$AL$1501&lt;$AL897))+1,"")</f>
        <v/>
      </c>
      <c r="AK897">
        <f>IF($C897="","",IF(OR($AD897=TRUE(),$AD897="TRUE"),0,1))</f>
        <v/>
      </c>
      <c r="AL897">
        <f>IF($AI897=1,IFERROR(IF(VALUE($C897)&lt;100000000,VALUE($C897),1000000000),IFERROR(IF(VALUE(MID($C897,2,20))&lt;100000000,VALUE(MID($C897,2,20)),1000000000),1000000000))+ROW()/100000,"")</f>
        <v/>
      </c>
    </row>
    <row r="898">
      <c r="J898" s="7" t="n"/>
      <c r="K898" s="7" t="n"/>
      <c r="R898" s="7">
        <f>IF($C898="","",Q898*AC898/100)</f>
        <v/>
      </c>
      <c r="S898" s="11" t="n"/>
      <c r="U898" s="11" t="n"/>
      <c r="AA898" s="7" t="n"/>
      <c r="AC898" s="7" t="n"/>
      <c r="AE898">
        <f>IF($C898="","",IF($AK898=1,Settings!$C$6,Settings!$C$7)*1)</f>
        <v/>
      </c>
      <c r="AF898" s="7">
        <f>IF($C898="","",AE898*AC898)</f>
        <v/>
      </c>
      <c r="AG898" s="7">
        <f>IF($C898="","",AC898-AF898)</f>
        <v/>
      </c>
      <c r="AH898" s="7">
        <f>IF($C898="","",AG898-R898)</f>
        <v/>
      </c>
      <c r="AI898">
        <f>IF($C898="","",IF(COUNTIF($C$2:$C898,$C898)=1,1,0))</f>
        <v/>
      </c>
      <c r="AJ898">
        <f>IF($AI898=1,SUMPRODUCT(--($AL$2:$AL$1501&lt;$AL898))+1,"")</f>
        <v/>
      </c>
      <c r="AK898">
        <f>IF($C898="","",IF(OR($AD898=TRUE(),$AD898="TRUE"),0,1))</f>
        <v/>
      </c>
      <c r="AL898">
        <f>IF($AI898=1,IFERROR(IF(VALUE($C898)&lt;100000000,VALUE($C898),1000000000),IFERROR(IF(VALUE(MID($C898,2,20))&lt;100000000,VALUE(MID($C898,2,20)),1000000000),1000000000))+ROW()/100000,"")</f>
        <v/>
      </c>
    </row>
    <row r="899">
      <c r="J899" s="7" t="n"/>
      <c r="K899" s="7" t="n"/>
      <c r="R899" s="7">
        <f>IF($C899="","",Q899*AC899/100)</f>
        <v/>
      </c>
      <c r="S899" s="11" t="n"/>
      <c r="U899" s="11" t="n"/>
      <c r="AA899" s="7" t="n"/>
      <c r="AC899" s="7" t="n"/>
      <c r="AE899">
        <f>IF($C899="","",IF($AK899=1,Settings!$C$6,Settings!$C$7)*1)</f>
        <v/>
      </c>
      <c r="AF899" s="7">
        <f>IF($C899="","",AE899*AC899)</f>
        <v/>
      </c>
      <c r="AG899" s="7">
        <f>IF($C899="","",AC899-AF899)</f>
        <v/>
      </c>
      <c r="AH899" s="7">
        <f>IF($C899="","",AG899-R899)</f>
        <v/>
      </c>
      <c r="AI899">
        <f>IF($C899="","",IF(COUNTIF($C$2:$C899,$C899)=1,1,0))</f>
        <v/>
      </c>
      <c r="AJ899">
        <f>IF($AI899=1,SUMPRODUCT(--($AL$2:$AL$1501&lt;$AL899))+1,"")</f>
        <v/>
      </c>
      <c r="AK899">
        <f>IF($C899="","",IF(OR($AD899=TRUE(),$AD899="TRUE"),0,1))</f>
        <v/>
      </c>
      <c r="AL899">
        <f>IF($AI899=1,IFERROR(IF(VALUE($C899)&lt;100000000,VALUE($C899),1000000000),IFERROR(IF(VALUE(MID($C899,2,20))&lt;100000000,VALUE(MID($C899,2,20)),1000000000),1000000000))+ROW()/100000,"")</f>
        <v/>
      </c>
    </row>
    <row r="900">
      <c r="J900" s="7" t="n"/>
      <c r="K900" s="7" t="n"/>
      <c r="R900" s="7">
        <f>IF($C900="","",Q900*AC900/100)</f>
        <v/>
      </c>
      <c r="S900" s="11" t="n"/>
      <c r="U900" s="11" t="n"/>
      <c r="AA900" s="7" t="n"/>
      <c r="AC900" s="7" t="n"/>
      <c r="AE900">
        <f>IF($C900="","",IF($AK900=1,Settings!$C$6,Settings!$C$7)*1)</f>
        <v/>
      </c>
      <c r="AF900" s="7">
        <f>IF($C900="","",AE900*AC900)</f>
        <v/>
      </c>
      <c r="AG900" s="7">
        <f>IF($C900="","",AC900-AF900)</f>
        <v/>
      </c>
      <c r="AH900" s="7">
        <f>IF($C900="","",AG900-R900)</f>
        <v/>
      </c>
      <c r="AI900">
        <f>IF($C900="","",IF(COUNTIF($C$2:$C900,$C900)=1,1,0))</f>
        <v/>
      </c>
      <c r="AJ900">
        <f>IF($AI900=1,SUMPRODUCT(--($AL$2:$AL$1501&lt;$AL900))+1,"")</f>
        <v/>
      </c>
      <c r="AK900">
        <f>IF($C900="","",IF(OR($AD900=TRUE(),$AD900="TRUE"),0,1))</f>
        <v/>
      </c>
      <c r="AL900">
        <f>IF($AI900=1,IFERROR(IF(VALUE($C900)&lt;100000000,VALUE($C900),1000000000),IFERROR(IF(VALUE(MID($C900,2,20))&lt;100000000,VALUE(MID($C900,2,20)),1000000000),1000000000))+ROW()/100000,"")</f>
        <v/>
      </c>
    </row>
    <row r="901">
      <c r="J901" s="7" t="n"/>
      <c r="K901" s="7" t="n"/>
      <c r="R901" s="7">
        <f>IF($C901="","",Q901*AC901/100)</f>
        <v/>
      </c>
      <c r="S901" s="11" t="n"/>
      <c r="U901" s="11" t="n"/>
      <c r="AA901" s="7" t="n"/>
      <c r="AC901" s="7" t="n"/>
      <c r="AE901">
        <f>IF($C901="","",IF($AK901=1,Settings!$C$6,Settings!$C$7)*1)</f>
        <v/>
      </c>
      <c r="AF901" s="7">
        <f>IF($C901="","",AE901*AC901)</f>
        <v/>
      </c>
      <c r="AG901" s="7">
        <f>IF($C901="","",AC901-AF901)</f>
        <v/>
      </c>
      <c r="AH901" s="7">
        <f>IF($C901="","",AG901-R901)</f>
        <v/>
      </c>
      <c r="AI901">
        <f>IF($C901="","",IF(COUNTIF($C$2:$C901,$C901)=1,1,0))</f>
        <v/>
      </c>
      <c r="AJ901">
        <f>IF($AI901=1,SUMPRODUCT(--($AL$2:$AL$1501&lt;$AL901))+1,"")</f>
        <v/>
      </c>
      <c r="AK901">
        <f>IF($C901="","",IF(OR($AD901=TRUE(),$AD901="TRUE"),0,1))</f>
        <v/>
      </c>
      <c r="AL901">
        <f>IF($AI901=1,IFERROR(IF(VALUE($C901)&lt;100000000,VALUE($C901),1000000000),IFERROR(IF(VALUE(MID($C901,2,20))&lt;100000000,VALUE(MID($C901,2,20)),1000000000),1000000000))+ROW()/100000,"")</f>
        <v/>
      </c>
    </row>
    <row r="902">
      <c r="J902" s="7" t="n"/>
      <c r="K902" s="7" t="n"/>
      <c r="R902" s="7">
        <f>IF($C902="","",Q902*AC902/100)</f>
        <v/>
      </c>
      <c r="S902" s="11" t="n"/>
      <c r="U902" s="11" t="n"/>
      <c r="AA902" s="7" t="n"/>
      <c r="AC902" s="7" t="n"/>
      <c r="AE902">
        <f>IF($C902="","",IF($AK902=1,Settings!$C$6,Settings!$C$7)*1)</f>
        <v/>
      </c>
      <c r="AF902" s="7">
        <f>IF($C902="","",AE902*AC902)</f>
        <v/>
      </c>
      <c r="AG902" s="7">
        <f>IF($C902="","",AC902-AF902)</f>
        <v/>
      </c>
      <c r="AH902" s="7">
        <f>IF($C902="","",AG902-R902)</f>
        <v/>
      </c>
      <c r="AI902">
        <f>IF($C902="","",IF(COUNTIF($C$2:$C902,$C902)=1,1,0))</f>
        <v/>
      </c>
      <c r="AJ902">
        <f>IF($AI902=1,SUMPRODUCT(--($AL$2:$AL$1501&lt;$AL902))+1,"")</f>
        <v/>
      </c>
      <c r="AK902">
        <f>IF($C902="","",IF(OR($AD902=TRUE(),$AD902="TRUE"),0,1))</f>
        <v/>
      </c>
      <c r="AL902">
        <f>IF($AI902=1,IFERROR(IF(VALUE($C902)&lt;100000000,VALUE($C902),1000000000),IFERROR(IF(VALUE(MID($C902,2,20))&lt;100000000,VALUE(MID($C902,2,20)),1000000000),1000000000))+ROW()/100000,"")</f>
        <v/>
      </c>
    </row>
    <row r="903">
      <c r="J903" s="7" t="n"/>
      <c r="K903" s="7" t="n"/>
      <c r="R903" s="7">
        <f>IF($C903="","",Q903*AC903/100)</f>
        <v/>
      </c>
      <c r="S903" s="11" t="n"/>
      <c r="U903" s="11" t="n"/>
      <c r="AA903" s="7" t="n"/>
      <c r="AC903" s="7" t="n"/>
      <c r="AE903">
        <f>IF($C903="","",IF($AK903=1,Settings!$C$6,Settings!$C$7)*1)</f>
        <v/>
      </c>
      <c r="AF903" s="7">
        <f>IF($C903="","",AE903*AC903)</f>
        <v/>
      </c>
      <c r="AG903" s="7">
        <f>IF($C903="","",AC903-AF903)</f>
        <v/>
      </c>
      <c r="AH903" s="7">
        <f>IF($C903="","",AG903-R903)</f>
        <v/>
      </c>
      <c r="AI903">
        <f>IF($C903="","",IF(COUNTIF($C$2:$C903,$C903)=1,1,0))</f>
        <v/>
      </c>
      <c r="AJ903">
        <f>IF($AI903=1,SUMPRODUCT(--($AL$2:$AL$1501&lt;$AL903))+1,"")</f>
        <v/>
      </c>
      <c r="AK903">
        <f>IF($C903="","",IF(OR($AD903=TRUE(),$AD903="TRUE"),0,1))</f>
        <v/>
      </c>
      <c r="AL903">
        <f>IF($AI903=1,IFERROR(IF(VALUE($C903)&lt;100000000,VALUE($C903),1000000000),IFERROR(IF(VALUE(MID($C903,2,20))&lt;100000000,VALUE(MID($C903,2,20)),1000000000),1000000000))+ROW()/100000,"")</f>
        <v/>
      </c>
    </row>
    <row r="904">
      <c r="J904" s="7" t="n"/>
      <c r="K904" s="7" t="n"/>
      <c r="R904" s="7">
        <f>IF($C904="","",Q904*AC904/100)</f>
        <v/>
      </c>
      <c r="S904" s="11" t="n"/>
      <c r="U904" s="11" t="n"/>
      <c r="AA904" s="7" t="n"/>
      <c r="AC904" s="7" t="n"/>
      <c r="AE904">
        <f>IF($C904="","",IF($AK904=1,Settings!$C$6,Settings!$C$7)*1)</f>
        <v/>
      </c>
      <c r="AF904" s="7">
        <f>IF($C904="","",AE904*AC904)</f>
        <v/>
      </c>
      <c r="AG904" s="7">
        <f>IF($C904="","",AC904-AF904)</f>
        <v/>
      </c>
      <c r="AH904" s="7">
        <f>IF($C904="","",AG904-R904)</f>
        <v/>
      </c>
      <c r="AI904">
        <f>IF($C904="","",IF(COUNTIF($C$2:$C904,$C904)=1,1,0))</f>
        <v/>
      </c>
      <c r="AJ904">
        <f>IF($AI904=1,SUMPRODUCT(--($AL$2:$AL$1501&lt;$AL904))+1,"")</f>
        <v/>
      </c>
      <c r="AK904">
        <f>IF($C904="","",IF(OR($AD904=TRUE(),$AD904="TRUE"),0,1))</f>
        <v/>
      </c>
      <c r="AL904">
        <f>IF($AI904=1,IFERROR(IF(VALUE($C904)&lt;100000000,VALUE($C904),1000000000),IFERROR(IF(VALUE(MID($C904,2,20))&lt;100000000,VALUE(MID($C904,2,20)),1000000000),1000000000))+ROW()/100000,"")</f>
        <v/>
      </c>
    </row>
    <row r="905">
      <c r="J905" s="7" t="n"/>
      <c r="K905" s="7" t="n"/>
      <c r="R905" s="7">
        <f>IF($C905="","",Q905*AC905/100)</f>
        <v/>
      </c>
      <c r="S905" s="11" t="n"/>
      <c r="U905" s="11" t="n"/>
      <c r="AA905" s="7" t="n"/>
      <c r="AC905" s="7" t="n"/>
      <c r="AE905">
        <f>IF($C905="","",IF($AK905=1,Settings!$C$6,Settings!$C$7)*1)</f>
        <v/>
      </c>
      <c r="AF905" s="7">
        <f>IF($C905="","",AE905*AC905)</f>
        <v/>
      </c>
      <c r="AG905" s="7">
        <f>IF($C905="","",AC905-AF905)</f>
        <v/>
      </c>
      <c r="AH905" s="7">
        <f>IF($C905="","",AG905-R905)</f>
        <v/>
      </c>
      <c r="AI905">
        <f>IF($C905="","",IF(COUNTIF($C$2:$C905,$C905)=1,1,0))</f>
        <v/>
      </c>
      <c r="AJ905">
        <f>IF($AI905=1,SUMPRODUCT(--($AL$2:$AL$1501&lt;$AL905))+1,"")</f>
        <v/>
      </c>
      <c r="AK905">
        <f>IF($C905="","",IF(OR($AD905=TRUE(),$AD905="TRUE"),0,1))</f>
        <v/>
      </c>
      <c r="AL905">
        <f>IF($AI905=1,IFERROR(IF(VALUE($C905)&lt;100000000,VALUE($C905),1000000000),IFERROR(IF(VALUE(MID($C905,2,20))&lt;100000000,VALUE(MID($C905,2,20)),1000000000),1000000000))+ROW()/100000,"")</f>
        <v/>
      </c>
    </row>
    <row r="906">
      <c r="J906" s="7" t="n"/>
      <c r="K906" s="7" t="n"/>
      <c r="R906" s="7">
        <f>IF($C906="","",Q906*AC906/100)</f>
        <v/>
      </c>
      <c r="S906" s="11" t="n"/>
      <c r="U906" s="11" t="n"/>
      <c r="AA906" s="7" t="n"/>
      <c r="AC906" s="7" t="n"/>
      <c r="AE906">
        <f>IF($C906="","",IF($AK906=1,Settings!$C$6,Settings!$C$7)*1)</f>
        <v/>
      </c>
      <c r="AF906" s="7">
        <f>IF($C906="","",AE906*AC906)</f>
        <v/>
      </c>
      <c r="AG906" s="7">
        <f>IF($C906="","",AC906-AF906)</f>
        <v/>
      </c>
      <c r="AH906" s="7">
        <f>IF($C906="","",AG906-R906)</f>
        <v/>
      </c>
      <c r="AI906">
        <f>IF($C906="","",IF(COUNTIF($C$2:$C906,$C906)=1,1,0))</f>
        <v/>
      </c>
      <c r="AJ906">
        <f>IF($AI906=1,SUMPRODUCT(--($AL$2:$AL$1501&lt;$AL906))+1,"")</f>
        <v/>
      </c>
      <c r="AK906">
        <f>IF($C906="","",IF(OR($AD906=TRUE(),$AD906="TRUE"),0,1))</f>
        <v/>
      </c>
      <c r="AL906">
        <f>IF($AI906=1,IFERROR(IF(VALUE($C906)&lt;100000000,VALUE($C906),1000000000),IFERROR(IF(VALUE(MID($C906,2,20))&lt;100000000,VALUE(MID($C906,2,20)),1000000000),1000000000))+ROW()/100000,"")</f>
        <v/>
      </c>
    </row>
    <row r="907">
      <c r="J907" s="7" t="n"/>
      <c r="K907" s="7" t="n"/>
      <c r="R907" s="7">
        <f>IF($C907="","",Q907*AC907/100)</f>
        <v/>
      </c>
      <c r="S907" s="11" t="n"/>
      <c r="U907" s="11" t="n"/>
      <c r="AA907" s="7" t="n"/>
      <c r="AC907" s="7" t="n"/>
      <c r="AE907">
        <f>IF($C907="","",IF($AK907=1,Settings!$C$6,Settings!$C$7)*1)</f>
        <v/>
      </c>
      <c r="AF907" s="7">
        <f>IF($C907="","",AE907*AC907)</f>
        <v/>
      </c>
      <c r="AG907" s="7">
        <f>IF($C907="","",AC907-AF907)</f>
        <v/>
      </c>
      <c r="AH907" s="7">
        <f>IF($C907="","",AG907-R907)</f>
        <v/>
      </c>
      <c r="AI907">
        <f>IF($C907="","",IF(COUNTIF($C$2:$C907,$C907)=1,1,0))</f>
        <v/>
      </c>
      <c r="AJ907">
        <f>IF($AI907=1,SUMPRODUCT(--($AL$2:$AL$1501&lt;$AL907))+1,"")</f>
        <v/>
      </c>
      <c r="AK907">
        <f>IF($C907="","",IF(OR($AD907=TRUE(),$AD907="TRUE"),0,1))</f>
        <v/>
      </c>
      <c r="AL907">
        <f>IF($AI907=1,IFERROR(IF(VALUE($C907)&lt;100000000,VALUE($C907),1000000000),IFERROR(IF(VALUE(MID($C907,2,20))&lt;100000000,VALUE(MID($C907,2,20)),1000000000),1000000000))+ROW()/100000,"")</f>
        <v/>
      </c>
    </row>
    <row r="908">
      <c r="J908" s="7" t="n"/>
      <c r="K908" s="7" t="n"/>
      <c r="R908" s="7">
        <f>IF($C908="","",Q908*AC908/100)</f>
        <v/>
      </c>
      <c r="S908" s="11" t="n"/>
      <c r="U908" s="11" t="n"/>
      <c r="AA908" s="7" t="n"/>
      <c r="AC908" s="7" t="n"/>
      <c r="AE908">
        <f>IF($C908="","",IF($AK908=1,Settings!$C$6,Settings!$C$7)*1)</f>
        <v/>
      </c>
      <c r="AF908" s="7">
        <f>IF($C908="","",AE908*AC908)</f>
        <v/>
      </c>
      <c r="AG908" s="7">
        <f>IF($C908="","",AC908-AF908)</f>
        <v/>
      </c>
      <c r="AH908" s="7">
        <f>IF($C908="","",AG908-R908)</f>
        <v/>
      </c>
      <c r="AI908">
        <f>IF($C908="","",IF(COUNTIF($C$2:$C908,$C908)=1,1,0))</f>
        <v/>
      </c>
      <c r="AJ908">
        <f>IF($AI908=1,SUMPRODUCT(--($AL$2:$AL$1501&lt;$AL908))+1,"")</f>
        <v/>
      </c>
      <c r="AK908">
        <f>IF($C908="","",IF(OR($AD908=TRUE(),$AD908="TRUE"),0,1))</f>
        <v/>
      </c>
      <c r="AL908">
        <f>IF($AI908=1,IFERROR(IF(VALUE($C908)&lt;100000000,VALUE($C908),1000000000),IFERROR(IF(VALUE(MID($C908,2,20))&lt;100000000,VALUE(MID($C908,2,20)),1000000000),1000000000))+ROW()/100000,"")</f>
        <v/>
      </c>
    </row>
    <row r="909">
      <c r="J909" s="7" t="n"/>
      <c r="K909" s="7" t="n"/>
      <c r="R909" s="7">
        <f>IF($C909="","",Q909*AC909/100)</f>
        <v/>
      </c>
      <c r="S909" s="11" t="n"/>
      <c r="U909" s="11" t="n"/>
      <c r="AA909" s="7" t="n"/>
      <c r="AC909" s="7" t="n"/>
      <c r="AE909">
        <f>IF($C909="","",IF($AK909=1,Settings!$C$6,Settings!$C$7)*1)</f>
        <v/>
      </c>
      <c r="AF909" s="7">
        <f>IF($C909="","",AE909*AC909)</f>
        <v/>
      </c>
      <c r="AG909" s="7">
        <f>IF($C909="","",AC909-AF909)</f>
        <v/>
      </c>
      <c r="AH909" s="7">
        <f>IF($C909="","",AG909-R909)</f>
        <v/>
      </c>
      <c r="AI909">
        <f>IF($C909="","",IF(COUNTIF($C$2:$C909,$C909)=1,1,0))</f>
        <v/>
      </c>
      <c r="AJ909">
        <f>IF($AI909=1,SUMPRODUCT(--($AL$2:$AL$1501&lt;$AL909))+1,"")</f>
        <v/>
      </c>
      <c r="AK909">
        <f>IF($C909="","",IF(OR($AD909=TRUE(),$AD909="TRUE"),0,1))</f>
        <v/>
      </c>
      <c r="AL909">
        <f>IF($AI909=1,IFERROR(IF(VALUE($C909)&lt;100000000,VALUE($C909),1000000000),IFERROR(IF(VALUE(MID($C909,2,20))&lt;100000000,VALUE(MID($C909,2,20)),1000000000),1000000000))+ROW()/100000,"")</f>
        <v/>
      </c>
    </row>
    <row r="910">
      <c r="J910" s="7" t="n"/>
      <c r="K910" s="7" t="n"/>
      <c r="R910" s="7">
        <f>IF($C910="","",Q910*AC910/100)</f>
        <v/>
      </c>
      <c r="S910" s="11" t="n"/>
      <c r="U910" s="11" t="n"/>
      <c r="AA910" s="7" t="n"/>
      <c r="AC910" s="7" t="n"/>
      <c r="AE910">
        <f>IF($C910="","",IF($AK910=1,Settings!$C$6,Settings!$C$7)*1)</f>
        <v/>
      </c>
      <c r="AF910" s="7">
        <f>IF($C910="","",AE910*AC910)</f>
        <v/>
      </c>
      <c r="AG910" s="7">
        <f>IF($C910="","",AC910-AF910)</f>
        <v/>
      </c>
      <c r="AH910" s="7">
        <f>IF($C910="","",AG910-R910)</f>
        <v/>
      </c>
      <c r="AI910">
        <f>IF($C910="","",IF(COUNTIF($C$2:$C910,$C910)=1,1,0))</f>
        <v/>
      </c>
      <c r="AJ910">
        <f>IF($AI910=1,SUMPRODUCT(--($AL$2:$AL$1501&lt;$AL910))+1,"")</f>
        <v/>
      </c>
      <c r="AK910">
        <f>IF($C910="","",IF(OR($AD910=TRUE(),$AD910="TRUE"),0,1))</f>
        <v/>
      </c>
      <c r="AL910">
        <f>IF($AI910=1,IFERROR(IF(VALUE($C910)&lt;100000000,VALUE($C910),1000000000),IFERROR(IF(VALUE(MID($C910,2,20))&lt;100000000,VALUE(MID($C910,2,20)),1000000000),1000000000))+ROW()/100000,"")</f>
        <v/>
      </c>
    </row>
    <row r="911">
      <c r="J911" s="7" t="n"/>
      <c r="K911" s="7" t="n"/>
      <c r="R911" s="7">
        <f>IF($C911="","",Q911*AC911/100)</f>
        <v/>
      </c>
      <c r="S911" s="11" t="n"/>
      <c r="U911" s="11" t="n"/>
      <c r="AA911" s="7" t="n"/>
      <c r="AC911" s="7" t="n"/>
      <c r="AE911">
        <f>IF($C911="","",IF($AK911=1,Settings!$C$6,Settings!$C$7)*1)</f>
        <v/>
      </c>
      <c r="AF911" s="7">
        <f>IF($C911="","",AE911*AC911)</f>
        <v/>
      </c>
      <c r="AG911" s="7">
        <f>IF($C911="","",AC911-AF911)</f>
        <v/>
      </c>
      <c r="AH911" s="7">
        <f>IF($C911="","",AG911-R911)</f>
        <v/>
      </c>
      <c r="AI911">
        <f>IF($C911="","",IF(COUNTIF($C$2:$C911,$C911)=1,1,0))</f>
        <v/>
      </c>
      <c r="AJ911">
        <f>IF($AI911=1,SUMPRODUCT(--($AL$2:$AL$1501&lt;$AL911))+1,"")</f>
        <v/>
      </c>
      <c r="AK911">
        <f>IF($C911="","",IF(OR($AD911=TRUE(),$AD911="TRUE"),0,1))</f>
        <v/>
      </c>
      <c r="AL911">
        <f>IF($AI911=1,IFERROR(IF(VALUE($C911)&lt;100000000,VALUE($C911),1000000000),IFERROR(IF(VALUE(MID($C911,2,20))&lt;100000000,VALUE(MID($C911,2,20)),1000000000),1000000000))+ROW()/100000,"")</f>
        <v/>
      </c>
    </row>
    <row r="912">
      <c r="J912" s="7" t="n"/>
      <c r="K912" s="7" t="n"/>
      <c r="R912" s="7">
        <f>IF($C912="","",Q912*AC912/100)</f>
        <v/>
      </c>
      <c r="S912" s="11" t="n"/>
      <c r="U912" s="11" t="n"/>
      <c r="AA912" s="7" t="n"/>
      <c r="AC912" s="7" t="n"/>
      <c r="AE912">
        <f>IF($C912="","",IF($AK912=1,Settings!$C$6,Settings!$C$7)*1)</f>
        <v/>
      </c>
      <c r="AF912" s="7">
        <f>IF($C912="","",AE912*AC912)</f>
        <v/>
      </c>
      <c r="AG912" s="7">
        <f>IF($C912="","",AC912-AF912)</f>
        <v/>
      </c>
      <c r="AH912" s="7">
        <f>IF($C912="","",AG912-R912)</f>
        <v/>
      </c>
      <c r="AI912">
        <f>IF($C912="","",IF(COUNTIF($C$2:$C912,$C912)=1,1,0))</f>
        <v/>
      </c>
      <c r="AJ912">
        <f>IF($AI912=1,SUMPRODUCT(--($AL$2:$AL$1501&lt;$AL912))+1,"")</f>
        <v/>
      </c>
      <c r="AK912">
        <f>IF($C912="","",IF(OR($AD912=TRUE(),$AD912="TRUE"),0,1))</f>
        <v/>
      </c>
      <c r="AL912">
        <f>IF($AI912=1,IFERROR(IF(VALUE($C912)&lt;100000000,VALUE($C912),1000000000),IFERROR(IF(VALUE(MID($C912,2,20))&lt;100000000,VALUE(MID($C912,2,20)),1000000000),1000000000))+ROW()/100000,"")</f>
        <v/>
      </c>
    </row>
    <row r="913">
      <c r="J913" s="7" t="n"/>
      <c r="K913" s="7" t="n"/>
      <c r="R913" s="7">
        <f>IF($C913="","",Q913*AC913/100)</f>
        <v/>
      </c>
      <c r="S913" s="11" t="n"/>
      <c r="U913" s="11" t="n"/>
      <c r="AA913" s="7" t="n"/>
      <c r="AC913" s="7" t="n"/>
      <c r="AE913">
        <f>IF($C913="","",IF($AK913=1,Settings!$C$6,Settings!$C$7)*1)</f>
        <v/>
      </c>
      <c r="AF913" s="7">
        <f>IF($C913="","",AE913*AC913)</f>
        <v/>
      </c>
      <c r="AG913" s="7">
        <f>IF($C913="","",AC913-AF913)</f>
        <v/>
      </c>
      <c r="AH913" s="7">
        <f>IF($C913="","",AG913-R913)</f>
        <v/>
      </c>
      <c r="AI913">
        <f>IF($C913="","",IF(COUNTIF($C$2:$C913,$C913)=1,1,0))</f>
        <v/>
      </c>
      <c r="AJ913">
        <f>IF($AI913=1,SUMPRODUCT(--($AL$2:$AL$1501&lt;$AL913))+1,"")</f>
        <v/>
      </c>
      <c r="AK913">
        <f>IF($C913="","",IF(OR($AD913=TRUE(),$AD913="TRUE"),0,1))</f>
        <v/>
      </c>
      <c r="AL913">
        <f>IF($AI913=1,IFERROR(IF(VALUE($C913)&lt;100000000,VALUE($C913),1000000000),IFERROR(IF(VALUE(MID($C913,2,20))&lt;100000000,VALUE(MID($C913,2,20)),1000000000),1000000000))+ROW()/100000,"")</f>
        <v/>
      </c>
    </row>
    <row r="914">
      <c r="J914" s="7" t="n"/>
      <c r="K914" s="7" t="n"/>
      <c r="R914" s="7">
        <f>IF($C914="","",Q914*AC914/100)</f>
        <v/>
      </c>
      <c r="S914" s="11" t="n"/>
      <c r="U914" s="11" t="n"/>
      <c r="AA914" s="7" t="n"/>
      <c r="AC914" s="7" t="n"/>
      <c r="AE914">
        <f>IF($C914="","",IF($AK914=1,Settings!$C$6,Settings!$C$7)*1)</f>
        <v/>
      </c>
      <c r="AF914" s="7">
        <f>IF($C914="","",AE914*AC914)</f>
        <v/>
      </c>
      <c r="AG914" s="7">
        <f>IF($C914="","",AC914-AF914)</f>
        <v/>
      </c>
      <c r="AH914" s="7">
        <f>IF($C914="","",AG914-R914)</f>
        <v/>
      </c>
      <c r="AI914">
        <f>IF($C914="","",IF(COUNTIF($C$2:$C914,$C914)=1,1,0))</f>
        <v/>
      </c>
      <c r="AJ914">
        <f>IF($AI914=1,SUMPRODUCT(--($AL$2:$AL$1501&lt;$AL914))+1,"")</f>
        <v/>
      </c>
      <c r="AK914">
        <f>IF($C914="","",IF(OR($AD914=TRUE(),$AD914="TRUE"),0,1))</f>
        <v/>
      </c>
      <c r="AL914">
        <f>IF($AI914=1,IFERROR(IF(VALUE($C914)&lt;100000000,VALUE($C914),1000000000),IFERROR(IF(VALUE(MID($C914,2,20))&lt;100000000,VALUE(MID($C914,2,20)),1000000000),1000000000))+ROW()/100000,"")</f>
        <v/>
      </c>
    </row>
    <row r="915">
      <c r="J915" s="7" t="n"/>
      <c r="K915" s="7" t="n"/>
      <c r="R915" s="7">
        <f>IF($C915="","",Q915*AC915/100)</f>
        <v/>
      </c>
      <c r="S915" s="11" t="n"/>
      <c r="U915" s="11" t="n"/>
      <c r="AA915" s="7" t="n"/>
      <c r="AC915" s="7" t="n"/>
      <c r="AE915">
        <f>IF($C915="","",IF($AK915=1,Settings!$C$6,Settings!$C$7)*1)</f>
        <v/>
      </c>
      <c r="AF915" s="7">
        <f>IF($C915="","",AE915*AC915)</f>
        <v/>
      </c>
      <c r="AG915" s="7">
        <f>IF($C915="","",AC915-AF915)</f>
        <v/>
      </c>
      <c r="AH915" s="7">
        <f>IF($C915="","",AG915-R915)</f>
        <v/>
      </c>
      <c r="AI915">
        <f>IF($C915="","",IF(COUNTIF($C$2:$C915,$C915)=1,1,0))</f>
        <v/>
      </c>
      <c r="AJ915">
        <f>IF($AI915=1,SUMPRODUCT(--($AL$2:$AL$1501&lt;$AL915))+1,"")</f>
        <v/>
      </c>
      <c r="AK915">
        <f>IF($C915="","",IF(OR($AD915=TRUE(),$AD915="TRUE"),0,1))</f>
        <v/>
      </c>
      <c r="AL915">
        <f>IF($AI915=1,IFERROR(IF(VALUE($C915)&lt;100000000,VALUE($C915),1000000000),IFERROR(IF(VALUE(MID($C915,2,20))&lt;100000000,VALUE(MID($C915,2,20)),1000000000),1000000000))+ROW()/100000,"")</f>
        <v/>
      </c>
    </row>
    <row r="916">
      <c r="J916" s="7" t="n"/>
      <c r="K916" s="7" t="n"/>
      <c r="R916" s="7">
        <f>IF($C916="","",Q916*AC916/100)</f>
        <v/>
      </c>
      <c r="S916" s="11" t="n"/>
      <c r="U916" s="11" t="n"/>
      <c r="AA916" s="7" t="n"/>
      <c r="AC916" s="7" t="n"/>
      <c r="AE916">
        <f>IF($C916="","",IF($AK916=1,Settings!$C$6,Settings!$C$7)*1)</f>
        <v/>
      </c>
      <c r="AF916" s="7">
        <f>IF($C916="","",AE916*AC916)</f>
        <v/>
      </c>
      <c r="AG916" s="7">
        <f>IF($C916="","",AC916-AF916)</f>
        <v/>
      </c>
      <c r="AH916" s="7">
        <f>IF($C916="","",AG916-R916)</f>
        <v/>
      </c>
      <c r="AI916">
        <f>IF($C916="","",IF(COUNTIF($C$2:$C916,$C916)=1,1,0))</f>
        <v/>
      </c>
      <c r="AJ916">
        <f>IF($AI916=1,SUMPRODUCT(--($AL$2:$AL$1501&lt;$AL916))+1,"")</f>
        <v/>
      </c>
      <c r="AK916">
        <f>IF($C916="","",IF(OR($AD916=TRUE(),$AD916="TRUE"),0,1))</f>
        <v/>
      </c>
      <c r="AL916">
        <f>IF($AI916=1,IFERROR(IF(VALUE($C916)&lt;100000000,VALUE($C916),1000000000),IFERROR(IF(VALUE(MID($C916,2,20))&lt;100000000,VALUE(MID($C916,2,20)),1000000000),1000000000))+ROW()/100000,"")</f>
        <v/>
      </c>
    </row>
    <row r="917">
      <c r="J917" s="7" t="n"/>
      <c r="K917" s="7" t="n"/>
      <c r="R917" s="7">
        <f>IF($C917="","",Q917*AC917/100)</f>
        <v/>
      </c>
      <c r="S917" s="11" t="n"/>
      <c r="U917" s="11" t="n"/>
      <c r="AA917" s="7" t="n"/>
      <c r="AC917" s="7" t="n"/>
      <c r="AE917">
        <f>IF($C917="","",IF($AK917=1,Settings!$C$6,Settings!$C$7)*1)</f>
        <v/>
      </c>
      <c r="AF917" s="7">
        <f>IF($C917="","",AE917*AC917)</f>
        <v/>
      </c>
      <c r="AG917" s="7">
        <f>IF($C917="","",AC917-AF917)</f>
        <v/>
      </c>
      <c r="AH917" s="7">
        <f>IF($C917="","",AG917-R917)</f>
        <v/>
      </c>
      <c r="AI917">
        <f>IF($C917="","",IF(COUNTIF($C$2:$C917,$C917)=1,1,0))</f>
        <v/>
      </c>
      <c r="AJ917">
        <f>IF($AI917=1,SUMPRODUCT(--($AL$2:$AL$1501&lt;$AL917))+1,"")</f>
        <v/>
      </c>
      <c r="AK917">
        <f>IF($C917="","",IF(OR($AD917=TRUE(),$AD917="TRUE"),0,1))</f>
        <v/>
      </c>
      <c r="AL917">
        <f>IF($AI917=1,IFERROR(IF(VALUE($C917)&lt;100000000,VALUE($C917),1000000000),IFERROR(IF(VALUE(MID($C917,2,20))&lt;100000000,VALUE(MID($C917,2,20)),1000000000),1000000000))+ROW()/100000,"")</f>
        <v/>
      </c>
    </row>
    <row r="918">
      <c r="J918" s="7" t="n"/>
      <c r="K918" s="7" t="n"/>
      <c r="R918" s="7">
        <f>IF($C918="","",Q918*AC918/100)</f>
        <v/>
      </c>
      <c r="S918" s="11" t="n"/>
      <c r="U918" s="11" t="n"/>
      <c r="AA918" s="7" t="n"/>
      <c r="AC918" s="7" t="n"/>
      <c r="AE918">
        <f>IF($C918="","",IF($AK918=1,Settings!$C$6,Settings!$C$7)*1)</f>
        <v/>
      </c>
      <c r="AF918" s="7">
        <f>IF($C918="","",AE918*AC918)</f>
        <v/>
      </c>
      <c r="AG918" s="7">
        <f>IF($C918="","",AC918-AF918)</f>
        <v/>
      </c>
      <c r="AH918" s="7">
        <f>IF($C918="","",AG918-R918)</f>
        <v/>
      </c>
      <c r="AI918">
        <f>IF($C918="","",IF(COUNTIF($C$2:$C918,$C918)=1,1,0))</f>
        <v/>
      </c>
      <c r="AJ918">
        <f>IF($AI918=1,SUMPRODUCT(--($AL$2:$AL$1501&lt;$AL918))+1,"")</f>
        <v/>
      </c>
      <c r="AK918">
        <f>IF($C918="","",IF(OR($AD918=TRUE(),$AD918="TRUE"),0,1))</f>
        <v/>
      </c>
      <c r="AL918">
        <f>IF($AI918=1,IFERROR(IF(VALUE($C918)&lt;100000000,VALUE($C918),1000000000),IFERROR(IF(VALUE(MID($C918,2,20))&lt;100000000,VALUE(MID($C918,2,20)),1000000000),1000000000))+ROW()/100000,"")</f>
        <v/>
      </c>
    </row>
    <row r="919">
      <c r="J919" s="7" t="n"/>
      <c r="K919" s="7" t="n"/>
      <c r="R919" s="7">
        <f>IF($C919="","",Q919*AC919/100)</f>
        <v/>
      </c>
      <c r="S919" s="11" t="n"/>
      <c r="U919" s="11" t="n"/>
      <c r="AA919" s="7" t="n"/>
      <c r="AC919" s="7" t="n"/>
      <c r="AE919">
        <f>IF($C919="","",IF($AK919=1,Settings!$C$6,Settings!$C$7)*1)</f>
        <v/>
      </c>
      <c r="AF919" s="7">
        <f>IF($C919="","",AE919*AC919)</f>
        <v/>
      </c>
      <c r="AG919" s="7">
        <f>IF($C919="","",AC919-AF919)</f>
        <v/>
      </c>
      <c r="AH919" s="7">
        <f>IF($C919="","",AG919-R919)</f>
        <v/>
      </c>
      <c r="AI919">
        <f>IF($C919="","",IF(COUNTIF($C$2:$C919,$C919)=1,1,0))</f>
        <v/>
      </c>
      <c r="AJ919">
        <f>IF($AI919=1,SUMPRODUCT(--($AL$2:$AL$1501&lt;$AL919))+1,"")</f>
        <v/>
      </c>
      <c r="AK919">
        <f>IF($C919="","",IF(OR($AD919=TRUE(),$AD919="TRUE"),0,1))</f>
        <v/>
      </c>
      <c r="AL919">
        <f>IF($AI919=1,IFERROR(IF(VALUE($C919)&lt;100000000,VALUE($C919),1000000000),IFERROR(IF(VALUE(MID($C919,2,20))&lt;100000000,VALUE(MID($C919,2,20)),1000000000),1000000000))+ROW()/100000,"")</f>
        <v/>
      </c>
    </row>
    <row r="920">
      <c r="J920" s="7" t="n"/>
      <c r="K920" s="7" t="n"/>
      <c r="R920" s="7">
        <f>IF($C920="","",Q920*AC920/100)</f>
        <v/>
      </c>
      <c r="S920" s="11" t="n"/>
      <c r="U920" s="11" t="n"/>
      <c r="AA920" s="7" t="n"/>
      <c r="AC920" s="7" t="n"/>
      <c r="AE920">
        <f>IF($C920="","",IF($AK920=1,Settings!$C$6,Settings!$C$7)*1)</f>
        <v/>
      </c>
      <c r="AF920" s="7">
        <f>IF($C920="","",AE920*AC920)</f>
        <v/>
      </c>
      <c r="AG920" s="7">
        <f>IF($C920="","",AC920-AF920)</f>
        <v/>
      </c>
      <c r="AH920" s="7">
        <f>IF($C920="","",AG920-R920)</f>
        <v/>
      </c>
      <c r="AI920">
        <f>IF($C920="","",IF(COUNTIF($C$2:$C920,$C920)=1,1,0))</f>
        <v/>
      </c>
      <c r="AJ920">
        <f>IF($AI920=1,SUMPRODUCT(--($AL$2:$AL$1501&lt;$AL920))+1,"")</f>
        <v/>
      </c>
      <c r="AK920">
        <f>IF($C920="","",IF(OR($AD920=TRUE(),$AD920="TRUE"),0,1))</f>
        <v/>
      </c>
      <c r="AL920">
        <f>IF($AI920=1,IFERROR(IF(VALUE($C920)&lt;100000000,VALUE($C920),1000000000),IFERROR(IF(VALUE(MID($C920,2,20))&lt;100000000,VALUE(MID($C920,2,20)),1000000000),1000000000))+ROW()/100000,"")</f>
        <v/>
      </c>
    </row>
    <row r="921">
      <c r="J921" s="7" t="n"/>
      <c r="K921" s="7" t="n"/>
      <c r="R921" s="7">
        <f>IF($C921="","",Q921*AC921/100)</f>
        <v/>
      </c>
      <c r="S921" s="11" t="n"/>
      <c r="U921" s="11" t="n"/>
      <c r="AA921" s="7" t="n"/>
      <c r="AC921" s="7" t="n"/>
      <c r="AE921">
        <f>IF($C921="","",IF($AK921=1,Settings!$C$6,Settings!$C$7)*1)</f>
        <v/>
      </c>
      <c r="AF921" s="7">
        <f>IF($C921="","",AE921*AC921)</f>
        <v/>
      </c>
      <c r="AG921" s="7">
        <f>IF($C921="","",AC921-AF921)</f>
        <v/>
      </c>
      <c r="AH921" s="7">
        <f>IF($C921="","",AG921-R921)</f>
        <v/>
      </c>
      <c r="AI921">
        <f>IF($C921="","",IF(COUNTIF($C$2:$C921,$C921)=1,1,0))</f>
        <v/>
      </c>
      <c r="AJ921">
        <f>IF($AI921=1,SUMPRODUCT(--($AL$2:$AL$1501&lt;$AL921))+1,"")</f>
        <v/>
      </c>
      <c r="AK921">
        <f>IF($C921="","",IF(OR($AD921=TRUE(),$AD921="TRUE"),0,1))</f>
        <v/>
      </c>
      <c r="AL921">
        <f>IF($AI921=1,IFERROR(IF(VALUE($C921)&lt;100000000,VALUE($C921),1000000000),IFERROR(IF(VALUE(MID($C921,2,20))&lt;100000000,VALUE(MID($C921,2,20)),1000000000),1000000000))+ROW()/100000,"")</f>
        <v/>
      </c>
    </row>
    <row r="922">
      <c r="J922" s="7" t="n"/>
      <c r="K922" s="7" t="n"/>
      <c r="R922" s="7">
        <f>IF($C922="","",Q922*AC922/100)</f>
        <v/>
      </c>
      <c r="S922" s="11" t="n"/>
      <c r="U922" s="11" t="n"/>
      <c r="AA922" s="7" t="n"/>
      <c r="AC922" s="7" t="n"/>
      <c r="AE922">
        <f>IF($C922="","",IF($AK922=1,Settings!$C$6,Settings!$C$7)*1)</f>
        <v/>
      </c>
      <c r="AF922" s="7">
        <f>IF($C922="","",AE922*AC922)</f>
        <v/>
      </c>
      <c r="AG922" s="7">
        <f>IF($C922="","",AC922-AF922)</f>
        <v/>
      </c>
      <c r="AH922" s="7">
        <f>IF($C922="","",AG922-R922)</f>
        <v/>
      </c>
      <c r="AI922">
        <f>IF($C922="","",IF(COUNTIF($C$2:$C922,$C922)=1,1,0))</f>
        <v/>
      </c>
      <c r="AJ922">
        <f>IF($AI922=1,SUMPRODUCT(--($AL$2:$AL$1501&lt;$AL922))+1,"")</f>
        <v/>
      </c>
      <c r="AK922">
        <f>IF($C922="","",IF(OR($AD922=TRUE(),$AD922="TRUE"),0,1))</f>
        <v/>
      </c>
      <c r="AL922">
        <f>IF($AI922=1,IFERROR(IF(VALUE($C922)&lt;100000000,VALUE($C922),1000000000),IFERROR(IF(VALUE(MID($C922,2,20))&lt;100000000,VALUE(MID($C922,2,20)),1000000000),1000000000))+ROW()/100000,"")</f>
        <v/>
      </c>
    </row>
    <row r="923">
      <c r="J923" s="7" t="n"/>
      <c r="K923" s="7" t="n"/>
      <c r="R923" s="7">
        <f>IF($C923="","",Q923*AC923/100)</f>
        <v/>
      </c>
      <c r="S923" s="11" t="n"/>
      <c r="U923" s="11" t="n"/>
      <c r="AA923" s="7" t="n"/>
      <c r="AC923" s="7" t="n"/>
      <c r="AE923">
        <f>IF($C923="","",IF($AK923=1,Settings!$C$6,Settings!$C$7)*1)</f>
        <v/>
      </c>
      <c r="AF923" s="7">
        <f>IF($C923="","",AE923*AC923)</f>
        <v/>
      </c>
      <c r="AG923" s="7">
        <f>IF($C923="","",AC923-AF923)</f>
        <v/>
      </c>
      <c r="AH923" s="7">
        <f>IF($C923="","",AG923-R923)</f>
        <v/>
      </c>
      <c r="AI923">
        <f>IF($C923="","",IF(COUNTIF($C$2:$C923,$C923)=1,1,0))</f>
        <v/>
      </c>
      <c r="AJ923">
        <f>IF($AI923=1,SUMPRODUCT(--($AL$2:$AL$1501&lt;$AL923))+1,"")</f>
        <v/>
      </c>
      <c r="AK923">
        <f>IF($C923="","",IF(OR($AD923=TRUE(),$AD923="TRUE"),0,1))</f>
        <v/>
      </c>
      <c r="AL923">
        <f>IF($AI923=1,IFERROR(IF(VALUE($C923)&lt;100000000,VALUE($C923),1000000000),IFERROR(IF(VALUE(MID($C923,2,20))&lt;100000000,VALUE(MID($C923,2,20)),1000000000),1000000000))+ROW()/100000,"")</f>
        <v/>
      </c>
    </row>
    <row r="924">
      <c r="J924" s="7" t="n"/>
      <c r="K924" s="7" t="n"/>
      <c r="R924" s="7">
        <f>IF($C924="","",Q924*AC924/100)</f>
        <v/>
      </c>
      <c r="S924" s="11" t="n"/>
      <c r="U924" s="11" t="n"/>
      <c r="AA924" s="7" t="n"/>
      <c r="AC924" s="7" t="n"/>
      <c r="AE924">
        <f>IF($C924="","",IF($AK924=1,Settings!$C$6,Settings!$C$7)*1)</f>
        <v/>
      </c>
      <c r="AF924" s="7">
        <f>IF($C924="","",AE924*AC924)</f>
        <v/>
      </c>
      <c r="AG924" s="7">
        <f>IF($C924="","",AC924-AF924)</f>
        <v/>
      </c>
      <c r="AH924" s="7">
        <f>IF($C924="","",AG924-R924)</f>
        <v/>
      </c>
      <c r="AI924">
        <f>IF($C924="","",IF(COUNTIF($C$2:$C924,$C924)=1,1,0))</f>
        <v/>
      </c>
      <c r="AJ924">
        <f>IF($AI924=1,SUMPRODUCT(--($AL$2:$AL$1501&lt;$AL924))+1,"")</f>
        <v/>
      </c>
      <c r="AK924">
        <f>IF($C924="","",IF(OR($AD924=TRUE(),$AD924="TRUE"),0,1))</f>
        <v/>
      </c>
      <c r="AL924">
        <f>IF($AI924=1,IFERROR(IF(VALUE($C924)&lt;100000000,VALUE($C924),1000000000),IFERROR(IF(VALUE(MID($C924,2,20))&lt;100000000,VALUE(MID($C924,2,20)),1000000000),1000000000))+ROW()/100000,"")</f>
        <v/>
      </c>
    </row>
    <row r="925">
      <c r="J925" s="7" t="n"/>
      <c r="K925" s="7" t="n"/>
      <c r="R925" s="7">
        <f>IF($C925="","",Q925*AC925/100)</f>
        <v/>
      </c>
      <c r="S925" s="11" t="n"/>
      <c r="U925" s="11" t="n"/>
      <c r="AA925" s="7" t="n"/>
      <c r="AC925" s="7" t="n"/>
      <c r="AE925">
        <f>IF($C925="","",IF($AK925=1,Settings!$C$6,Settings!$C$7)*1)</f>
        <v/>
      </c>
      <c r="AF925" s="7">
        <f>IF($C925="","",AE925*AC925)</f>
        <v/>
      </c>
      <c r="AG925" s="7">
        <f>IF($C925="","",AC925-AF925)</f>
        <v/>
      </c>
      <c r="AH925" s="7">
        <f>IF($C925="","",AG925-R925)</f>
        <v/>
      </c>
      <c r="AI925">
        <f>IF($C925="","",IF(COUNTIF($C$2:$C925,$C925)=1,1,0))</f>
        <v/>
      </c>
      <c r="AJ925">
        <f>IF($AI925=1,SUMPRODUCT(--($AL$2:$AL$1501&lt;$AL925))+1,"")</f>
        <v/>
      </c>
      <c r="AK925">
        <f>IF($C925="","",IF(OR($AD925=TRUE(),$AD925="TRUE"),0,1))</f>
        <v/>
      </c>
      <c r="AL925">
        <f>IF($AI925=1,IFERROR(IF(VALUE($C925)&lt;100000000,VALUE($C925),1000000000),IFERROR(IF(VALUE(MID($C925,2,20))&lt;100000000,VALUE(MID($C925,2,20)),1000000000),1000000000))+ROW()/100000,"")</f>
        <v/>
      </c>
    </row>
    <row r="926">
      <c r="J926" s="7" t="n"/>
      <c r="K926" s="7" t="n"/>
      <c r="R926" s="7">
        <f>IF($C926="","",Q926*AC926/100)</f>
        <v/>
      </c>
      <c r="S926" s="11" t="n"/>
      <c r="U926" s="11" t="n"/>
      <c r="AA926" s="7" t="n"/>
      <c r="AC926" s="7" t="n"/>
      <c r="AE926">
        <f>IF($C926="","",IF($AK926=1,Settings!$C$6,Settings!$C$7)*1)</f>
        <v/>
      </c>
      <c r="AF926" s="7">
        <f>IF($C926="","",AE926*AC926)</f>
        <v/>
      </c>
      <c r="AG926" s="7">
        <f>IF($C926="","",AC926-AF926)</f>
        <v/>
      </c>
      <c r="AH926" s="7">
        <f>IF($C926="","",AG926-R926)</f>
        <v/>
      </c>
      <c r="AI926">
        <f>IF($C926="","",IF(COUNTIF($C$2:$C926,$C926)=1,1,0))</f>
        <v/>
      </c>
      <c r="AJ926">
        <f>IF($AI926=1,SUMPRODUCT(--($AL$2:$AL$1501&lt;$AL926))+1,"")</f>
        <v/>
      </c>
      <c r="AK926">
        <f>IF($C926="","",IF(OR($AD926=TRUE(),$AD926="TRUE"),0,1))</f>
        <v/>
      </c>
      <c r="AL926">
        <f>IF($AI926=1,IFERROR(IF(VALUE($C926)&lt;100000000,VALUE($C926),1000000000),IFERROR(IF(VALUE(MID($C926,2,20))&lt;100000000,VALUE(MID($C926,2,20)),1000000000),1000000000))+ROW()/100000,"")</f>
        <v/>
      </c>
    </row>
    <row r="927">
      <c r="J927" s="7" t="n"/>
      <c r="K927" s="7" t="n"/>
      <c r="R927" s="7">
        <f>IF($C927="","",Q927*AC927/100)</f>
        <v/>
      </c>
      <c r="S927" s="11" t="n"/>
      <c r="U927" s="11" t="n"/>
      <c r="AA927" s="7" t="n"/>
      <c r="AC927" s="7" t="n"/>
      <c r="AE927">
        <f>IF($C927="","",IF($AK927=1,Settings!$C$6,Settings!$C$7)*1)</f>
        <v/>
      </c>
      <c r="AF927" s="7">
        <f>IF($C927="","",AE927*AC927)</f>
        <v/>
      </c>
      <c r="AG927" s="7">
        <f>IF($C927="","",AC927-AF927)</f>
        <v/>
      </c>
      <c r="AH927" s="7">
        <f>IF($C927="","",AG927-R927)</f>
        <v/>
      </c>
      <c r="AI927">
        <f>IF($C927="","",IF(COUNTIF($C$2:$C927,$C927)=1,1,0))</f>
        <v/>
      </c>
      <c r="AJ927">
        <f>IF($AI927=1,SUMPRODUCT(--($AL$2:$AL$1501&lt;$AL927))+1,"")</f>
        <v/>
      </c>
      <c r="AK927">
        <f>IF($C927="","",IF(OR($AD927=TRUE(),$AD927="TRUE"),0,1))</f>
        <v/>
      </c>
      <c r="AL927">
        <f>IF($AI927=1,IFERROR(IF(VALUE($C927)&lt;100000000,VALUE($C927),1000000000),IFERROR(IF(VALUE(MID($C927,2,20))&lt;100000000,VALUE(MID($C927,2,20)),1000000000),1000000000))+ROW()/100000,"")</f>
        <v/>
      </c>
    </row>
    <row r="928">
      <c r="J928" s="7" t="n"/>
      <c r="K928" s="7" t="n"/>
      <c r="R928" s="7">
        <f>IF($C928="","",Q928*AC928/100)</f>
        <v/>
      </c>
      <c r="S928" s="11" t="n"/>
      <c r="U928" s="11" t="n"/>
      <c r="AA928" s="7" t="n"/>
      <c r="AC928" s="7" t="n"/>
      <c r="AE928">
        <f>IF($C928="","",IF($AK928=1,Settings!$C$6,Settings!$C$7)*1)</f>
        <v/>
      </c>
      <c r="AF928" s="7">
        <f>IF($C928="","",AE928*AC928)</f>
        <v/>
      </c>
      <c r="AG928" s="7">
        <f>IF($C928="","",AC928-AF928)</f>
        <v/>
      </c>
      <c r="AH928" s="7">
        <f>IF($C928="","",AG928-R928)</f>
        <v/>
      </c>
      <c r="AI928">
        <f>IF($C928="","",IF(COUNTIF($C$2:$C928,$C928)=1,1,0))</f>
        <v/>
      </c>
      <c r="AJ928">
        <f>IF($AI928=1,SUMPRODUCT(--($AL$2:$AL$1501&lt;$AL928))+1,"")</f>
        <v/>
      </c>
      <c r="AK928">
        <f>IF($C928="","",IF(OR($AD928=TRUE(),$AD928="TRUE"),0,1))</f>
        <v/>
      </c>
      <c r="AL928">
        <f>IF($AI928=1,IFERROR(IF(VALUE($C928)&lt;100000000,VALUE($C928),1000000000),IFERROR(IF(VALUE(MID($C928,2,20))&lt;100000000,VALUE(MID($C928,2,20)),1000000000),1000000000))+ROW()/100000,"")</f>
        <v/>
      </c>
    </row>
    <row r="929">
      <c r="J929" s="7" t="n"/>
      <c r="K929" s="7" t="n"/>
      <c r="R929" s="7">
        <f>IF($C929="","",Q929*AC929/100)</f>
        <v/>
      </c>
      <c r="S929" s="11" t="n"/>
      <c r="U929" s="11" t="n"/>
      <c r="AA929" s="7" t="n"/>
      <c r="AC929" s="7" t="n"/>
      <c r="AE929">
        <f>IF($C929="","",IF($AK929=1,Settings!$C$6,Settings!$C$7)*1)</f>
        <v/>
      </c>
      <c r="AF929" s="7">
        <f>IF($C929="","",AE929*AC929)</f>
        <v/>
      </c>
      <c r="AG929" s="7">
        <f>IF($C929="","",AC929-AF929)</f>
        <v/>
      </c>
      <c r="AH929" s="7">
        <f>IF($C929="","",AG929-R929)</f>
        <v/>
      </c>
      <c r="AI929">
        <f>IF($C929="","",IF(COUNTIF($C$2:$C929,$C929)=1,1,0))</f>
        <v/>
      </c>
      <c r="AJ929">
        <f>IF($AI929=1,SUMPRODUCT(--($AL$2:$AL$1501&lt;$AL929))+1,"")</f>
        <v/>
      </c>
      <c r="AK929">
        <f>IF($C929="","",IF(OR($AD929=TRUE(),$AD929="TRUE"),0,1))</f>
        <v/>
      </c>
      <c r="AL929">
        <f>IF($AI929=1,IFERROR(IF(VALUE($C929)&lt;100000000,VALUE($C929),1000000000),IFERROR(IF(VALUE(MID($C929,2,20))&lt;100000000,VALUE(MID($C929,2,20)),1000000000),1000000000))+ROW()/100000,"")</f>
        <v/>
      </c>
    </row>
    <row r="930">
      <c r="J930" s="7" t="n"/>
      <c r="K930" s="7" t="n"/>
      <c r="R930" s="7">
        <f>IF($C930="","",Q930*AC930/100)</f>
        <v/>
      </c>
      <c r="S930" s="11" t="n"/>
      <c r="U930" s="11" t="n"/>
      <c r="AA930" s="7" t="n"/>
      <c r="AC930" s="7" t="n"/>
      <c r="AE930">
        <f>IF($C930="","",IF($AK930=1,Settings!$C$6,Settings!$C$7)*1)</f>
        <v/>
      </c>
      <c r="AF930" s="7">
        <f>IF($C930="","",AE930*AC930)</f>
        <v/>
      </c>
      <c r="AG930" s="7">
        <f>IF($C930="","",AC930-AF930)</f>
        <v/>
      </c>
      <c r="AH930" s="7">
        <f>IF($C930="","",AG930-R930)</f>
        <v/>
      </c>
      <c r="AI930">
        <f>IF($C930="","",IF(COUNTIF($C$2:$C930,$C930)=1,1,0))</f>
        <v/>
      </c>
      <c r="AJ930">
        <f>IF($AI930=1,SUMPRODUCT(--($AL$2:$AL$1501&lt;$AL930))+1,"")</f>
        <v/>
      </c>
      <c r="AK930">
        <f>IF($C930="","",IF(OR($AD930=TRUE(),$AD930="TRUE"),0,1))</f>
        <v/>
      </c>
      <c r="AL930">
        <f>IF($AI930=1,IFERROR(IF(VALUE($C930)&lt;100000000,VALUE($C930),1000000000),IFERROR(IF(VALUE(MID($C930,2,20))&lt;100000000,VALUE(MID($C930,2,20)),1000000000),1000000000))+ROW()/100000,"")</f>
        <v/>
      </c>
    </row>
    <row r="931">
      <c r="J931" s="7" t="n"/>
      <c r="K931" s="7" t="n"/>
      <c r="R931" s="7">
        <f>IF($C931="","",Q931*AC931/100)</f>
        <v/>
      </c>
      <c r="S931" s="11" t="n"/>
      <c r="U931" s="11" t="n"/>
      <c r="AA931" s="7" t="n"/>
      <c r="AC931" s="7" t="n"/>
      <c r="AE931">
        <f>IF($C931="","",IF($AK931=1,Settings!$C$6,Settings!$C$7)*1)</f>
        <v/>
      </c>
      <c r="AF931" s="7">
        <f>IF($C931="","",AE931*AC931)</f>
        <v/>
      </c>
      <c r="AG931" s="7">
        <f>IF($C931="","",AC931-AF931)</f>
        <v/>
      </c>
      <c r="AH931" s="7">
        <f>IF($C931="","",AG931-R931)</f>
        <v/>
      </c>
      <c r="AI931">
        <f>IF($C931="","",IF(COUNTIF($C$2:$C931,$C931)=1,1,0))</f>
        <v/>
      </c>
      <c r="AJ931">
        <f>IF($AI931=1,SUMPRODUCT(--($AL$2:$AL$1501&lt;$AL931))+1,"")</f>
        <v/>
      </c>
      <c r="AK931">
        <f>IF($C931="","",IF(OR($AD931=TRUE(),$AD931="TRUE"),0,1))</f>
        <v/>
      </c>
      <c r="AL931">
        <f>IF($AI931=1,IFERROR(IF(VALUE($C931)&lt;100000000,VALUE($C931),1000000000),IFERROR(IF(VALUE(MID($C931,2,20))&lt;100000000,VALUE(MID($C931,2,20)),1000000000),1000000000))+ROW()/100000,"")</f>
        <v/>
      </c>
    </row>
    <row r="932">
      <c r="J932" s="7" t="n"/>
      <c r="K932" s="7" t="n"/>
      <c r="R932" s="7">
        <f>IF($C932="","",Q932*AC932/100)</f>
        <v/>
      </c>
      <c r="S932" s="11" t="n"/>
      <c r="U932" s="11" t="n"/>
      <c r="AA932" s="7" t="n"/>
      <c r="AC932" s="7" t="n"/>
      <c r="AE932">
        <f>IF($C932="","",IF($AK932=1,Settings!$C$6,Settings!$C$7)*1)</f>
        <v/>
      </c>
      <c r="AF932" s="7">
        <f>IF($C932="","",AE932*AC932)</f>
        <v/>
      </c>
      <c r="AG932" s="7">
        <f>IF($C932="","",AC932-AF932)</f>
        <v/>
      </c>
      <c r="AH932" s="7">
        <f>IF($C932="","",AG932-R932)</f>
        <v/>
      </c>
      <c r="AI932">
        <f>IF($C932="","",IF(COUNTIF($C$2:$C932,$C932)=1,1,0))</f>
        <v/>
      </c>
      <c r="AJ932">
        <f>IF($AI932=1,SUMPRODUCT(--($AL$2:$AL$1501&lt;$AL932))+1,"")</f>
        <v/>
      </c>
      <c r="AK932">
        <f>IF($C932="","",IF(OR($AD932=TRUE(),$AD932="TRUE"),0,1))</f>
        <v/>
      </c>
      <c r="AL932">
        <f>IF($AI932=1,IFERROR(IF(VALUE($C932)&lt;100000000,VALUE($C932),1000000000),IFERROR(IF(VALUE(MID($C932,2,20))&lt;100000000,VALUE(MID($C932,2,20)),1000000000),1000000000))+ROW()/100000,"")</f>
        <v/>
      </c>
    </row>
    <row r="933">
      <c r="J933" s="7" t="n"/>
      <c r="K933" s="7" t="n"/>
      <c r="R933" s="7">
        <f>IF($C933="","",Q933*AC933/100)</f>
        <v/>
      </c>
      <c r="S933" s="11" t="n"/>
      <c r="U933" s="11" t="n"/>
      <c r="AA933" s="7" t="n"/>
      <c r="AC933" s="7" t="n"/>
      <c r="AE933">
        <f>IF($C933="","",IF($AK933=1,Settings!$C$6,Settings!$C$7)*1)</f>
        <v/>
      </c>
      <c r="AF933" s="7">
        <f>IF($C933="","",AE933*AC933)</f>
        <v/>
      </c>
      <c r="AG933" s="7">
        <f>IF($C933="","",AC933-AF933)</f>
        <v/>
      </c>
      <c r="AH933" s="7">
        <f>IF($C933="","",AG933-R933)</f>
        <v/>
      </c>
      <c r="AI933">
        <f>IF($C933="","",IF(COUNTIF($C$2:$C933,$C933)=1,1,0))</f>
        <v/>
      </c>
      <c r="AJ933">
        <f>IF($AI933=1,SUMPRODUCT(--($AL$2:$AL$1501&lt;$AL933))+1,"")</f>
        <v/>
      </c>
      <c r="AK933">
        <f>IF($C933="","",IF(OR($AD933=TRUE(),$AD933="TRUE"),0,1))</f>
        <v/>
      </c>
      <c r="AL933">
        <f>IF($AI933=1,IFERROR(IF(VALUE($C933)&lt;100000000,VALUE($C933),1000000000),IFERROR(IF(VALUE(MID($C933,2,20))&lt;100000000,VALUE(MID($C933,2,20)),1000000000),1000000000))+ROW()/100000,"")</f>
        <v/>
      </c>
    </row>
    <row r="934">
      <c r="J934" s="7" t="n"/>
      <c r="K934" s="7" t="n"/>
      <c r="R934" s="7">
        <f>IF($C934="","",Q934*AC934/100)</f>
        <v/>
      </c>
      <c r="S934" s="11" t="n"/>
      <c r="U934" s="11" t="n"/>
      <c r="AA934" s="7" t="n"/>
      <c r="AC934" s="7" t="n"/>
      <c r="AE934">
        <f>IF($C934="","",IF($AK934=1,Settings!$C$6,Settings!$C$7)*1)</f>
        <v/>
      </c>
      <c r="AF934" s="7">
        <f>IF($C934="","",AE934*AC934)</f>
        <v/>
      </c>
      <c r="AG934" s="7">
        <f>IF($C934="","",AC934-AF934)</f>
        <v/>
      </c>
      <c r="AH934" s="7">
        <f>IF($C934="","",AG934-R934)</f>
        <v/>
      </c>
      <c r="AI934">
        <f>IF($C934="","",IF(COUNTIF($C$2:$C934,$C934)=1,1,0))</f>
        <v/>
      </c>
      <c r="AJ934">
        <f>IF($AI934=1,SUMPRODUCT(--($AL$2:$AL$1501&lt;$AL934))+1,"")</f>
        <v/>
      </c>
      <c r="AK934">
        <f>IF($C934="","",IF(OR($AD934=TRUE(),$AD934="TRUE"),0,1))</f>
        <v/>
      </c>
      <c r="AL934">
        <f>IF($AI934=1,IFERROR(IF(VALUE($C934)&lt;100000000,VALUE($C934),1000000000),IFERROR(IF(VALUE(MID($C934,2,20))&lt;100000000,VALUE(MID($C934,2,20)),1000000000),1000000000))+ROW()/100000,"")</f>
        <v/>
      </c>
    </row>
    <row r="935">
      <c r="J935" s="7" t="n"/>
      <c r="K935" s="7" t="n"/>
      <c r="R935" s="7">
        <f>IF($C935="","",Q935*AC935/100)</f>
        <v/>
      </c>
      <c r="S935" s="11" t="n"/>
      <c r="U935" s="11" t="n"/>
      <c r="AA935" s="7" t="n"/>
      <c r="AC935" s="7" t="n"/>
      <c r="AE935">
        <f>IF($C935="","",IF($AK935=1,Settings!$C$6,Settings!$C$7)*1)</f>
        <v/>
      </c>
      <c r="AF935" s="7">
        <f>IF($C935="","",AE935*AC935)</f>
        <v/>
      </c>
      <c r="AG935" s="7">
        <f>IF($C935="","",AC935-AF935)</f>
        <v/>
      </c>
      <c r="AH935" s="7">
        <f>IF($C935="","",AG935-R935)</f>
        <v/>
      </c>
      <c r="AI935">
        <f>IF($C935="","",IF(COUNTIF($C$2:$C935,$C935)=1,1,0))</f>
        <v/>
      </c>
      <c r="AJ935">
        <f>IF($AI935=1,SUMPRODUCT(--($AL$2:$AL$1501&lt;$AL935))+1,"")</f>
        <v/>
      </c>
      <c r="AK935">
        <f>IF($C935="","",IF(OR($AD935=TRUE(),$AD935="TRUE"),0,1))</f>
        <v/>
      </c>
      <c r="AL935">
        <f>IF($AI935=1,IFERROR(IF(VALUE($C935)&lt;100000000,VALUE($C935),1000000000),IFERROR(IF(VALUE(MID($C935,2,20))&lt;100000000,VALUE(MID($C935,2,20)),1000000000),1000000000))+ROW()/100000,"")</f>
        <v/>
      </c>
    </row>
    <row r="936">
      <c r="J936" s="7" t="n"/>
      <c r="K936" s="7" t="n"/>
      <c r="R936" s="7">
        <f>IF($C936="","",Q936*AC936/100)</f>
        <v/>
      </c>
      <c r="S936" s="11" t="n"/>
      <c r="U936" s="11" t="n"/>
      <c r="AA936" s="7" t="n"/>
      <c r="AC936" s="7" t="n"/>
      <c r="AE936">
        <f>IF($C936="","",IF($AK936=1,Settings!$C$6,Settings!$C$7)*1)</f>
        <v/>
      </c>
      <c r="AF936" s="7">
        <f>IF($C936="","",AE936*AC936)</f>
        <v/>
      </c>
      <c r="AG936" s="7">
        <f>IF($C936="","",AC936-AF936)</f>
        <v/>
      </c>
      <c r="AH936" s="7">
        <f>IF($C936="","",AG936-R936)</f>
        <v/>
      </c>
      <c r="AI936">
        <f>IF($C936="","",IF(COUNTIF($C$2:$C936,$C936)=1,1,0))</f>
        <v/>
      </c>
      <c r="AJ936">
        <f>IF($AI936=1,SUMPRODUCT(--($AL$2:$AL$1501&lt;$AL936))+1,"")</f>
        <v/>
      </c>
      <c r="AK936">
        <f>IF($C936="","",IF(OR($AD936=TRUE(),$AD936="TRUE"),0,1))</f>
        <v/>
      </c>
      <c r="AL936">
        <f>IF($AI936=1,IFERROR(IF(VALUE($C936)&lt;100000000,VALUE($C936),1000000000),IFERROR(IF(VALUE(MID($C936,2,20))&lt;100000000,VALUE(MID($C936,2,20)),1000000000),1000000000))+ROW()/100000,"")</f>
        <v/>
      </c>
    </row>
    <row r="937">
      <c r="J937" s="7" t="n"/>
      <c r="K937" s="7" t="n"/>
      <c r="R937" s="7">
        <f>IF($C937="","",Q937*AC937/100)</f>
        <v/>
      </c>
      <c r="S937" s="11" t="n"/>
      <c r="U937" s="11" t="n"/>
      <c r="AA937" s="7" t="n"/>
      <c r="AC937" s="7" t="n"/>
      <c r="AE937">
        <f>IF($C937="","",IF($AK937=1,Settings!$C$6,Settings!$C$7)*1)</f>
        <v/>
      </c>
      <c r="AF937" s="7">
        <f>IF($C937="","",AE937*AC937)</f>
        <v/>
      </c>
      <c r="AG937" s="7">
        <f>IF($C937="","",AC937-AF937)</f>
        <v/>
      </c>
      <c r="AH937" s="7">
        <f>IF($C937="","",AG937-R937)</f>
        <v/>
      </c>
      <c r="AI937">
        <f>IF($C937="","",IF(COUNTIF($C$2:$C937,$C937)=1,1,0))</f>
        <v/>
      </c>
      <c r="AJ937">
        <f>IF($AI937=1,SUMPRODUCT(--($AL$2:$AL$1501&lt;$AL937))+1,"")</f>
        <v/>
      </c>
      <c r="AK937">
        <f>IF($C937="","",IF(OR($AD937=TRUE(),$AD937="TRUE"),0,1))</f>
        <v/>
      </c>
      <c r="AL937">
        <f>IF($AI937=1,IFERROR(IF(VALUE($C937)&lt;100000000,VALUE($C937),1000000000),IFERROR(IF(VALUE(MID($C937,2,20))&lt;100000000,VALUE(MID($C937,2,20)),1000000000),1000000000))+ROW()/100000,"")</f>
        <v/>
      </c>
    </row>
    <row r="938">
      <c r="J938" s="7" t="n"/>
      <c r="K938" s="7" t="n"/>
      <c r="R938" s="7">
        <f>IF($C938="","",Q938*AC938/100)</f>
        <v/>
      </c>
      <c r="S938" s="11" t="n"/>
      <c r="U938" s="11" t="n"/>
      <c r="AA938" s="7" t="n"/>
      <c r="AC938" s="7" t="n"/>
      <c r="AE938">
        <f>IF($C938="","",IF($AK938=1,Settings!$C$6,Settings!$C$7)*1)</f>
        <v/>
      </c>
      <c r="AF938" s="7">
        <f>IF($C938="","",AE938*AC938)</f>
        <v/>
      </c>
      <c r="AG938" s="7">
        <f>IF($C938="","",AC938-AF938)</f>
        <v/>
      </c>
      <c r="AH938" s="7">
        <f>IF($C938="","",AG938-R938)</f>
        <v/>
      </c>
      <c r="AI938">
        <f>IF($C938="","",IF(COUNTIF($C$2:$C938,$C938)=1,1,0))</f>
        <v/>
      </c>
      <c r="AJ938">
        <f>IF($AI938=1,SUMPRODUCT(--($AL$2:$AL$1501&lt;$AL938))+1,"")</f>
        <v/>
      </c>
      <c r="AK938">
        <f>IF($C938="","",IF(OR($AD938=TRUE(),$AD938="TRUE"),0,1))</f>
        <v/>
      </c>
      <c r="AL938">
        <f>IF($AI938=1,IFERROR(IF(VALUE($C938)&lt;100000000,VALUE($C938),1000000000),IFERROR(IF(VALUE(MID($C938,2,20))&lt;100000000,VALUE(MID($C938,2,20)),1000000000),1000000000))+ROW()/100000,"")</f>
        <v/>
      </c>
    </row>
    <row r="939">
      <c r="J939" s="7" t="n"/>
      <c r="K939" s="7" t="n"/>
      <c r="R939" s="7">
        <f>IF($C939="","",Q939*AC939/100)</f>
        <v/>
      </c>
      <c r="S939" s="11" t="n"/>
      <c r="U939" s="11" t="n"/>
      <c r="AA939" s="7" t="n"/>
      <c r="AC939" s="7" t="n"/>
      <c r="AE939">
        <f>IF($C939="","",IF($AK939=1,Settings!$C$6,Settings!$C$7)*1)</f>
        <v/>
      </c>
      <c r="AF939" s="7">
        <f>IF($C939="","",AE939*AC939)</f>
        <v/>
      </c>
      <c r="AG939" s="7">
        <f>IF($C939="","",AC939-AF939)</f>
        <v/>
      </c>
      <c r="AH939" s="7">
        <f>IF($C939="","",AG939-R939)</f>
        <v/>
      </c>
      <c r="AI939">
        <f>IF($C939="","",IF(COUNTIF($C$2:$C939,$C939)=1,1,0))</f>
        <v/>
      </c>
      <c r="AJ939">
        <f>IF($AI939=1,SUMPRODUCT(--($AL$2:$AL$1501&lt;$AL939))+1,"")</f>
        <v/>
      </c>
      <c r="AK939">
        <f>IF($C939="","",IF(OR($AD939=TRUE(),$AD939="TRUE"),0,1))</f>
        <v/>
      </c>
      <c r="AL939">
        <f>IF($AI939=1,IFERROR(IF(VALUE($C939)&lt;100000000,VALUE($C939),1000000000),IFERROR(IF(VALUE(MID($C939,2,20))&lt;100000000,VALUE(MID($C939,2,20)),1000000000),1000000000))+ROW()/100000,"")</f>
        <v/>
      </c>
    </row>
    <row r="940">
      <c r="J940" s="7" t="n"/>
      <c r="K940" s="7" t="n"/>
      <c r="R940" s="7">
        <f>IF($C940="","",Q940*AC940/100)</f>
        <v/>
      </c>
      <c r="S940" s="11" t="n"/>
      <c r="U940" s="11" t="n"/>
      <c r="AA940" s="7" t="n"/>
      <c r="AC940" s="7" t="n"/>
      <c r="AE940">
        <f>IF($C940="","",IF($AK940=1,Settings!$C$6,Settings!$C$7)*1)</f>
        <v/>
      </c>
      <c r="AF940" s="7">
        <f>IF($C940="","",AE940*AC940)</f>
        <v/>
      </c>
      <c r="AG940" s="7">
        <f>IF($C940="","",AC940-AF940)</f>
        <v/>
      </c>
      <c r="AH940" s="7">
        <f>IF($C940="","",AG940-R940)</f>
        <v/>
      </c>
      <c r="AI940">
        <f>IF($C940="","",IF(COUNTIF($C$2:$C940,$C940)=1,1,0))</f>
        <v/>
      </c>
      <c r="AJ940">
        <f>IF($AI940=1,SUMPRODUCT(--($AL$2:$AL$1501&lt;$AL940))+1,"")</f>
        <v/>
      </c>
      <c r="AK940">
        <f>IF($C940="","",IF(OR($AD940=TRUE(),$AD940="TRUE"),0,1))</f>
        <v/>
      </c>
      <c r="AL940">
        <f>IF($AI940=1,IFERROR(IF(VALUE($C940)&lt;100000000,VALUE($C940),1000000000),IFERROR(IF(VALUE(MID($C940,2,20))&lt;100000000,VALUE(MID($C940,2,20)),1000000000),1000000000))+ROW()/100000,"")</f>
        <v/>
      </c>
    </row>
    <row r="941">
      <c r="J941" s="7" t="n"/>
      <c r="K941" s="7" t="n"/>
      <c r="R941" s="7">
        <f>IF($C941="","",Q941*AC941/100)</f>
        <v/>
      </c>
      <c r="S941" s="11" t="n"/>
      <c r="U941" s="11" t="n"/>
      <c r="AA941" s="7" t="n"/>
      <c r="AC941" s="7" t="n"/>
      <c r="AE941">
        <f>IF($C941="","",IF($AK941=1,Settings!$C$6,Settings!$C$7)*1)</f>
        <v/>
      </c>
      <c r="AF941" s="7">
        <f>IF($C941="","",AE941*AC941)</f>
        <v/>
      </c>
      <c r="AG941" s="7">
        <f>IF($C941="","",AC941-AF941)</f>
        <v/>
      </c>
      <c r="AH941" s="7">
        <f>IF($C941="","",AG941-R941)</f>
        <v/>
      </c>
      <c r="AI941">
        <f>IF($C941="","",IF(COUNTIF($C$2:$C941,$C941)=1,1,0))</f>
        <v/>
      </c>
      <c r="AJ941">
        <f>IF($AI941=1,SUMPRODUCT(--($AL$2:$AL$1501&lt;$AL941))+1,"")</f>
        <v/>
      </c>
      <c r="AK941">
        <f>IF($C941="","",IF(OR($AD941=TRUE(),$AD941="TRUE"),0,1))</f>
        <v/>
      </c>
      <c r="AL941">
        <f>IF($AI941=1,IFERROR(IF(VALUE($C941)&lt;100000000,VALUE($C941),1000000000),IFERROR(IF(VALUE(MID($C941,2,20))&lt;100000000,VALUE(MID($C941,2,20)),1000000000),1000000000))+ROW()/100000,"")</f>
        <v/>
      </c>
    </row>
    <row r="942">
      <c r="J942" s="7" t="n"/>
      <c r="K942" s="7" t="n"/>
      <c r="R942" s="7">
        <f>IF($C942="","",Q942*AC942/100)</f>
        <v/>
      </c>
      <c r="S942" s="11" t="n"/>
      <c r="U942" s="11" t="n"/>
      <c r="AA942" s="7" t="n"/>
      <c r="AC942" s="7" t="n"/>
      <c r="AE942">
        <f>IF($C942="","",IF($AK942=1,Settings!$C$6,Settings!$C$7)*1)</f>
        <v/>
      </c>
      <c r="AF942" s="7">
        <f>IF($C942="","",AE942*AC942)</f>
        <v/>
      </c>
      <c r="AG942" s="7">
        <f>IF($C942="","",AC942-AF942)</f>
        <v/>
      </c>
      <c r="AH942" s="7">
        <f>IF($C942="","",AG942-R942)</f>
        <v/>
      </c>
      <c r="AI942">
        <f>IF($C942="","",IF(COUNTIF($C$2:$C942,$C942)=1,1,0))</f>
        <v/>
      </c>
      <c r="AJ942">
        <f>IF($AI942=1,SUMPRODUCT(--($AL$2:$AL$1501&lt;$AL942))+1,"")</f>
        <v/>
      </c>
      <c r="AK942">
        <f>IF($C942="","",IF(OR($AD942=TRUE(),$AD942="TRUE"),0,1))</f>
        <v/>
      </c>
      <c r="AL942">
        <f>IF($AI942=1,IFERROR(IF(VALUE($C942)&lt;100000000,VALUE($C942),1000000000),IFERROR(IF(VALUE(MID($C942,2,20))&lt;100000000,VALUE(MID($C942,2,20)),1000000000),1000000000))+ROW()/100000,"")</f>
        <v/>
      </c>
    </row>
    <row r="943">
      <c r="J943" s="7" t="n"/>
      <c r="K943" s="7" t="n"/>
      <c r="R943" s="7">
        <f>IF($C943="","",Q943*AC943/100)</f>
        <v/>
      </c>
      <c r="S943" s="11" t="n"/>
      <c r="U943" s="11" t="n"/>
      <c r="AA943" s="7" t="n"/>
      <c r="AC943" s="7" t="n"/>
      <c r="AE943">
        <f>IF($C943="","",IF($AK943=1,Settings!$C$6,Settings!$C$7)*1)</f>
        <v/>
      </c>
      <c r="AF943" s="7">
        <f>IF($C943="","",AE943*AC943)</f>
        <v/>
      </c>
      <c r="AG943" s="7">
        <f>IF($C943="","",AC943-AF943)</f>
        <v/>
      </c>
      <c r="AH943" s="7">
        <f>IF($C943="","",AG943-R943)</f>
        <v/>
      </c>
      <c r="AI943">
        <f>IF($C943="","",IF(COUNTIF($C$2:$C943,$C943)=1,1,0))</f>
        <v/>
      </c>
      <c r="AJ943">
        <f>IF($AI943=1,SUMPRODUCT(--($AL$2:$AL$1501&lt;$AL943))+1,"")</f>
        <v/>
      </c>
      <c r="AK943">
        <f>IF($C943="","",IF(OR($AD943=TRUE(),$AD943="TRUE"),0,1))</f>
        <v/>
      </c>
      <c r="AL943">
        <f>IF($AI943=1,IFERROR(IF(VALUE($C943)&lt;100000000,VALUE($C943),1000000000),IFERROR(IF(VALUE(MID($C943,2,20))&lt;100000000,VALUE(MID($C943,2,20)),1000000000),1000000000))+ROW()/100000,"")</f>
        <v/>
      </c>
    </row>
    <row r="944">
      <c r="J944" s="7" t="n"/>
      <c r="K944" s="7" t="n"/>
      <c r="R944" s="7">
        <f>IF($C944="","",Q944*AC944/100)</f>
        <v/>
      </c>
      <c r="S944" s="11" t="n"/>
      <c r="U944" s="11" t="n"/>
      <c r="AA944" s="7" t="n"/>
      <c r="AC944" s="7" t="n"/>
      <c r="AE944">
        <f>IF($C944="","",IF($AK944=1,Settings!$C$6,Settings!$C$7)*1)</f>
        <v/>
      </c>
      <c r="AF944" s="7">
        <f>IF($C944="","",AE944*AC944)</f>
        <v/>
      </c>
      <c r="AG944" s="7">
        <f>IF($C944="","",AC944-AF944)</f>
        <v/>
      </c>
      <c r="AH944" s="7">
        <f>IF($C944="","",AG944-R944)</f>
        <v/>
      </c>
      <c r="AI944">
        <f>IF($C944="","",IF(COUNTIF($C$2:$C944,$C944)=1,1,0))</f>
        <v/>
      </c>
      <c r="AJ944">
        <f>IF($AI944=1,SUMPRODUCT(--($AL$2:$AL$1501&lt;$AL944))+1,"")</f>
        <v/>
      </c>
      <c r="AK944">
        <f>IF($C944="","",IF(OR($AD944=TRUE(),$AD944="TRUE"),0,1))</f>
        <v/>
      </c>
      <c r="AL944">
        <f>IF($AI944=1,IFERROR(IF(VALUE($C944)&lt;100000000,VALUE($C944),1000000000),IFERROR(IF(VALUE(MID($C944,2,20))&lt;100000000,VALUE(MID($C944,2,20)),1000000000),1000000000))+ROW()/100000,"")</f>
        <v/>
      </c>
    </row>
    <row r="945">
      <c r="J945" s="7" t="n"/>
      <c r="K945" s="7" t="n"/>
      <c r="R945" s="7">
        <f>IF($C945="","",Q945*AC945/100)</f>
        <v/>
      </c>
      <c r="S945" s="11" t="n"/>
      <c r="U945" s="11" t="n"/>
      <c r="AA945" s="7" t="n"/>
      <c r="AC945" s="7" t="n"/>
      <c r="AE945">
        <f>IF($C945="","",IF($AK945=1,Settings!$C$6,Settings!$C$7)*1)</f>
        <v/>
      </c>
      <c r="AF945" s="7">
        <f>IF($C945="","",AE945*AC945)</f>
        <v/>
      </c>
      <c r="AG945" s="7">
        <f>IF($C945="","",AC945-AF945)</f>
        <v/>
      </c>
      <c r="AH945" s="7">
        <f>IF($C945="","",AG945-R945)</f>
        <v/>
      </c>
      <c r="AI945">
        <f>IF($C945="","",IF(COUNTIF($C$2:$C945,$C945)=1,1,0))</f>
        <v/>
      </c>
      <c r="AJ945">
        <f>IF($AI945=1,SUMPRODUCT(--($AL$2:$AL$1501&lt;$AL945))+1,"")</f>
        <v/>
      </c>
      <c r="AK945">
        <f>IF($C945="","",IF(OR($AD945=TRUE(),$AD945="TRUE"),0,1))</f>
        <v/>
      </c>
      <c r="AL945">
        <f>IF($AI945=1,IFERROR(IF(VALUE($C945)&lt;100000000,VALUE($C945),1000000000),IFERROR(IF(VALUE(MID($C945,2,20))&lt;100000000,VALUE(MID($C945,2,20)),1000000000),1000000000))+ROW()/100000,"")</f>
        <v/>
      </c>
    </row>
    <row r="946">
      <c r="J946" s="7" t="n"/>
      <c r="K946" s="7" t="n"/>
      <c r="R946" s="7">
        <f>IF($C946="","",Q946*AC946/100)</f>
        <v/>
      </c>
      <c r="S946" s="11" t="n"/>
      <c r="U946" s="11" t="n"/>
      <c r="AA946" s="7" t="n"/>
      <c r="AC946" s="7" t="n"/>
      <c r="AE946">
        <f>IF($C946="","",IF($AK946=1,Settings!$C$6,Settings!$C$7)*1)</f>
        <v/>
      </c>
      <c r="AF946" s="7">
        <f>IF($C946="","",AE946*AC946)</f>
        <v/>
      </c>
      <c r="AG946" s="7">
        <f>IF($C946="","",AC946-AF946)</f>
        <v/>
      </c>
      <c r="AH946" s="7">
        <f>IF($C946="","",AG946-R946)</f>
        <v/>
      </c>
      <c r="AI946">
        <f>IF($C946="","",IF(COUNTIF($C$2:$C946,$C946)=1,1,0))</f>
        <v/>
      </c>
      <c r="AJ946">
        <f>IF($AI946=1,SUMPRODUCT(--($AL$2:$AL$1501&lt;$AL946))+1,"")</f>
        <v/>
      </c>
      <c r="AK946">
        <f>IF($C946="","",IF(OR($AD946=TRUE(),$AD946="TRUE"),0,1))</f>
        <v/>
      </c>
      <c r="AL946">
        <f>IF($AI946=1,IFERROR(IF(VALUE($C946)&lt;100000000,VALUE($C946),1000000000),IFERROR(IF(VALUE(MID($C946,2,20))&lt;100000000,VALUE(MID($C946,2,20)),1000000000),1000000000))+ROW()/100000,"")</f>
        <v/>
      </c>
    </row>
    <row r="947">
      <c r="J947" s="7" t="n"/>
      <c r="K947" s="7" t="n"/>
      <c r="R947" s="7">
        <f>IF($C947="","",Q947*AC947/100)</f>
        <v/>
      </c>
      <c r="S947" s="11" t="n"/>
      <c r="U947" s="11" t="n"/>
      <c r="AA947" s="7" t="n"/>
      <c r="AC947" s="7" t="n"/>
      <c r="AE947">
        <f>IF($C947="","",IF($AK947=1,Settings!$C$6,Settings!$C$7)*1)</f>
        <v/>
      </c>
      <c r="AF947" s="7">
        <f>IF($C947="","",AE947*AC947)</f>
        <v/>
      </c>
      <c r="AG947" s="7">
        <f>IF($C947="","",AC947-AF947)</f>
        <v/>
      </c>
      <c r="AH947" s="7">
        <f>IF($C947="","",AG947-R947)</f>
        <v/>
      </c>
      <c r="AI947">
        <f>IF($C947="","",IF(COUNTIF($C$2:$C947,$C947)=1,1,0))</f>
        <v/>
      </c>
      <c r="AJ947">
        <f>IF($AI947=1,SUMPRODUCT(--($AL$2:$AL$1501&lt;$AL947))+1,"")</f>
        <v/>
      </c>
      <c r="AK947">
        <f>IF($C947="","",IF(OR($AD947=TRUE(),$AD947="TRUE"),0,1))</f>
        <v/>
      </c>
      <c r="AL947">
        <f>IF($AI947=1,IFERROR(IF(VALUE($C947)&lt;100000000,VALUE($C947),1000000000),IFERROR(IF(VALUE(MID($C947,2,20))&lt;100000000,VALUE(MID($C947,2,20)),1000000000),1000000000))+ROW()/100000,"")</f>
        <v/>
      </c>
    </row>
    <row r="948">
      <c r="J948" s="7" t="n"/>
      <c r="K948" s="7" t="n"/>
      <c r="R948" s="7">
        <f>IF($C948="","",Q948*AC948/100)</f>
        <v/>
      </c>
      <c r="S948" s="11" t="n"/>
      <c r="U948" s="11" t="n"/>
      <c r="AA948" s="7" t="n"/>
      <c r="AC948" s="7" t="n"/>
      <c r="AE948">
        <f>IF($C948="","",IF($AK948=1,Settings!$C$6,Settings!$C$7)*1)</f>
        <v/>
      </c>
      <c r="AF948" s="7">
        <f>IF($C948="","",AE948*AC948)</f>
        <v/>
      </c>
      <c r="AG948" s="7">
        <f>IF($C948="","",AC948-AF948)</f>
        <v/>
      </c>
      <c r="AH948" s="7">
        <f>IF($C948="","",AG948-R948)</f>
        <v/>
      </c>
      <c r="AI948">
        <f>IF($C948="","",IF(COUNTIF($C$2:$C948,$C948)=1,1,0))</f>
        <v/>
      </c>
      <c r="AJ948">
        <f>IF($AI948=1,SUMPRODUCT(--($AL$2:$AL$1501&lt;$AL948))+1,"")</f>
        <v/>
      </c>
      <c r="AK948">
        <f>IF($C948="","",IF(OR($AD948=TRUE(),$AD948="TRUE"),0,1))</f>
        <v/>
      </c>
      <c r="AL948">
        <f>IF($AI948=1,IFERROR(IF(VALUE($C948)&lt;100000000,VALUE($C948),1000000000),IFERROR(IF(VALUE(MID($C948,2,20))&lt;100000000,VALUE(MID($C948,2,20)),1000000000),1000000000))+ROW()/100000,"")</f>
        <v/>
      </c>
    </row>
    <row r="949">
      <c r="J949" s="7" t="n"/>
      <c r="K949" s="7" t="n"/>
      <c r="R949" s="7">
        <f>IF($C949="","",Q949*AC949/100)</f>
        <v/>
      </c>
      <c r="S949" s="11" t="n"/>
      <c r="U949" s="11" t="n"/>
      <c r="AA949" s="7" t="n"/>
      <c r="AC949" s="7" t="n"/>
      <c r="AE949">
        <f>IF($C949="","",IF($AK949=1,Settings!$C$6,Settings!$C$7)*1)</f>
        <v/>
      </c>
      <c r="AF949" s="7">
        <f>IF($C949="","",AE949*AC949)</f>
        <v/>
      </c>
      <c r="AG949" s="7">
        <f>IF($C949="","",AC949-AF949)</f>
        <v/>
      </c>
      <c r="AH949" s="7">
        <f>IF($C949="","",AG949-R949)</f>
        <v/>
      </c>
      <c r="AI949">
        <f>IF($C949="","",IF(COUNTIF($C$2:$C949,$C949)=1,1,0))</f>
        <v/>
      </c>
      <c r="AJ949">
        <f>IF($AI949=1,SUMPRODUCT(--($AL$2:$AL$1501&lt;$AL949))+1,"")</f>
        <v/>
      </c>
      <c r="AK949">
        <f>IF($C949="","",IF(OR($AD949=TRUE(),$AD949="TRUE"),0,1))</f>
        <v/>
      </c>
      <c r="AL949">
        <f>IF($AI949=1,IFERROR(IF(VALUE($C949)&lt;100000000,VALUE($C949),1000000000),IFERROR(IF(VALUE(MID($C949,2,20))&lt;100000000,VALUE(MID($C949,2,20)),1000000000),1000000000))+ROW()/100000,"")</f>
        <v/>
      </c>
    </row>
    <row r="950">
      <c r="J950" s="7" t="n"/>
      <c r="K950" s="7" t="n"/>
      <c r="R950" s="7">
        <f>IF($C950="","",Q950*AC950/100)</f>
        <v/>
      </c>
      <c r="S950" s="11" t="n"/>
      <c r="U950" s="11" t="n"/>
      <c r="AA950" s="7" t="n"/>
      <c r="AC950" s="7" t="n"/>
      <c r="AE950">
        <f>IF($C950="","",IF($AK950=1,Settings!$C$6,Settings!$C$7)*1)</f>
        <v/>
      </c>
      <c r="AF950" s="7">
        <f>IF($C950="","",AE950*AC950)</f>
        <v/>
      </c>
      <c r="AG950" s="7">
        <f>IF($C950="","",AC950-AF950)</f>
        <v/>
      </c>
      <c r="AH950" s="7">
        <f>IF($C950="","",AG950-R950)</f>
        <v/>
      </c>
      <c r="AI950">
        <f>IF($C950="","",IF(COUNTIF($C$2:$C950,$C950)=1,1,0))</f>
        <v/>
      </c>
      <c r="AJ950">
        <f>IF($AI950=1,SUMPRODUCT(--($AL$2:$AL$1501&lt;$AL950))+1,"")</f>
        <v/>
      </c>
      <c r="AK950">
        <f>IF($C950="","",IF(OR($AD950=TRUE(),$AD950="TRUE"),0,1))</f>
        <v/>
      </c>
      <c r="AL950">
        <f>IF($AI950=1,IFERROR(IF(VALUE($C950)&lt;100000000,VALUE($C950),1000000000),IFERROR(IF(VALUE(MID($C950,2,20))&lt;100000000,VALUE(MID($C950,2,20)),1000000000),1000000000))+ROW()/100000,"")</f>
        <v/>
      </c>
    </row>
    <row r="951">
      <c r="J951" s="7" t="n"/>
      <c r="K951" s="7" t="n"/>
      <c r="R951" s="7">
        <f>IF($C951="","",Q951*AC951/100)</f>
        <v/>
      </c>
      <c r="S951" s="11" t="n"/>
      <c r="U951" s="11" t="n"/>
      <c r="AA951" s="7" t="n"/>
      <c r="AC951" s="7" t="n"/>
      <c r="AE951">
        <f>IF($C951="","",IF($AK951=1,Settings!$C$6,Settings!$C$7)*1)</f>
        <v/>
      </c>
      <c r="AF951" s="7">
        <f>IF($C951="","",AE951*AC951)</f>
        <v/>
      </c>
      <c r="AG951" s="7">
        <f>IF($C951="","",AC951-AF951)</f>
        <v/>
      </c>
      <c r="AH951" s="7">
        <f>IF($C951="","",AG951-R951)</f>
        <v/>
      </c>
      <c r="AI951">
        <f>IF($C951="","",IF(COUNTIF($C$2:$C951,$C951)=1,1,0))</f>
        <v/>
      </c>
      <c r="AJ951">
        <f>IF($AI951=1,SUMPRODUCT(--($AL$2:$AL$1501&lt;$AL951))+1,"")</f>
        <v/>
      </c>
      <c r="AK951">
        <f>IF($C951="","",IF(OR($AD951=TRUE(),$AD951="TRUE"),0,1))</f>
        <v/>
      </c>
      <c r="AL951">
        <f>IF($AI951=1,IFERROR(IF(VALUE($C951)&lt;100000000,VALUE($C951),1000000000),IFERROR(IF(VALUE(MID($C951,2,20))&lt;100000000,VALUE(MID($C951,2,20)),1000000000),1000000000))+ROW()/100000,"")</f>
        <v/>
      </c>
    </row>
    <row r="952">
      <c r="J952" s="7" t="n"/>
      <c r="K952" s="7" t="n"/>
      <c r="R952" s="7">
        <f>IF($C952="","",Q952*AC952/100)</f>
        <v/>
      </c>
      <c r="S952" s="11" t="n"/>
      <c r="U952" s="11" t="n"/>
      <c r="AA952" s="7" t="n"/>
      <c r="AC952" s="7" t="n"/>
      <c r="AE952">
        <f>IF($C952="","",IF($AK952=1,Settings!$C$6,Settings!$C$7)*1)</f>
        <v/>
      </c>
      <c r="AF952" s="7">
        <f>IF($C952="","",AE952*AC952)</f>
        <v/>
      </c>
      <c r="AG952" s="7">
        <f>IF($C952="","",AC952-AF952)</f>
        <v/>
      </c>
      <c r="AH952" s="7">
        <f>IF($C952="","",AG952-R952)</f>
        <v/>
      </c>
      <c r="AI952">
        <f>IF($C952="","",IF(COUNTIF($C$2:$C952,$C952)=1,1,0))</f>
        <v/>
      </c>
      <c r="AJ952">
        <f>IF($AI952=1,SUMPRODUCT(--($AL$2:$AL$1501&lt;$AL952))+1,"")</f>
        <v/>
      </c>
      <c r="AK952">
        <f>IF($C952="","",IF(OR($AD952=TRUE(),$AD952="TRUE"),0,1))</f>
        <v/>
      </c>
      <c r="AL952">
        <f>IF($AI952=1,IFERROR(IF(VALUE($C952)&lt;100000000,VALUE($C952),1000000000),IFERROR(IF(VALUE(MID($C952,2,20))&lt;100000000,VALUE(MID($C952,2,20)),1000000000),1000000000))+ROW()/100000,"")</f>
        <v/>
      </c>
    </row>
    <row r="953">
      <c r="J953" s="7" t="n"/>
      <c r="K953" s="7" t="n"/>
      <c r="R953" s="7">
        <f>IF($C953="","",Q953*AC953/100)</f>
        <v/>
      </c>
      <c r="S953" s="11" t="n"/>
      <c r="U953" s="11" t="n"/>
      <c r="AA953" s="7" t="n"/>
      <c r="AC953" s="7" t="n"/>
      <c r="AE953">
        <f>IF($C953="","",IF($AK953=1,Settings!$C$6,Settings!$C$7)*1)</f>
        <v/>
      </c>
      <c r="AF953" s="7">
        <f>IF($C953="","",AE953*AC953)</f>
        <v/>
      </c>
      <c r="AG953" s="7">
        <f>IF($C953="","",AC953-AF953)</f>
        <v/>
      </c>
      <c r="AH953" s="7">
        <f>IF($C953="","",AG953-R953)</f>
        <v/>
      </c>
      <c r="AI953">
        <f>IF($C953="","",IF(COUNTIF($C$2:$C953,$C953)=1,1,0))</f>
        <v/>
      </c>
      <c r="AJ953">
        <f>IF($AI953=1,SUMPRODUCT(--($AL$2:$AL$1501&lt;$AL953))+1,"")</f>
        <v/>
      </c>
      <c r="AK953">
        <f>IF($C953="","",IF(OR($AD953=TRUE(),$AD953="TRUE"),0,1))</f>
        <v/>
      </c>
      <c r="AL953">
        <f>IF($AI953=1,IFERROR(IF(VALUE($C953)&lt;100000000,VALUE($C953),1000000000),IFERROR(IF(VALUE(MID($C953,2,20))&lt;100000000,VALUE(MID($C953,2,20)),1000000000),1000000000))+ROW()/100000,"")</f>
        <v/>
      </c>
    </row>
    <row r="954">
      <c r="J954" s="7" t="n"/>
      <c r="K954" s="7" t="n"/>
      <c r="R954" s="7">
        <f>IF($C954="","",Q954*AC954/100)</f>
        <v/>
      </c>
      <c r="S954" s="11" t="n"/>
      <c r="U954" s="11" t="n"/>
      <c r="AA954" s="7" t="n"/>
      <c r="AC954" s="7" t="n"/>
      <c r="AE954">
        <f>IF($C954="","",IF($AK954=1,Settings!$C$6,Settings!$C$7)*1)</f>
        <v/>
      </c>
      <c r="AF954" s="7">
        <f>IF($C954="","",AE954*AC954)</f>
        <v/>
      </c>
      <c r="AG954" s="7">
        <f>IF($C954="","",AC954-AF954)</f>
        <v/>
      </c>
      <c r="AH954" s="7">
        <f>IF($C954="","",AG954-R954)</f>
        <v/>
      </c>
      <c r="AI954">
        <f>IF($C954="","",IF(COUNTIF($C$2:$C954,$C954)=1,1,0))</f>
        <v/>
      </c>
      <c r="AJ954">
        <f>IF($AI954=1,SUMPRODUCT(--($AL$2:$AL$1501&lt;$AL954))+1,"")</f>
        <v/>
      </c>
      <c r="AK954">
        <f>IF($C954="","",IF(OR($AD954=TRUE(),$AD954="TRUE"),0,1))</f>
        <v/>
      </c>
      <c r="AL954">
        <f>IF($AI954=1,IFERROR(IF(VALUE($C954)&lt;100000000,VALUE($C954),1000000000),IFERROR(IF(VALUE(MID($C954,2,20))&lt;100000000,VALUE(MID($C954,2,20)),1000000000),1000000000))+ROW()/100000,"")</f>
        <v/>
      </c>
    </row>
    <row r="955">
      <c r="J955" s="7" t="n"/>
      <c r="K955" s="7" t="n"/>
      <c r="R955" s="7">
        <f>IF($C955="","",Q955*AC955/100)</f>
        <v/>
      </c>
      <c r="S955" s="11" t="n"/>
      <c r="U955" s="11" t="n"/>
      <c r="AA955" s="7" t="n"/>
      <c r="AC955" s="7" t="n"/>
      <c r="AE955">
        <f>IF($C955="","",IF($AK955=1,Settings!$C$6,Settings!$C$7)*1)</f>
        <v/>
      </c>
      <c r="AF955" s="7">
        <f>IF($C955="","",AE955*AC955)</f>
        <v/>
      </c>
      <c r="AG955" s="7">
        <f>IF($C955="","",AC955-AF955)</f>
        <v/>
      </c>
      <c r="AH955" s="7">
        <f>IF($C955="","",AG955-R955)</f>
        <v/>
      </c>
      <c r="AI955">
        <f>IF($C955="","",IF(COUNTIF($C$2:$C955,$C955)=1,1,0))</f>
        <v/>
      </c>
      <c r="AJ955">
        <f>IF($AI955=1,SUMPRODUCT(--($AL$2:$AL$1501&lt;$AL955))+1,"")</f>
        <v/>
      </c>
      <c r="AK955">
        <f>IF($C955="","",IF(OR($AD955=TRUE(),$AD955="TRUE"),0,1))</f>
        <v/>
      </c>
      <c r="AL955">
        <f>IF($AI955=1,IFERROR(IF(VALUE($C955)&lt;100000000,VALUE($C955),1000000000),IFERROR(IF(VALUE(MID($C955,2,20))&lt;100000000,VALUE(MID($C955,2,20)),1000000000),1000000000))+ROW()/100000,"")</f>
        <v/>
      </c>
    </row>
    <row r="956">
      <c r="J956" s="7" t="n"/>
      <c r="K956" s="7" t="n"/>
      <c r="R956" s="7">
        <f>IF($C956="","",Q956*AC956/100)</f>
        <v/>
      </c>
      <c r="S956" s="11" t="n"/>
      <c r="U956" s="11" t="n"/>
      <c r="AA956" s="7" t="n"/>
      <c r="AC956" s="7" t="n"/>
      <c r="AE956">
        <f>IF($C956="","",IF($AK956=1,Settings!$C$6,Settings!$C$7)*1)</f>
        <v/>
      </c>
      <c r="AF956" s="7">
        <f>IF($C956="","",AE956*AC956)</f>
        <v/>
      </c>
      <c r="AG956" s="7">
        <f>IF($C956="","",AC956-AF956)</f>
        <v/>
      </c>
      <c r="AH956" s="7">
        <f>IF($C956="","",AG956-R956)</f>
        <v/>
      </c>
      <c r="AI956">
        <f>IF($C956="","",IF(COUNTIF($C$2:$C956,$C956)=1,1,0))</f>
        <v/>
      </c>
      <c r="AJ956">
        <f>IF($AI956=1,SUMPRODUCT(--($AL$2:$AL$1501&lt;$AL956))+1,"")</f>
        <v/>
      </c>
      <c r="AK956">
        <f>IF($C956="","",IF(OR($AD956=TRUE(),$AD956="TRUE"),0,1))</f>
        <v/>
      </c>
      <c r="AL956">
        <f>IF($AI956=1,IFERROR(IF(VALUE($C956)&lt;100000000,VALUE($C956),1000000000),IFERROR(IF(VALUE(MID($C956,2,20))&lt;100000000,VALUE(MID($C956,2,20)),1000000000),1000000000))+ROW()/100000,"")</f>
        <v/>
      </c>
    </row>
    <row r="957">
      <c r="J957" s="7" t="n"/>
      <c r="K957" s="7" t="n"/>
      <c r="R957" s="7">
        <f>IF($C957="","",Q957*AC957/100)</f>
        <v/>
      </c>
      <c r="S957" s="11" t="n"/>
      <c r="U957" s="11" t="n"/>
      <c r="AA957" s="7" t="n"/>
      <c r="AC957" s="7" t="n"/>
      <c r="AE957">
        <f>IF($C957="","",IF($AK957=1,Settings!$C$6,Settings!$C$7)*1)</f>
        <v/>
      </c>
      <c r="AF957" s="7">
        <f>IF($C957="","",AE957*AC957)</f>
        <v/>
      </c>
      <c r="AG957" s="7">
        <f>IF($C957="","",AC957-AF957)</f>
        <v/>
      </c>
      <c r="AH957" s="7">
        <f>IF($C957="","",AG957-R957)</f>
        <v/>
      </c>
      <c r="AI957">
        <f>IF($C957="","",IF(COUNTIF($C$2:$C957,$C957)=1,1,0))</f>
        <v/>
      </c>
      <c r="AJ957">
        <f>IF($AI957=1,SUMPRODUCT(--($AL$2:$AL$1501&lt;$AL957))+1,"")</f>
        <v/>
      </c>
      <c r="AK957">
        <f>IF($C957="","",IF(OR($AD957=TRUE(),$AD957="TRUE"),0,1))</f>
        <v/>
      </c>
      <c r="AL957">
        <f>IF($AI957=1,IFERROR(IF(VALUE($C957)&lt;100000000,VALUE($C957),1000000000),IFERROR(IF(VALUE(MID($C957,2,20))&lt;100000000,VALUE(MID($C957,2,20)),1000000000),1000000000))+ROW()/100000,"")</f>
        <v/>
      </c>
    </row>
    <row r="958">
      <c r="J958" s="7" t="n"/>
      <c r="K958" s="7" t="n"/>
      <c r="R958" s="7">
        <f>IF($C958="","",Q958*AC958/100)</f>
        <v/>
      </c>
      <c r="S958" s="11" t="n"/>
      <c r="U958" s="11" t="n"/>
      <c r="AA958" s="7" t="n"/>
      <c r="AC958" s="7" t="n"/>
      <c r="AE958">
        <f>IF($C958="","",IF($AK958=1,Settings!$C$6,Settings!$C$7)*1)</f>
        <v/>
      </c>
      <c r="AF958" s="7">
        <f>IF($C958="","",AE958*AC958)</f>
        <v/>
      </c>
      <c r="AG958" s="7">
        <f>IF($C958="","",AC958-AF958)</f>
        <v/>
      </c>
      <c r="AH958" s="7">
        <f>IF($C958="","",AG958-R958)</f>
        <v/>
      </c>
      <c r="AI958">
        <f>IF($C958="","",IF(COUNTIF($C$2:$C958,$C958)=1,1,0))</f>
        <v/>
      </c>
      <c r="AJ958">
        <f>IF($AI958=1,SUMPRODUCT(--($AL$2:$AL$1501&lt;$AL958))+1,"")</f>
        <v/>
      </c>
      <c r="AK958">
        <f>IF($C958="","",IF(OR($AD958=TRUE(),$AD958="TRUE"),0,1))</f>
        <v/>
      </c>
      <c r="AL958">
        <f>IF($AI958=1,IFERROR(IF(VALUE($C958)&lt;100000000,VALUE($C958),1000000000),IFERROR(IF(VALUE(MID($C958,2,20))&lt;100000000,VALUE(MID($C958,2,20)),1000000000),1000000000))+ROW()/100000,"")</f>
        <v/>
      </c>
    </row>
    <row r="959">
      <c r="J959" s="7" t="n"/>
      <c r="K959" s="7" t="n"/>
      <c r="R959" s="7">
        <f>IF($C959="","",Q959*AC959/100)</f>
        <v/>
      </c>
      <c r="S959" s="11" t="n"/>
      <c r="U959" s="11" t="n"/>
      <c r="AA959" s="7" t="n"/>
      <c r="AC959" s="7" t="n"/>
      <c r="AE959">
        <f>IF($C959="","",IF($AK959=1,Settings!$C$6,Settings!$C$7)*1)</f>
        <v/>
      </c>
      <c r="AF959" s="7">
        <f>IF($C959="","",AE959*AC959)</f>
        <v/>
      </c>
      <c r="AG959" s="7">
        <f>IF($C959="","",AC959-AF959)</f>
        <v/>
      </c>
      <c r="AH959" s="7">
        <f>IF($C959="","",AG959-R959)</f>
        <v/>
      </c>
      <c r="AI959">
        <f>IF($C959="","",IF(COUNTIF($C$2:$C959,$C959)=1,1,0))</f>
        <v/>
      </c>
      <c r="AJ959">
        <f>IF($AI959=1,SUMPRODUCT(--($AL$2:$AL$1501&lt;$AL959))+1,"")</f>
        <v/>
      </c>
      <c r="AK959">
        <f>IF($C959="","",IF(OR($AD959=TRUE(),$AD959="TRUE"),0,1))</f>
        <v/>
      </c>
      <c r="AL959">
        <f>IF($AI959=1,IFERROR(IF(VALUE($C959)&lt;100000000,VALUE($C959),1000000000),IFERROR(IF(VALUE(MID($C959,2,20))&lt;100000000,VALUE(MID($C959,2,20)),1000000000),1000000000))+ROW()/100000,"")</f>
        <v/>
      </c>
    </row>
    <row r="960">
      <c r="J960" s="7" t="n"/>
      <c r="K960" s="7" t="n"/>
      <c r="R960" s="7">
        <f>IF($C960="","",Q960*AC960/100)</f>
        <v/>
      </c>
      <c r="S960" s="11" t="n"/>
      <c r="U960" s="11" t="n"/>
      <c r="AA960" s="7" t="n"/>
      <c r="AC960" s="7" t="n"/>
      <c r="AE960">
        <f>IF($C960="","",IF($AK960=1,Settings!$C$6,Settings!$C$7)*1)</f>
        <v/>
      </c>
      <c r="AF960" s="7">
        <f>IF($C960="","",AE960*AC960)</f>
        <v/>
      </c>
      <c r="AG960" s="7">
        <f>IF($C960="","",AC960-AF960)</f>
        <v/>
      </c>
      <c r="AH960" s="7">
        <f>IF($C960="","",AG960-R960)</f>
        <v/>
      </c>
      <c r="AI960">
        <f>IF($C960="","",IF(COUNTIF($C$2:$C960,$C960)=1,1,0))</f>
        <v/>
      </c>
      <c r="AJ960">
        <f>IF($AI960=1,SUMPRODUCT(--($AL$2:$AL$1501&lt;$AL960))+1,"")</f>
        <v/>
      </c>
      <c r="AK960">
        <f>IF($C960="","",IF(OR($AD960=TRUE(),$AD960="TRUE"),0,1))</f>
        <v/>
      </c>
      <c r="AL960">
        <f>IF($AI960=1,IFERROR(IF(VALUE($C960)&lt;100000000,VALUE($C960),1000000000),IFERROR(IF(VALUE(MID($C960,2,20))&lt;100000000,VALUE(MID($C960,2,20)),1000000000),1000000000))+ROW()/100000,"")</f>
        <v/>
      </c>
    </row>
    <row r="961">
      <c r="J961" s="7" t="n"/>
      <c r="K961" s="7" t="n"/>
      <c r="R961" s="7">
        <f>IF($C961="","",Q961*AC961/100)</f>
        <v/>
      </c>
      <c r="S961" s="11" t="n"/>
      <c r="U961" s="11" t="n"/>
      <c r="AA961" s="7" t="n"/>
      <c r="AC961" s="7" t="n"/>
      <c r="AE961">
        <f>IF($C961="","",IF($AK961=1,Settings!$C$6,Settings!$C$7)*1)</f>
        <v/>
      </c>
      <c r="AF961" s="7">
        <f>IF($C961="","",AE961*AC961)</f>
        <v/>
      </c>
      <c r="AG961" s="7">
        <f>IF($C961="","",AC961-AF961)</f>
        <v/>
      </c>
      <c r="AH961" s="7">
        <f>IF($C961="","",AG961-R961)</f>
        <v/>
      </c>
      <c r="AI961">
        <f>IF($C961="","",IF(COUNTIF($C$2:$C961,$C961)=1,1,0))</f>
        <v/>
      </c>
      <c r="AJ961">
        <f>IF($AI961=1,SUMPRODUCT(--($AL$2:$AL$1501&lt;$AL961))+1,"")</f>
        <v/>
      </c>
      <c r="AK961">
        <f>IF($C961="","",IF(OR($AD961=TRUE(),$AD961="TRUE"),0,1))</f>
        <v/>
      </c>
      <c r="AL961">
        <f>IF($AI961=1,IFERROR(IF(VALUE($C961)&lt;100000000,VALUE($C961),1000000000),IFERROR(IF(VALUE(MID($C961,2,20))&lt;100000000,VALUE(MID($C961,2,20)),1000000000),1000000000))+ROW()/100000,"")</f>
        <v/>
      </c>
    </row>
    <row r="962">
      <c r="J962" s="7" t="n"/>
      <c r="K962" s="7" t="n"/>
      <c r="R962" s="7">
        <f>IF($C962="","",Q962*AC962/100)</f>
        <v/>
      </c>
      <c r="S962" s="11" t="n"/>
      <c r="U962" s="11" t="n"/>
      <c r="AA962" s="7" t="n"/>
      <c r="AC962" s="7" t="n"/>
      <c r="AE962">
        <f>IF($C962="","",IF($AK962=1,Settings!$C$6,Settings!$C$7)*1)</f>
        <v/>
      </c>
      <c r="AF962" s="7">
        <f>IF($C962="","",AE962*AC962)</f>
        <v/>
      </c>
      <c r="AG962" s="7">
        <f>IF($C962="","",AC962-AF962)</f>
        <v/>
      </c>
      <c r="AH962" s="7">
        <f>IF($C962="","",AG962-R962)</f>
        <v/>
      </c>
      <c r="AI962">
        <f>IF($C962="","",IF(COUNTIF($C$2:$C962,$C962)=1,1,0))</f>
        <v/>
      </c>
      <c r="AJ962">
        <f>IF($AI962=1,SUMPRODUCT(--($AL$2:$AL$1501&lt;$AL962))+1,"")</f>
        <v/>
      </c>
      <c r="AK962">
        <f>IF($C962="","",IF(OR($AD962=TRUE(),$AD962="TRUE"),0,1))</f>
        <v/>
      </c>
      <c r="AL962">
        <f>IF($AI962=1,IFERROR(IF(VALUE($C962)&lt;100000000,VALUE($C962),1000000000),IFERROR(IF(VALUE(MID($C962,2,20))&lt;100000000,VALUE(MID($C962,2,20)),1000000000),1000000000))+ROW()/100000,"")</f>
        <v/>
      </c>
    </row>
    <row r="963">
      <c r="J963" s="7" t="n"/>
      <c r="K963" s="7" t="n"/>
      <c r="R963" s="7">
        <f>IF($C963="","",Q963*AC963/100)</f>
        <v/>
      </c>
      <c r="S963" s="11" t="n"/>
      <c r="U963" s="11" t="n"/>
      <c r="AA963" s="7" t="n"/>
      <c r="AC963" s="7" t="n"/>
      <c r="AE963">
        <f>IF($C963="","",IF($AK963=1,Settings!$C$6,Settings!$C$7)*1)</f>
        <v/>
      </c>
      <c r="AF963" s="7">
        <f>IF($C963="","",AE963*AC963)</f>
        <v/>
      </c>
      <c r="AG963" s="7">
        <f>IF($C963="","",AC963-AF963)</f>
        <v/>
      </c>
      <c r="AH963" s="7">
        <f>IF($C963="","",AG963-R963)</f>
        <v/>
      </c>
      <c r="AI963">
        <f>IF($C963="","",IF(COUNTIF($C$2:$C963,$C963)=1,1,0))</f>
        <v/>
      </c>
      <c r="AJ963">
        <f>IF($AI963=1,SUMPRODUCT(--($AL$2:$AL$1501&lt;$AL963))+1,"")</f>
        <v/>
      </c>
      <c r="AK963">
        <f>IF($C963="","",IF(OR($AD963=TRUE(),$AD963="TRUE"),0,1))</f>
        <v/>
      </c>
      <c r="AL963">
        <f>IF($AI963=1,IFERROR(IF(VALUE($C963)&lt;100000000,VALUE($C963),1000000000),IFERROR(IF(VALUE(MID($C963,2,20))&lt;100000000,VALUE(MID($C963,2,20)),1000000000),1000000000))+ROW()/100000,"")</f>
        <v/>
      </c>
    </row>
    <row r="964">
      <c r="J964" s="7" t="n"/>
      <c r="K964" s="7" t="n"/>
      <c r="R964" s="7">
        <f>IF($C964="","",Q964*AC964/100)</f>
        <v/>
      </c>
      <c r="S964" s="11" t="n"/>
      <c r="U964" s="11" t="n"/>
      <c r="AA964" s="7" t="n"/>
      <c r="AC964" s="7" t="n"/>
      <c r="AE964">
        <f>IF($C964="","",IF($AK964=1,Settings!$C$6,Settings!$C$7)*1)</f>
        <v/>
      </c>
      <c r="AF964" s="7">
        <f>IF($C964="","",AE964*AC964)</f>
        <v/>
      </c>
      <c r="AG964" s="7">
        <f>IF($C964="","",AC964-AF964)</f>
        <v/>
      </c>
      <c r="AH964" s="7">
        <f>IF($C964="","",AG964-R964)</f>
        <v/>
      </c>
      <c r="AI964">
        <f>IF($C964="","",IF(COUNTIF($C$2:$C964,$C964)=1,1,0))</f>
        <v/>
      </c>
      <c r="AJ964">
        <f>IF($AI964=1,SUMPRODUCT(--($AL$2:$AL$1501&lt;$AL964))+1,"")</f>
        <v/>
      </c>
      <c r="AK964">
        <f>IF($C964="","",IF(OR($AD964=TRUE(),$AD964="TRUE"),0,1))</f>
        <v/>
      </c>
      <c r="AL964">
        <f>IF($AI964=1,IFERROR(IF(VALUE($C964)&lt;100000000,VALUE($C964),1000000000),IFERROR(IF(VALUE(MID($C964,2,20))&lt;100000000,VALUE(MID($C964,2,20)),1000000000),1000000000))+ROW()/100000,"")</f>
        <v/>
      </c>
    </row>
    <row r="965">
      <c r="J965" s="7" t="n"/>
      <c r="K965" s="7" t="n"/>
      <c r="R965" s="7">
        <f>IF($C965="","",Q965*AC965/100)</f>
        <v/>
      </c>
      <c r="S965" s="11" t="n"/>
      <c r="U965" s="11" t="n"/>
      <c r="AA965" s="7" t="n"/>
      <c r="AC965" s="7" t="n"/>
      <c r="AE965">
        <f>IF($C965="","",IF($AK965=1,Settings!$C$6,Settings!$C$7)*1)</f>
        <v/>
      </c>
      <c r="AF965" s="7">
        <f>IF($C965="","",AE965*AC965)</f>
        <v/>
      </c>
      <c r="AG965" s="7">
        <f>IF($C965="","",AC965-AF965)</f>
        <v/>
      </c>
      <c r="AH965" s="7">
        <f>IF($C965="","",AG965-R965)</f>
        <v/>
      </c>
      <c r="AI965">
        <f>IF($C965="","",IF(COUNTIF($C$2:$C965,$C965)=1,1,0))</f>
        <v/>
      </c>
      <c r="AJ965">
        <f>IF($AI965=1,SUMPRODUCT(--($AL$2:$AL$1501&lt;$AL965))+1,"")</f>
        <v/>
      </c>
      <c r="AK965">
        <f>IF($C965="","",IF(OR($AD965=TRUE(),$AD965="TRUE"),0,1))</f>
        <v/>
      </c>
      <c r="AL965">
        <f>IF($AI965=1,IFERROR(IF(VALUE($C965)&lt;100000000,VALUE($C965),1000000000),IFERROR(IF(VALUE(MID($C965,2,20))&lt;100000000,VALUE(MID($C965,2,20)),1000000000),1000000000))+ROW()/100000,"")</f>
        <v/>
      </c>
    </row>
    <row r="966">
      <c r="J966" s="7" t="n"/>
      <c r="K966" s="7" t="n"/>
      <c r="R966" s="7">
        <f>IF($C966="","",Q966*AC966/100)</f>
        <v/>
      </c>
      <c r="S966" s="11" t="n"/>
      <c r="U966" s="11" t="n"/>
      <c r="AA966" s="7" t="n"/>
      <c r="AC966" s="7" t="n"/>
      <c r="AE966">
        <f>IF($C966="","",IF($AK966=1,Settings!$C$6,Settings!$C$7)*1)</f>
        <v/>
      </c>
      <c r="AF966" s="7">
        <f>IF($C966="","",AE966*AC966)</f>
        <v/>
      </c>
      <c r="AG966" s="7">
        <f>IF($C966="","",AC966-AF966)</f>
        <v/>
      </c>
      <c r="AH966" s="7">
        <f>IF($C966="","",AG966-R966)</f>
        <v/>
      </c>
      <c r="AI966">
        <f>IF($C966="","",IF(COUNTIF($C$2:$C966,$C966)=1,1,0))</f>
        <v/>
      </c>
      <c r="AJ966">
        <f>IF($AI966=1,SUMPRODUCT(--($AL$2:$AL$1501&lt;$AL966))+1,"")</f>
        <v/>
      </c>
      <c r="AK966">
        <f>IF($C966="","",IF(OR($AD966=TRUE(),$AD966="TRUE"),0,1))</f>
        <v/>
      </c>
      <c r="AL966">
        <f>IF($AI966=1,IFERROR(IF(VALUE($C966)&lt;100000000,VALUE($C966),1000000000),IFERROR(IF(VALUE(MID($C966,2,20))&lt;100000000,VALUE(MID($C966,2,20)),1000000000),1000000000))+ROW()/100000,"")</f>
        <v/>
      </c>
    </row>
    <row r="967">
      <c r="J967" s="7" t="n"/>
      <c r="K967" s="7" t="n"/>
      <c r="R967" s="7">
        <f>IF($C967="","",Q967*AC967/100)</f>
        <v/>
      </c>
      <c r="S967" s="11" t="n"/>
      <c r="U967" s="11" t="n"/>
      <c r="AA967" s="7" t="n"/>
      <c r="AC967" s="7" t="n"/>
      <c r="AE967">
        <f>IF($C967="","",IF($AK967=1,Settings!$C$6,Settings!$C$7)*1)</f>
        <v/>
      </c>
      <c r="AF967" s="7">
        <f>IF($C967="","",AE967*AC967)</f>
        <v/>
      </c>
      <c r="AG967" s="7">
        <f>IF($C967="","",AC967-AF967)</f>
        <v/>
      </c>
      <c r="AH967" s="7">
        <f>IF($C967="","",AG967-R967)</f>
        <v/>
      </c>
      <c r="AI967">
        <f>IF($C967="","",IF(COUNTIF($C$2:$C967,$C967)=1,1,0))</f>
        <v/>
      </c>
      <c r="AJ967">
        <f>IF($AI967=1,SUMPRODUCT(--($AL$2:$AL$1501&lt;$AL967))+1,"")</f>
        <v/>
      </c>
      <c r="AK967">
        <f>IF($C967="","",IF(OR($AD967=TRUE(),$AD967="TRUE"),0,1))</f>
        <v/>
      </c>
      <c r="AL967">
        <f>IF($AI967=1,IFERROR(IF(VALUE($C967)&lt;100000000,VALUE($C967),1000000000),IFERROR(IF(VALUE(MID($C967,2,20))&lt;100000000,VALUE(MID($C967,2,20)),1000000000),1000000000))+ROW()/100000,"")</f>
        <v/>
      </c>
    </row>
    <row r="968">
      <c r="J968" s="7" t="n"/>
      <c r="K968" s="7" t="n"/>
      <c r="R968" s="7">
        <f>IF($C968="","",Q968*AC968/100)</f>
        <v/>
      </c>
      <c r="S968" s="11" t="n"/>
      <c r="U968" s="11" t="n"/>
      <c r="AA968" s="7" t="n"/>
      <c r="AC968" s="7" t="n"/>
      <c r="AE968">
        <f>IF($C968="","",IF($AK968=1,Settings!$C$6,Settings!$C$7)*1)</f>
        <v/>
      </c>
      <c r="AF968" s="7">
        <f>IF($C968="","",AE968*AC968)</f>
        <v/>
      </c>
      <c r="AG968" s="7">
        <f>IF($C968="","",AC968-AF968)</f>
        <v/>
      </c>
      <c r="AH968" s="7">
        <f>IF($C968="","",AG968-R968)</f>
        <v/>
      </c>
      <c r="AI968">
        <f>IF($C968="","",IF(COUNTIF($C$2:$C968,$C968)=1,1,0))</f>
        <v/>
      </c>
      <c r="AJ968">
        <f>IF($AI968=1,SUMPRODUCT(--($AL$2:$AL$1501&lt;$AL968))+1,"")</f>
        <v/>
      </c>
      <c r="AK968">
        <f>IF($C968="","",IF(OR($AD968=TRUE(),$AD968="TRUE"),0,1))</f>
        <v/>
      </c>
      <c r="AL968">
        <f>IF($AI968=1,IFERROR(IF(VALUE($C968)&lt;100000000,VALUE($C968),1000000000),IFERROR(IF(VALUE(MID($C968,2,20))&lt;100000000,VALUE(MID($C968,2,20)),1000000000),1000000000))+ROW()/100000,"")</f>
        <v/>
      </c>
    </row>
    <row r="969">
      <c r="J969" s="7" t="n"/>
      <c r="K969" s="7" t="n"/>
      <c r="R969" s="7">
        <f>IF($C969="","",Q969*AC969/100)</f>
        <v/>
      </c>
      <c r="S969" s="11" t="n"/>
      <c r="U969" s="11" t="n"/>
      <c r="AA969" s="7" t="n"/>
      <c r="AC969" s="7" t="n"/>
      <c r="AE969">
        <f>IF($C969="","",IF($AK969=1,Settings!$C$6,Settings!$C$7)*1)</f>
        <v/>
      </c>
      <c r="AF969" s="7">
        <f>IF($C969="","",AE969*AC969)</f>
        <v/>
      </c>
      <c r="AG969" s="7">
        <f>IF($C969="","",AC969-AF969)</f>
        <v/>
      </c>
      <c r="AH969" s="7">
        <f>IF($C969="","",AG969-R969)</f>
        <v/>
      </c>
      <c r="AI969">
        <f>IF($C969="","",IF(COUNTIF($C$2:$C969,$C969)=1,1,0))</f>
        <v/>
      </c>
      <c r="AJ969">
        <f>IF($AI969=1,SUMPRODUCT(--($AL$2:$AL$1501&lt;$AL969))+1,"")</f>
        <v/>
      </c>
      <c r="AK969">
        <f>IF($C969="","",IF(OR($AD969=TRUE(),$AD969="TRUE"),0,1))</f>
        <v/>
      </c>
      <c r="AL969">
        <f>IF($AI969=1,IFERROR(IF(VALUE($C969)&lt;100000000,VALUE($C969),1000000000),IFERROR(IF(VALUE(MID($C969,2,20))&lt;100000000,VALUE(MID($C969,2,20)),1000000000),1000000000))+ROW()/100000,"")</f>
        <v/>
      </c>
    </row>
    <row r="970">
      <c r="J970" s="7" t="n"/>
      <c r="K970" s="7" t="n"/>
      <c r="R970" s="7">
        <f>IF($C970="","",Q970*AC970/100)</f>
        <v/>
      </c>
      <c r="S970" s="11" t="n"/>
      <c r="U970" s="11" t="n"/>
      <c r="AA970" s="7" t="n"/>
      <c r="AC970" s="7" t="n"/>
      <c r="AE970">
        <f>IF($C970="","",IF($AK970=1,Settings!$C$6,Settings!$C$7)*1)</f>
        <v/>
      </c>
      <c r="AF970" s="7">
        <f>IF($C970="","",AE970*AC970)</f>
        <v/>
      </c>
      <c r="AG970" s="7">
        <f>IF($C970="","",AC970-AF970)</f>
        <v/>
      </c>
      <c r="AH970" s="7">
        <f>IF($C970="","",AG970-R970)</f>
        <v/>
      </c>
      <c r="AI970">
        <f>IF($C970="","",IF(COUNTIF($C$2:$C970,$C970)=1,1,0))</f>
        <v/>
      </c>
      <c r="AJ970">
        <f>IF($AI970=1,SUMPRODUCT(--($AL$2:$AL$1501&lt;$AL970))+1,"")</f>
        <v/>
      </c>
      <c r="AK970">
        <f>IF($C970="","",IF(OR($AD970=TRUE(),$AD970="TRUE"),0,1))</f>
        <v/>
      </c>
      <c r="AL970">
        <f>IF($AI970=1,IFERROR(IF(VALUE($C970)&lt;100000000,VALUE($C970),1000000000),IFERROR(IF(VALUE(MID($C970,2,20))&lt;100000000,VALUE(MID($C970,2,20)),1000000000),1000000000))+ROW()/100000,"")</f>
        <v/>
      </c>
    </row>
    <row r="971">
      <c r="J971" s="7" t="n"/>
      <c r="K971" s="7" t="n"/>
      <c r="R971" s="7">
        <f>IF($C971="","",Q971*AC971/100)</f>
        <v/>
      </c>
      <c r="S971" s="11" t="n"/>
      <c r="U971" s="11" t="n"/>
      <c r="AA971" s="7" t="n"/>
      <c r="AC971" s="7" t="n"/>
      <c r="AE971">
        <f>IF($C971="","",IF($AK971=1,Settings!$C$6,Settings!$C$7)*1)</f>
        <v/>
      </c>
      <c r="AF971" s="7">
        <f>IF($C971="","",AE971*AC971)</f>
        <v/>
      </c>
      <c r="AG971" s="7">
        <f>IF($C971="","",AC971-AF971)</f>
        <v/>
      </c>
      <c r="AH971" s="7">
        <f>IF($C971="","",AG971-R971)</f>
        <v/>
      </c>
      <c r="AI971">
        <f>IF($C971="","",IF(COUNTIF($C$2:$C971,$C971)=1,1,0))</f>
        <v/>
      </c>
      <c r="AJ971">
        <f>IF($AI971=1,SUMPRODUCT(--($AL$2:$AL$1501&lt;$AL971))+1,"")</f>
        <v/>
      </c>
      <c r="AK971">
        <f>IF($C971="","",IF(OR($AD971=TRUE(),$AD971="TRUE"),0,1))</f>
        <v/>
      </c>
      <c r="AL971">
        <f>IF($AI971=1,IFERROR(IF(VALUE($C971)&lt;100000000,VALUE($C971),1000000000),IFERROR(IF(VALUE(MID($C971,2,20))&lt;100000000,VALUE(MID($C971,2,20)),1000000000),1000000000))+ROW()/100000,"")</f>
        <v/>
      </c>
    </row>
    <row r="972">
      <c r="J972" s="7" t="n"/>
      <c r="K972" s="7" t="n"/>
      <c r="R972" s="7">
        <f>IF($C972="","",Q972*AC972/100)</f>
        <v/>
      </c>
      <c r="S972" s="11" t="n"/>
      <c r="U972" s="11" t="n"/>
      <c r="AA972" s="7" t="n"/>
      <c r="AC972" s="7" t="n"/>
      <c r="AE972">
        <f>IF($C972="","",IF($AK972=1,Settings!$C$6,Settings!$C$7)*1)</f>
        <v/>
      </c>
      <c r="AF972" s="7">
        <f>IF($C972="","",AE972*AC972)</f>
        <v/>
      </c>
      <c r="AG972" s="7">
        <f>IF($C972="","",AC972-AF972)</f>
        <v/>
      </c>
      <c r="AH972" s="7">
        <f>IF($C972="","",AG972-R972)</f>
        <v/>
      </c>
      <c r="AI972">
        <f>IF($C972="","",IF(COUNTIF($C$2:$C972,$C972)=1,1,0))</f>
        <v/>
      </c>
      <c r="AJ972">
        <f>IF($AI972=1,SUMPRODUCT(--($AL$2:$AL$1501&lt;$AL972))+1,"")</f>
        <v/>
      </c>
      <c r="AK972">
        <f>IF($C972="","",IF(OR($AD972=TRUE(),$AD972="TRUE"),0,1))</f>
        <v/>
      </c>
      <c r="AL972">
        <f>IF($AI972=1,IFERROR(IF(VALUE($C972)&lt;100000000,VALUE($C972),1000000000),IFERROR(IF(VALUE(MID($C972,2,20))&lt;100000000,VALUE(MID($C972,2,20)),1000000000),1000000000))+ROW()/100000,"")</f>
        <v/>
      </c>
    </row>
    <row r="973">
      <c r="J973" s="7" t="n"/>
      <c r="K973" s="7" t="n"/>
      <c r="R973" s="7">
        <f>IF($C973="","",Q973*AC973/100)</f>
        <v/>
      </c>
      <c r="S973" s="11" t="n"/>
      <c r="U973" s="11" t="n"/>
      <c r="AA973" s="7" t="n"/>
      <c r="AC973" s="7" t="n"/>
      <c r="AE973">
        <f>IF($C973="","",IF($AK973=1,Settings!$C$6,Settings!$C$7)*1)</f>
        <v/>
      </c>
      <c r="AF973" s="7">
        <f>IF($C973="","",AE973*AC973)</f>
        <v/>
      </c>
      <c r="AG973" s="7">
        <f>IF($C973="","",AC973-AF973)</f>
        <v/>
      </c>
      <c r="AH973" s="7">
        <f>IF($C973="","",AG973-R973)</f>
        <v/>
      </c>
      <c r="AI973">
        <f>IF($C973="","",IF(COUNTIF($C$2:$C973,$C973)=1,1,0))</f>
        <v/>
      </c>
      <c r="AJ973">
        <f>IF($AI973=1,SUMPRODUCT(--($AL$2:$AL$1501&lt;$AL973))+1,"")</f>
        <v/>
      </c>
      <c r="AK973">
        <f>IF($C973="","",IF(OR($AD973=TRUE(),$AD973="TRUE"),0,1))</f>
        <v/>
      </c>
      <c r="AL973">
        <f>IF($AI973=1,IFERROR(IF(VALUE($C973)&lt;100000000,VALUE($C973),1000000000),IFERROR(IF(VALUE(MID($C973,2,20))&lt;100000000,VALUE(MID($C973,2,20)),1000000000),1000000000))+ROW()/100000,"")</f>
        <v/>
      </c>
    </row>
    <row r="974">
      <c r="J974" s="7" t="n"/>
      <c r="K974" s="7" t="n"/>
      <c r="R974" s="7">
        <f>IF($C974="","",Q974*AC974/100)</f>
        <v/>
      </c>
      <c r="S974" s="11" t="n"/>
      <c r="U974" s="11" t="n"/>
      <c r="AA974" s="7" t="n"/>
      <c r="AC974" s="7" t="n"/>
      <c r="AE974">
        <f>IF($C974="","",IF($AK974=1,Settings!$C$6,Settings!$C$7)*1)</f>
        <v/>
      </c>
      <c r="AF974" s="7">
        <f>IF($C974="","",AE974*AC974)</f>
        <v/>
      </c>
      <c r="AG974" s="7">
        <f>IF($C974="","",AC974-AF974)</f>
        <v/>
      </c>
      <c r="AH974" s="7">
        <f>IF($C974="","",AG974-R974)</f>
        <v/>
      </c>
      <c r="AI974">
        <f>IF($C974="","",IF(COUNTIF($C$2:$C974,$C974)=1,1,0))</f>
        <v/>
      </c>
      <c r="AJ974">
        <f>IF($AI974=1,SUMPRODUCT(--($AL$2:$AL$1501&lt;$AL974))+1,"")</f>
        <v/>
      </c>
      <c r="AK974">
        <f>IF($C974="","",IF(OR($AD974=TRUE(),$AD974="TRUE"),0,1))</f>
        <v/>
      </c>
      <c r="AL974">
        <f>IF($AI974=1,IFERROR(IF(VALUE($C974)&lt;100000000,VALUE($C974),1000000000),IFERROR(IF(VALUE(MID($C974,2,20))&lt;100000000,VALUE(MID($C974,2,20)),1000000000),1000000000))+ROW()/100000,"")</f>
        <v/>
      </c>
    </row>
    <row r="975">
      <c r="J975" s="7" t="n"/>
      <c r="K975" s="7" t="n"/>
      <c r="R975" s="7">
        <f>IF($C975="","",Q975*AC975/100)</f>
        <v/>
      </c>
      <c r="S975" s="11" t="n"/>
      <c r="U975" s="11" t="n"/>
      <c r="AA975" s="7" t="n"/>
      <c r="AC975" s="7" t="n"/>
      <c r="AE975">
        <f>IF($C975="","",IF($AK975=1,Settings!$C$6,Settings!$C$7)*1)</f>
        <v/>
      </c>
      <c r="AF975" s="7">
        <f>IF($C975="","",AE975*AC975)</f>
        <v/>
      </c>
      <c r="AG975" s="7">
        <f>IF($C975="","",AC975-AF975)</f>
        <v/>
      </c>
      <c r="AH975" s="7">
        <f>IF($C975="","",AG975-R975)</f>
        <v/>
      </c>
      <c r="AI975">
        <f>IF($C975="","",IF(COUNTIF($C$2:$C975,$C975)=1,1,0))</f>
        <v/>
      </c>
      <c r="AJ975">
        <f>IF($AI975=1,SUMPRODUCT(--($AL$2:$AL$1501&lt;$AL975))+1,"")</f>
        <v/>
      </c>
      <c r="AK975">
        <f>IF($C975="","",IF(OR($AD975=TRUE(),$AD975="TRUE"),0,1))</f>
        <v/>
      </c>
      <c r="AL975">
        <f>IF($AI975=1,IFERROR(IF(VALUE($C975)&lt;100000000,VALUE($C975),1000000000),IFERROR(IF(VALUE(MID($C975,2,20))&lt;100000000,VALUE(MID($C975,2,20)),1000000000),1000000000))+ROW()/100000,"")</f>
        <v/>
      </c>
    </row>
    <row r="976">
      <c r="J976" s="7" t="n"/>
      <c r="K976" s="7" t="n"/>
      <c r="R976" s="7">
        <f>IF($C976="","",Q976*AC976/100)</f>
        <v/>
      </c>
      <c r="S976" s="11" t="n"/>
      <c r="U976" s="11" t="n"/>
      <c r="AA976" s="7" t="n"/>
      <c r="AC976" s="7" t="n"/>
      <c r="AE976">
        <f>IF($C976="","",IF($AK976=1,Settings!$C$6,Settings!$C$7)*1)</f>
        <v/>
      </c>
      <c r="AF976" s="7">
        <f>IF($C976="","",AE976*AC976)</f>
        <v/>
      </c>
      <c r="AG976" s="7">
        <f>IF($C976="","",AC976-AF976)</f>
        <v/>
      </c>
      <c r="AH976" s="7">
        <f>IF($C976="","",AG976-R976)</f>
        <v/>
      </c>
      <c r="AI976">
        <f>IF($C976="","",IF(COUNTIF($C$2:$C976,$C976)=1,1,0))</f>
        <v/>
      </c>
      <c r="AJ976">
        <f>IF($AI976=1,SUMPRODUCT(--($AL$2:$AL$1501&lt;$AL976))+1,"")</f>
        <v/>
      </c>
      <c r="AK976">
        <f>IF($C976="","",IF(OR($AD976=TRUE(),$AD976="TRUE"),0,1))</f>
        <v/>
      </c>
      <c r="AL976">
        <f>IF($AI976=1,IFERROR(IF(VALUE($C976)&lt;100000000,VALUE($C976),1000000000),IFERROR(IF(VALUE(MID($C976,2,20))&lt;100000000,VALUE(MID($C976,2,20)),1000000000),1000000000))+ROW()/100000,"")</f>
        <v/>
      </c>
    </row>
    <row r="977">
      <c r="J977" s="7" t="n"/>
      <c r="K977" s="7" t="n"/>
      <c r="R977" s="7">
        <f>IF($C977="","",Q977*AC977/100)</f>
        <v/>
      </c>
      <c r="S977" s="11" t="n"/>
      <c r="U977" s="11" t="n"/>
      <c r="AA977" s="7" t="n"/>
      <c r="AC977" s="7" t="n"/>
      <c r="AE977">
        <f>IF($C977="","",IF($AK977=1,Settings!$C$6,Settings!$C$7)*1)</f>
        <v/>
      </c>
      <c r="AF977" s="7">
        <f>IF($C977="","",AE977*AC977)</f>
        <v/>
      </c>
      <c r="AG977" s="7">
        <f>IF($C977="","",AC977-AF977)</f>
        <v/>
      </c>
      <c r="AH977" s="7">
        <f>IF($C977="","",AG977-R977)</f>
        <v/>
      </c>
      <c r="AI977">
        <f>IF($C977="","",IF(COUNTIF($C$2:$C977,$C977)=1,1,0))</f>
        <v/>
      </c>
      <c r="AJ977">
        <f>IF($AI977=1,SUMPRODUCT(--($AL$2:$AL$1501&lt;$AL977))+1,"")</f>
        <v/>
      </c>
      <c r="AK977">
        <f>IF($C977="","",IF(OR($AD977=TRUE(),$AD977="TRUE"),0,1))</f>
        <v/>
      </c>
      <c r="AL977">
        <f>IF($AI977=1,IFERROR(IF(VALUE($C977)&lt;100000000,VALUE($C977),1000000000),IFERROR(IF(VALUE(MID($C977,2,20))&lt;100000000,VALUE(MID($C977,2,20)),1000000000),1000000000))+ROW()/100000,"")</f>
        <v/>
      </c>
    </row>
    <row r="978">
      <c r="J978" s="7" t="n"/>
      <c r="K978" s="7" t="n"/>
      <c r="R978" s="7">
        <f>IF($C978="","",Q978*AC978/100)</f>
        <v/>
      </c>
      <c r="S978" s="11" t="n"/>
      <c r="U978" s="11" t="n"/>
      <c r="AA978" s="7" t="n"/>
      <c r="AC978" s="7" t="n"/>
      <c r="AE978">
        <f>IF($C978="","",IF($AK978=1,Settings!$C$6,Settings!$C$7)*1)</f>
        <v/>
      </c>
      <c r="AF978" s="7">
        <f>IF($C978="","",AE978*AC978)</f>
        <v/>
      </c>
      <c r="AG978" s="7">
        <f>IF($C978="","",AC978-AF978)</f>
        <v/>
      </c>
      <c r="AH978" s="7">
        <f>IF($C978="","",AG978-R978)</f>
        <v/>
      </c>
      <c r="AI978">
        <f>IF($C978="","",IF(COUNTIF($C$2:$C978,$C978)=1,1,0))</f>
        <v/>
      </c>
      <c r="AJ978">
        <f>IF($AI978=1,SUMPRODUCT(--($AL$2:$AL$1501&lt;$AL978))+1,"")</f>
        <v/>
      </c>
      <c r="AK978">
        <f>IF($C978="","",IF(OR($AD978=TRUE(),$AD978="TRUE"),0,1))</f>
        <v/>
      </c>
      <c r="AL978">
        <f>IF($AI978=1,IFERROR(IF(VALUE($C978)&lt;100000000,VALUE($C978),1000000000),IFERROR(IF(VALUE(MID($C978,2,20))&lt;100000000,VALUE(MID($C978,2,20)),1000000000),1000000000))+ROW()/100000,"")</f>
        <v/>
      </c>
    </row>
    <row r="979">
      <c r="J979" s="7" t="n"/>
      <c r="K979" s="7" t="n"/>
      <c r="R979" s="7">
        <f>IF($C979="","",Q979*AC979/100)</f>
        <v/>
      </c>
      <c r="S979" s="11" t="n"/>
      <c r="U979" s="11" t="n"/>
      <c r="AA979" s="7" t="n"/>
      <c r="AC979" s="7" t="n"/>
      <c r="AE979">
        <f>IF($C979="","",IF($AK979=1,Settings!$C$6,Settings!$C$7)*1)</f>
        <v/>
      </c>
      <c r="AF979" s="7">
        <f>IF($C979="","",AE979*AC979)</f>
        <v/>
      </c>
      <c r="AG979" s="7">
        <f>IF($C979="","",AC979-AF979)</f>
        <v/>
      </c>
      <c r="AH979" s="7">
        <f>IF($C979="","",AG979-R979)</f>
        <v/>
      </c>
      <c r="AI979">
        <f>IF($C979="","",IF(COUNTIF($C$2:$C979,$C979)=1,1,0))</f>
        <v/>
      </c>
      <c r="AJ979">
        <f>IF($AI979=1,SUMPRODUCT(--($AL$2:$AL$1501&lt;$AL979))+1,"")</f>
        <v/>
      </c>
      <c r="AK979">
        <f>IF($C979="","",IF(OR($AD979=TRUE(),$AD979="TRUE"),0,1))</f>
        <v/>
      </c>
      <c r="AL979">
        <f>IF($AI979=1,IFERROR(IF(VALUE($C979)&lt;100000000,VALUE($C979),1000000000),IFERROR(IF(VALUE(MID($C979,2,20))&lt;100000000,VALUE(MID($C979,2,20)),1000000000),1000000000))+ROW()/100000,"")</f>
        <v/>
      </c>
    </row>
    <row r="980">
      <c r="J980" s="7" t="n"/>
      <c r="K980" s="7" t="n"/>
      <c r="R980" s="7">
        <f>IF($C980="","",Q980*AC980/100)</f>
        <v/>
      </c>
      <c r="S980" s="11" t="n"/>
      <c r="U980" s="11" t="n"/>
      <c r="AA980" s="7" t="n"/>
      <c r="AC980" s="7" t="n"/>
      <c r="AE980">
        <f>IF($C980="","",IF($AK980=1,Settings!$C$6,Settings!$C$7)*1)</f>
        <v/>
      </c>
      <c r="AF980" s="7">
        <f>IF($C980="","",AE980*AC980)</f>
        <v/>
      </c>
      <c r="AG980" s="7">
        <f>IF($C980="","",AC980-AF980)</f>
        <v/>
      </c>
      <c r="AH980" s="7">
        <f>IF($C980="","",AG980-R980)</f>
        <v/>
      </c>
      <c r="AI980">
        <f>IF($C980="","",IF(COUNTIF($C$2:$C980,$C980)=1,1,0))</f>
        <v/>
      </c>
      <c r="AJ980">
        <f>IF($AI980=1,SUMPRODUCT(--($AL$2:$AL$1501&lt;$AL980))+1,"")</f>
        <v/>
      </c>
      <c r="AK980">
        <f>IF($C980="","",IF(OR($AD980=TRUE(),$AD980="TRUE"),0,1))</f>
        <v/>
      </c>
      <c r="AL980">
        <f>IF($AI980=1,IFERROR(IF(VALUE($C980)&lt;100000000,VALUE($C980),1000000000),IFERROR(IF(VALUE(MID($C980,2,20))&lt;100000000,VALUE(MID($C980,2,20)),1000000000),1000000000))+ROW()/100000,"")</f>
        <v/>
      </c>
    </row>
    <row r="981">
      <c r="J981" s="7" t="n"/>
      <c r="K981" s="7" t="n"/>
      <c r="R981" s="7">
        <f>IF($C981="","",Q981*AC981/100)</f>
        <v/>
      </c>
      <c r="S981" s="11" t="n"/>
      <c r="U981" s="11" t="n"/>
      <c r="AA981" s="7" t="n"/>
      <c r="AC981" s="7" t="n"/>
      <c r="AE981">
        <f>IF($C981="","",IF($AK981=1,Settings!$C$6,Settings!$C$7)*1)</f>
        <v/>
      </c>
      <c r="AF981" s="7">
        <f>IF($C981="","",AE981*AC981)</f>
        <v/>
      </c>
      <c r="AG981" s="7">
        <f>IF($C981="","",AC981-AF981)</f>
        <v/>
      </c>
      <c r="AH981" s="7">
        <f>IF($C981="","",AG981-R981)</f>
        <v/>
      </c>
      <c r="AI981">
        <f>IF($C981="","",IF(COUNTIF($C$2:$C981,$C981)=1,1,0))</f>
        <v/>
      </c>
      <c r="AJ981">
        <f>IF($AI981=1,SUMPRODUCT(--($AL$2:$AL$1501&lt;$AL981))+1,"")</f>
        <v/>
      </c>
      <c r="AK981">
        <f>IF($C981="","",IF(OR($AD981=TRUE(),$AD981="TRUE"),0,1))</f>
        <v/>
      </c>
      <c r="AL981">
        <f>IF($AI981=1,IFERROR(IF(VALUE($C981)&lt;100000000,VALUE($C981),1000000000),IFERROR(IF(VALUE(MID($C981,2,20))&lt;100000000,VALUE(MID($C981,2,20)),1000000000),1000000000))+ROW()/100000,"")</f>
        <v/>
      </c>
    </row>
    <row r="982">
      <c r="J982" s="7" t="n"/>
      <c r="K982" s="7" t="n"/>
      <c r="R982" s="7">
        <f>IF($C982="","",Q982*AC982/100)</f>
        <v/>
      </c>
      <c r="S982" s="11" t="n"/>
      <c r="U982" s="11" t="n"/>
      <c r="AA982" s="7" t="n"/>
      <c r="AC982" s="7" t="n"/>
      <c r="AE982">
        <f>IF($C982="","",IF($AK982=1,Settings!$C$6,Settings!$C$7)*1)</f>
        <v/>
      </c>
      <c r="AF982" s="7">
        <f>IF($C982="","",AE982*AC982)</f>
        <v/>
      </c>
      <c r="AG982" s="7">
        <f>IF($C982="","",AC982-AF982)</f>
        <v/>
      </c>
      <c r="AH982" s="7">
        <f>IF($C982="","",AG982-R982)</f>
        <v/>
      </c>
      <c r="AI982">
        <f>IF($C982="","",IF(COUNTIF($C$2:$C982,$C982)=1,1,0))</f>
        <v/>
      </c>
      <c r="AJ982">
        <f>IF($AI982=1,SUMPRODUCT(--($AL$2:$AL$1501&lt;$AL982))+1,"")</f>
        <v/>
      </c>
      <c r="AK982">
        <f>IF($C982="","",IF(OR($AD982=TRUE(),$AD982="TRUE"),0,1))</f>
        <v/>
      </c>
      <c r="AL982">
        <f>IF($AI982=1,IFERROR(IF(VALUE($C982)&lt;100000000,VALUE($C982),1000000000),IFERROR(IF(VALUE(MID($C982,2,20))&lt;100000000,VALUE(MID($C982,2,20)),1000000000),1000000000))+ROW()/100000,"")</f>
        <v/>
      </c>
    </row>
    <row r="983">
      <c r="J983" s="7" t="n"/>
      <c r="K983" s="7" t="n"/>
      <c r="R983" s="7">
        <f>IF($C983="","",Q983*AC983/100)</f>
        <v/>
      </c>
      <c r="S983" s="11" t="n"/>
      <c r="U983" s="11" t="n"/>
      <c r="AA983" s="7" t="n"/>
      <c r="AC983" s="7" t="n"/>
      <c r="AE983">
        <f>IF($C983="","",IF($AK983=1,Settings!$C$6,Settings!$C$7)*1)</f>
        <v/>
      </c>
      <c r="AF983" s="7">
        <f>IF($C983="","",AE983*AC983)</f>
        <v/>
      </c>
      <c r="AG983" s="7">
        <f>IF($C983="","",AC983-AF983)</f>
        <v/>
      </c>
      <c r="AH983" s="7">
        <f>IF($C983="","",AG983-R983)</f>
        <v/>
      </c>
      <c r="AI983">
        <f>IF($C983="","",IF(COUNTIF($C$2:$C983,$C983)=1,1,0))</f>
        <v/>
      </c>
      <c r="AJ983">
        <f>IF($AI983=1,SUMPRODUCT(--($AL$2:$AL$1501&lt;$AL983))+1,"")</f>
        <v/>
      </c>
      <c r="AK983">
        <f>IF($C983="","",IF(OR($AD983=TRUE(),$AD983="TRUE"),0,1))</f>
        <v/>
      </c>
      <c r="AL983">
        <f>IF($AI983=1,IFERROR(IF(VALUE($C983)&lt;100000000,VALUE($C983),1000000000),IFERROR(IF(VALUE(MID($C983,2,20))&lt;100000000,VALUE(MID($C983,2,20)),1000000000),1000000000))+ROW()/100000,"")</f>
        <v/>
      </c>
    </row>
    <row r="984">
      <c r="J984" s="7" t="n"/>
      <c r="K984" s="7" t="n"/>
      <c r="R984" s="7">
        <f>IF($C984="","",Q984*AC984/100)</f>
        <v/>
      </c>
      <c r="S984" s="11" t="n"/>
      <c r="U984" s="11" t="n"/>
      <c r="AA984" s="7" t="n"/>
      <c r="AC984" s="7" t="n"/>
      <c r="AE984">
        <f>IF($C984="","",IF($AK984=1,Settings!$C$6,Settings!$C$7)*1)</f>
        <v/>
      </c>
      <c r="AF984" s="7">
        <f>IF($C984="","",AE984*AC984)</f>
        <v/>
      </c>
      <c r="AG984" s="7">
        <f>IF($C984="","",AC984-AF984)</f>
        <v/>
      </c>
      <c r="AH984" s="7">
        <f>IF($C984="","",AG984-R984)</f>
        <v/>
      </c>
      <c r="AI984">
        <f>IF($C984="","",IF(COUNTIF($C$2:$C984,$C984)=1,1,0))</f>
        <v/>
      </c>
      <c r="AJ984">
        <f>IF($AI984=1,SUMPRODUCT(--($AL$2:$AL$1501&lt;$AL984))+1,"")</f>
        <v/>
      </c>
      <c r="AK984">
        <f>IF($C984="","",IF(OR($AD984=TRUE(),$AD984="TRUE"),0,1))</f>
        <v/>
      </c>
      <c r="AL984">
        <f>IF($AI984=1,IFERROR(IF(VALUE($C984)&lt;100000000,VALUE($C984),1000000000),IFERROR(IF(VALUE(MID($C984,2,20))&lt;100000000,VALUE(MID($C984,2,20)),1000000000),1000000000))+ROW()/100000,"")</f>
        <v/>
      </c>
    </row>
    <row r="985">
      <c r="J985" s="7" t="n"/>
      <c r="K985" s="7" t="n"/>
      <c r="R985" s="7">
        <f>IF($C985="","",Q985*AC985/100)</f>
        <v/>
      </c>
      <c r="S985" s="11" t="n"/>
      <c r="U985" s="11" t="n"/>
      <c r="AA985" s="7" t="n"/>
      <c r="AC985" s="7" t="n"/>
      <c r="AE985">
        <f>IF($C985="","",IF($AK985=1,Settings!$C$6,Settings!$C$7)*1)</f>
        <v/>
      </c>
      <c r="AF985" s="7">
        <f>IF($C985="","",AE985*AC985)</f>
        <v/>
      </c>
      <c r="AG985" s="7">
        <f>IF($C985="","",AC985-AF985)</f>
        <v/>
      </c>
      <c r="AH985" s="7">
        <f>IF($C985="","",AG985-R985)</f>
        <v/>
      </c>
      <c r="AI985">
        <f>IF($C985="","",IF(COUNTIF($C$2:$C985,$C985)=1,1,0))</f>
        <v/>
      </c>
      <c r="AJ985">
        <f>IF($AI985=1,SUMPRODUCT(--($AL$2:$AL$1501&lt;$AL985))+1,"")</f>
        <v/>
      </c>
      <c r="AK985">
        <f>IF($C985="","",IF(OR($AD985=TRUE(),$AD985="TRUE"),0,1))</f>
        <v/>
      </c>
      <c r="AL985">
        <f>IF($AI985=1,IFERROR(IF(VALUE($C985)&lt;100000000,VALUE($C985),1000000000),IFERROR(IF(VALUE(MID($C985,2,20))&lt;100000000,VALUE(MID($C985,2,20)),1000000000),1000000000))+ROW()/100000,"")</f>
        <v/>
      </c>
    </row>
    <row r="986">
      <c r="J986" s="7" t="n"/>
      <c r="K986" s="7" t="n"/>
      <c r="R986" s="7">
        <f>IF($C986="","",Q986*AC986/100)</f>
        <v/>
      </c>
      <c r="S986" s="11" t="n"/>
      <c r="U986" s="11" t="n"/>
      <c r="AA986" s="7" t="n"/>
      <c r="AC986" s="7" t="n"/>
      <c r="AE986">
        <f>IF($C986="","",IF($AK986=1,Settings!$C$6,Settings!$C$7)*1)</f>
        <v/>
      </c>
      <c r="AF986" s="7">
        <f>IF($C986="","",AE986*AC986)</f>
        <v/>
      </c>
      <c r="AG986" s="7">
        <f>IF($C986="","",AC986-AF986)</f>
        <v/>
      </c>
      <c r="AH986" s="7">
        <f>IF($C986="","",AG986-R986)</f>
        <v/>
      </c>
      <c r="AI986">
        <f>IF($C986="","",IF(COUNTIF($C$2:$C986,$C986)=1,1,0))</f>
        <v/>
      </c>
      <c r="AJ986">
        <f>IF($AI986=1,SUMPRODUCT(--($AL$2:$AL$1501&lt;$AL986))+1,"")</f>
        <v/>
      </c>
      <c r="AK986">
        <f>IF($C986="","",IF(OR($AD986=TRUE(),$AD986="TRUE"),0,1))</f>
        <v/>
      </c>
      <c r="AL986">
        <f>IF($AI986=1,IFERROR(IF(VALUE($C986)&lt;100000000,VALUE($C986),1000000000),IFERROR(IF(VALUE(MID($C986,2,20))&lt;100000000,VALUE(MID($C986,2,20)),1000000000),1000000000))+ROW()/100000,"")</f>
        <v/>
      </c>
    </row>
    <row r="987">
      <c r="J987" s="7" t="n"/>
      <c r="K987" s="7" t="n"/>
      <c r="R987" s="7">
        <f>IF($C987="","",Q987*AC987/100)</f>
        <v/>
      </c>
      <c r="S987" s="11" t="n"/>
      <c r="U987" s="11" t="n"/>
      <c r="AA987" s="7" t="n"/>
      <c r="AC987" s="7" t="n"/>
      <c r="AE987">
        <f>IF($C987="","",IF($AK987=1,Settings!$C$6,Settings!$C$7)*1)</f>
        <v/>
      </c>
      <c r="AF987" s="7">
        <f>IF($C987="","",AE987*AC987)</f>
        <v/>
      </c>
      <c r="AG987" s="7">
        <f>IF($C987="","",AC987-AF987)</f>
        <v/>
      </c>
      <c r="AH987" s="7">
        <f>IF($C987="","",AG987-R987)</f>
        <v/>
      </c>
      <c r="AI987">
        <f>IF($C987="","",IF(COUNTIF($C$2:$C987,$C987)=1,1,0))</f>
        <v/>
      </c>
      <c r="AJ987">
        <f>IF($AI987=1,SUMPRODUCT(--($AL$2:$AL$1501&lt;$AL987))+1,"")</f>
        <v/>
      </c>
      <c r="AK987">
        <f>IF($C987="","",IF(OR($AD987=TRUE(),$AD987="TRUE"),0,1))</f>
        <v/>
      </c>
      <c r="AL987">
        <f>IF($AI987=1,IFERROR(IF(VALUE($C987)&lt;100000000,VALUE($C987),1000000000),IFERROR(IF(VALUE(MID($C987,2,20))&lt;100000000,VALUE(MID($C987,2,20)),1000000000),1000000000))+ROW()/100000,"")</f>
        <v/>
      </c>
    </row>
    <row r="988">
      <c r="J988" s="7" t="n"/>
      <c r="K988" s="7" t="n"/>
      <c r="R988" s="7">
        <f>IF($C988="","",Q988*AC988/100)</f>
        <v/>
      </c>
      <c r="S988" s="11" t="n"/>
      <c r="U988" s="11" t="n"/>
      <c r="AA988" s="7" t="n"/>
      <c r="AC988" s="7" t="n"/>
      <c r="AE988">
        <f>IF($C988="","",IF($AK988=1,Settings!$C$6,Settings!$C$7)*1)</f>
        <v/>
      </c>
      <c r="AF988" s="7">
        <f>IF($C988="","",AE988*AC988)</f>
        <v/>
      </c>
      <c r="AG988" s="7">
        <f>IF($C988="","",AC988-AF988)</f>
        <v/>
      </c>
      <c r="AH988" s="7">
        <f>IF($C988="","",AG988-R988)</f>
        <v/>
      </c>
      <c r="AI988">
        <f>IF($C988="","",IF(COUNTIF($C$2:$C988,$C988)=1,1,0))</f>
        <v/>
      </c>
      <c r="AJ988">
        <f>IF($AI988=1,SUMPRODUCT(--($AL$2:$AL$1501&lt;$AL988))+1,"")</f>
        <v/>
      </c>
      <c r="AK988">
        <f>IF($C988="","",IF(OR($AD988=TRUE(),$AD988="TRUE"),0,1))</f>
        <v/>
      </c>
      <c r="AL988">
        <f>IF($AI988=1,IFERROR(IF(VALUE($C988)&lt;100000000,VALUE($C988),1000000000),IFERROR(IF(VALUE(MID($C988,2,20))&lt;100000000,VALUE(MID($C988,2,20)),1000000000),1000000000))+ROW()/100000,"")</f>
        <v/>
      </c>
    </row>
    <row r="989">
      <c r="J989" s="7" t="n"/>
      <c r="K989" s="7" t="n"/>
      <c r="R989" s="7">
        <f>IF($C989="","",Q989*AC989/100)</f>
        <v/>
      </c>
      <c r="S989" s="11" t="n"/>
      <c r="U989" s="11" t="n"/>
      <c r="AA989" s="7" t="n"/>
      <c r="AC989" s="7" t="n"/>
      <c r="AE989">
        <f>IF($C989="","",IF($AK989=1,Settings!$C$6,Settings!$C$7)*1)</f>
        <v/>
      </c>
      <c r="AF989" s="7">
        <f>IF($C989="","",AE989*AC989)</f>
        <v/>
      </c>
      <c r="AG989" s="7">
        <f>IF($C989="","",AC989-AF989)</f>
        <v/>
      </c>
      <c r="AH989" s="7">
        <f>IF($C989="","",AG989-R989)</f>
        <v/>
      </c>
      <c r="AI989">
        <f>IF($C989="","",IF(COUNTIF($C$2:$C989,$C989)=1,1,0))</f>
        <v/>
      </c>
      <c r="AJ989">
        <f>IF($AI989=1,SUMPRODUCT(--($AL$2:$AL$1501&lt;$AL989))+1,"")</f>
        <v/>
      </c>
      <c r="AK989">
        <f>IF($C989="","",IF(OR($AD989=TRUE(),$AD989="TRUE"),0,1))</f>
        <v/>
      </c>
      <c r="AL989">
        <f>IF($AI989=1,IFERROR(IF(VALUE($C989)&lt;100000000,VALUE($C989),1000000000),IFERROR(IF(VALUE(MID($C989,2,20))&lt;100000000,VALUE(MID($C989,2,20)),1000000000),1000000000))+ROW()/100000,"")</f>
        <v/>
      </c>
    </row>
    <row r="990">
      <c r="J990" s="7" t="n"/>
      <c r="K990" s="7" t="n"/>
      <c r="R990" s="7">
        <f>IF($C990="","",Q990*AC990/100)</f>
        <v/>
      </c>
      <c r="S990" s="11" t="n"/>
      <c r="U990" s="11" t="n"/>
      <c r="AA990" s="7" t="n"/>
      <c r="AC990" s="7" t="n"/>
      <c r="AE990">
        <f>IF($C990="","",IF($AK990=1,Settings!$C$6,Settings!$C$7)*1)</f>
        <v/>
      </c>
      <c r="AF990" s="7">
        <f>IF($C990="","",AE990*AC990)</f>
        <v/>
      </c>
      <c r="AG990" s="7">
        <f>IF($C990="","",AC990-AF990)</f>
        <v/>
      </c>
      <c r="AH990" s="7">
        <f>IF($C990="","",AG990-R990)</f>
        <v/>
      </c>
      <c r="AI990">
        <f>IF($C990="","",IF(COUNTIF($C$2:$C990,$C990)=1,1,0))</f>
        <v/>
      </c>
      <c r="AJ990">
        <f>IF($AI990=1,SUMPRODUCT(--($AL$2:$AL$1501&lt;$AL990))+1,"")</f>
        <v/>
      </c>
      <c r="AK990">
        <f>IF($C990="","",IF(OR($AD990=TRUE(),$AD990="TRUE"),0,1))</f>
        <v/>
      </c>
      <c r="AL990">
        <f>IF($AI990=1,IFERROR(IF(VALUE($C990)&lt;100000000,VALUE($C990),1000000000),IFERROR(IF(VALUE(MID($C990,2,20))&lt;100000000,VALUE(MID($C990,2,20)),1000000000),1000000000))+ROW()/100000,"")</f>
        <v/>
      </c>
    </row>
    <row r="991">
      <c r="J991" s="7" t="n"/>
      <c r="K991" s="7" t="n"/>
      <c r="R991" s="7">
        <f>IF($C991="","",Q991*AC991/100)</f>
        <v/>
      </c>
      <c r="S991" s="11" t="n"/>
      <c r="U991" s="11" t="n"/>
      <c r="AA991" s="7" t="n"/>
      <c r="AC991" s="7" t="n"/>
      <c r="AE991">
        <f>IF($C991="","",IF($AK991=1,Settings!$C$6,Settings!$C$7)*1)</f>
        <v/>
      </c>
      <c r="AF991" s="7">
        <f>IF($C991="","",AE991*AC991)</f>
        <v/>
      </c>
      <c r="AG991" s="7">
        <f>IF($C991="","",AC991-AF991)</f>
        <v/>
      </c>
      <c r="AH991" s="7">
        <f>IF($C991="","",AG991-R991)</f>
        <v/>
      </c>
      <c r="AI991">
        <f>IF($C991="","",IF(COUNTIF($C$2:$C991,$C991)=1,1,0))</f>
        <v/>
      </c>
      <c r="AJ991">
        <f>IF($AI991=1,SUMPRODUCT(--($AL$2:$AL$1501&lt;$AL991))+1,"")</f>
        <v/>
      </c>
      <c r="AK991">
        <f>IF($C991="","",IF(OR($AD991=TRUE(),$AD991="TRUE"),0,1))</f>
        <v/>
      </c>
      <c r="AL991">
        <f>IF($AI991=1,IFERROR(IF(VALUE($C991)&lt;100000000,VALUE($C991),1000000000),IFERROR(IF(VALUE(MID($C991,2,20))&lt;100000000,VALUE(MID($C991,2,20)),1000000000),1000000000))+ROW()/100000,"")</f>
        <v/>
      </c>
    </row>
    <row r="992">
      <c r="J992" s="7" t="n"/>
      <c r="K992" s="7" t="n"/>
      <c r="R992" s="7">
        <f>IF($C992="","",Q992*AC992/100)</f>
        <v/>
      </c>
      <c r="S992" s="11" t="n"/>
      <c r="U992" s="11" t="n"/>
      <c r="AA992" s="7" t="n"/>
      <c r="AC992" s="7" t="n"/>
      <c r="AE992">
        <f>IF($C992="","",IF($AK992=1,Settings!$C$6,Settings!$C$7)*1)</f>
        <v/>
      </c>
      <c r="AF992" s="7">
        <f>IF($C992="","",AE992*AC992)</f>
        <v/>
      </c>
      <c r="AG992" s="7">
        <f>IF($C992="","",AC992-AF992)</f>
        <v/>
      </c>
      <c r="AH992" s="7">
        <f>IF($C992="","",AG992-R992)</f>
        <v/>
      </c>
      <c r="AI992">
        <f>IF($C992="","",IF(COUNTIF($C$2:$C992,$C992)=1,1,0))</f>
        <v/>
      </c>
      <c r="AJ992">
        <f>IF($AI992=1,SUMPRODUCT(--($AL$2:$AL$1501&lt;$AL992))+1,"")</f>
        <v/>
      </c>
      <c r="AK992">
        <f>IF($C992="","",IF(OR($AD992=TRUE(),$AD992="TRUE"),0,1))</f>
        <v/>
      </c>
      <c r="AL992">
        <f>IF($AI992=1,IFERROR(IF(VALUE($C992)&lt;100000000,VALUE($C992),1000000000),IFERROR(IF(VALUE(MID($C992,2,20))&lt;100000000,VALUE(MID($C992,2,20)),1000000000),1000000000))+ROW()/100000,"")</f>
        <v/>
      </c>
    </row>
    <row r="993">
      <c r="J993" s="7" t="n"/>
      <c r="K993" s="7" t="n"/>
      <c r="R993" s="7">
        <f>IF($C993="","",Q993*AC993/100)</f>
        <v/>
      </c>
      <c r="S993" s="11" t="n"/>
      <c r="U993" s="11" t="n"/>
      <c r="AA993" s="7" t="n"/>
      <c r="AC993" s="7" t="n"/>
      <c r="AE993">
        <f>IF($C993="","",IF($AK993=1,Settings!$C$6,Settings!$C$7)*1)</f>
        <v/>
      </c>
      <c r="AF993" s="7">
        <f>IF($C993="","",AE993*AC993)</f>
        <v/>
      </c>
      <c r="AG993" s="7">
        <f>IF($C993="","",AC993-AF993)</f>
        <v/>
      </c>
      <c r="AH993" s="7">
        <f>IF($C993="","",AG993-R993)</f>
        <v/>
      </c>
      <c r="AI993">
        <f>IF($C993="","",IF(COUNTIF($C$2:$C993,$C993)=1,1,0))</f>
        <v/>
      </c>
      <c r="AJ993">
        <f>IF($AI993=1,SUMPRODUCT(--($AL$2:$AL$1501&lt;$AL993))+1,"")</f>
        <v/>
      </c>
      <c r="AK993">
        <f>IF($C993="","",IF(OR($AD993=TRUE(),$AD993="TRUE"),0,1))</f>
        <v/>
      </c>
      <c r="AL993">
        <f>IF($AI993=1,IFERROR(IF(VALUE($C993)&lt;100000000,VALUE($C993),1000000000),IFERROR(IF(VALUE(MID($C993,2,20))&lt;100000000,VALUE(MID($C993,2,20)),1000000000),1000000000))+ROW()/100000,"")</f>
        <v/>
      </c>
    </row>
    <row r="994">
      <c r="J994" s="7" t="n"/>
      <c r="K994" s="7" t="n"/>
      <c r="R994" s="7">
        <f>IF($C994="","",Q994*AC994/100)</f>
        <v/>
      </c>
      <c r="S994" s="11" t="n"/>
      <c r="U994" s="11" t="n"/>
      <c r="AA994" s="7" t="n"/>
      <c r="AC994" s="7" t="n"/>
      <c r="AE994">
        <f>IF($C994="","",IF($AK994=1,Settings!$C$6,Settings!$C$7)*1)</f>
        <v/>
      </c>
      <c r="AF994" s="7">
        <f>IF($C994="","",AE994*AC994)</f>
        <v/>
      </c>
      <c r="AG994" s="7">
        <f>IF($C994="","",AC994-AF994)</f>
        <v/>
      </c>
      <c r="AH994" s="7">
        <f>IF($C994="","",AG994-R994)</f>
        <v/>
      </c>
      <c r="AI994">
        <f>IF($C994="","",IF(COUNTIF($C$2:$C994,$C994)=1,1,0))</f>
        <v/>
      </c>
      <c r="AJ994">
        <f>IF($AI994=1,SUMPRODUCT(--($AL$2:$AL$1501&lt;$AL994))+1,"")</f>
        <v/>
      </c>
      <c r="AK994">
        <f>IF($C994="","",IF(OR($AD994=TRUE(),$AD994="TRUE"),0,1))</f>
        <v/>
      </c>
      <c r="AL994">
        <f>IF($AI994=1,IFERROR(IF(VALUE($C994)&lt;100000000,VALUE($C994),1000000000),IFERROR(IF(VALUE(MID($C994,2,20))&lt;100000000,VALUE(MID($C994,2,20)),1000000000),1000000000))+ROW()/100000,"")</f>
        <v/>
      </c>
    </row>
    <row r="995">
      <c r="J995" s="7" t="n"/>
      <c r="K995" s="7" t="n"/>
      <c r="R995" s="7">
        <f>IF($C995="","",Q995*AC995/100)</f>
        <v/>
      </c>
      <c r="S995" s="11" t="n"/>
      <c r="U995" s="11" t="n"/>
      <c r="AA995" s="7" t="n"/>
      <c r="AC995" s="7" t="n"/>
      <c r="AE995">
        <f>IF($C995="","",IF($AK995=1,Settings!$C$6,Settings!$C$7)*1)</f>
        <v/>
      </c>
      <c r="AF995" s="7">
        <f>IF($C995="","",AE995*AC995)</f>
        <v/>
      </c>
      <c r="AG995" s="7">
        <f>IF($C995="","",AC995-AF995)</f>
        <v/>
      </c>
      <c r="AH995" s="7">
        <f>IF($C995="","",AG995-R995)</f>
        <v/>
      </c>
      <c r="AI995">
        <f>IF($C995="","",IF(COUNTIF($C$2:$C995,$C995)=1,1,0))</f>
        <v/>
      </c>
      <c r="AJ995">
        <f>IF($AI995=1,SUMPRODUCT(--($AL$2:$AL$1501&lt;$AL995))+1,"")</f>
        <v/>
      </c>
      <c r="AK995">
        <f>IF($C995="","",IF(OR($AD995=TRUE(),$AD995="TRUE"),0,1))</f>
        <v/>
      </c>
      <c r="AL995">
        <f>IF($AI995=1,IFERROR(IF(VALUE($C995)&lt;100000000,VALUE($C995),1000000000),IFERROR(IF(VALUE(MID($C995,2,20))&lt;100000000,VALUE(MID($C995,2,20)),1000000000),1000000000))+ROW()/100000,"")</f>
        <v/>
      </c>
    </row>
    <row r="996">
      <c r="J996" s="7" t="n"/>
      <c r="K996" s="7" t="n"/>
      <c r="R996" s="7">
        <f>IF($C996="","",Q996*AC996/100)</f>
        <v/>
      </c>
      <c r="S996" s="11" t="n"/>
      <c r="U996" s="11" t="n"/>
      <c r="AA996" s="7" t="n"/>
      <c r="AC996" s="7" t="n"/>
      <c r="AE996">
        <f>IF($C996="","",IF($AK996=1,Settings!$C$6,Settings!$C$7)*1)</f>
        <v/>
      </c>
      <c r="AF996" s="7">
        <f>IF($C996="","",AE996*AC996)</f>
        <v/>
      </c>
      <c r="AG996" s="7">
        <f>IF($C996="","",AC996-AF996)</f>
        <v/>
      </c>
      <c r="AH996" s="7">
        <f>IF($C996="","",AG996-R996)</f>
        <v/>
      </c>
      <c r="AI996">
        <f>IF($C996="","",IF(COUNTIF($C$2:$C996,$C996)=1,1,0))</f>
        <v/>
      </c>
      <c r="AJ996">
        <f>IF($AI996=1,SUMPRODUCT(--($AL$2:$AL$1501&lt;$AL996))+1,"")</f>
        <v/>
      </c>
      <c r="AK996">
        <f>IF($C996="","",IF(OR($AD996=TRUE(),$AD996="TRUE"),0,1))</f>
        <v/>
      </c>
      <c r="AL996">
        <f>IF($AI996=1,IFERROR(IF(VALUE($C996)&lt;100000000,VALUE($C996),1000000000),IFERROR(IF(VALUE(MID($C996,2,20))&lt;100000000,VALUE(MID($C996,2,20)),1000000000),1000000000))+ROW()/100000,"")</f>
        <v/>
      </c>
    </row>
    <row r="997">
      <c r="J997" s="7" t="n"/>
      <c r="K997" s="7" t="n"/>
      <c r="R997" s="7">
        <f>IF($C997="","",Q997*AC997/100)</f>
        <v/>
      </c>
      <c r="S997" s="11" t="n"/>
      <c r="U997" s="11" t="n"/>
      <c r="AA997" s="7" t="n"/>
      <c r="AC997" s="7" t="n"/>
      <c r="AE997">
        <f>IF($C997="","",IF($AK997=1,Settings!$C$6,Settings!$C$7)*1)</f>
        <v/>
      </c>
      <c r="AF997" s="7">
        <f>IF($C997="","",AE997*AC997)</f>
        <v/>
      </c>
      <c r="AG997" s="7">
        <f>IF($C997="","",AC997-AF997)</f>
        <v/>
      </c>
      <c r="AH997" s="7">
        <f>IF($C997="","",AG997-R997)</f>
        <v/>
      </c>
      <c r="AI997">
        <f>IF($C997="","",IF(COUNTIF($C$2:$C997,$C997)=1,1,0))</f>
        <v/>
      </c>
      <c r="AJ997">
        <f>IF($AI997=1,SUMPRODUCT(--($AL$2:$AL$1501&lt;$AL997))+1,"")</f>
        <v/>
      </c>
      <c r="AK997">
        <f>IF($C997="","",IF(OR($AD997=TRUE(),$AD997="TRUE"),0,1))</f>
        <v/>
      </c>
      <c r="AL997">
        <f>IF($AI997=1,IFERROR(IF(VALUE($C997)&lt;100000000,VALUE($C997),1000000000),IFERROR(IF(VALUE(MID($C997,2,20))&lt;100000000,VALUE(MID($C997,2,20)),1000000000),1000000000))+ROW()/100000,"")</f>
        <v/>
      </c>
    </row>
    <row r="998">
      <c r="J998" s="7" t="n"/>
      <c r="K998" s="7" t="n"/>
      <c r="R998" s="7">
        <f>IF($C998="","",Q998*AC998/100)</f>
        <v/>
      </c>
      <c r="S998" s="11" t="n"/>
      <c r="U998" s="11" t="n"/>
      <c r="AA998" s="7" t="n"/>
      <c r="AC998" s="7" t="n"/>
      <c r="AE998">
        <f>IF($C998="","",IF($AK998=1,Settings!$C$6,Settings!$C$7)*1)</f>
        <v/>
      </c>
      <c r="AF998" s="7">
        <f>IF($C998="","",AE998*AC998)</f>
        <v/>
      </c>
      <c r="AG998" s="7">
        <f>IF($C998="","",AC998-AF998)</f>
        <v/>
      </c>
      <c r="AH998" s="7">
        <f>IF($C998="","",AG998-R998)</f>
        <v/>
      </c>
      <c r="AI998">
        <f>IF($C998="","",IF(COUNTIF($C$2:$C998,$C998)=1,1,0))</f>
        <v/>
      </c>
      <c r="AJ998">
        <f>IF($AI998=1,SUMPRODUCT(--($AL$2:$AL$1501&lt;$AL998))+1,"")</f>
        <v/>
      </c>
      <c r="AK998">
        <f>IF($C998="","",IF(OR($AD998=TRUE(),$AD998="TRUE"),0,1))</f>
        <v/>
      </c>
      <c r="AL998">
        <f>IF($AI998=1,IFERROR(IF(VALUE($C998)&lt;100000000,VALUE($C998),1000000000),IFERROR(IF(VALUE(MID($C998,2,20))&lt;100000000,VALUE(MID($C998,2,20)),1000000000),1000000000))+ROW()/100000,"")</f>
        <v/>
      </c>
    </row>
    <row r="999">
      <c r="J999" s="7" t="n"/>
      <c r="K999" s="7" t="n"/>
      <c r="R999" s="7">
        <f>IF($C999="","",Q999*AC999/100)</f>
        <v/>
      </c>
      <c r="S999" s="11" t="n"/>
      <c r="U999" s="11" t="n"/>
      <c r="AA999" s="7" t="n"/>
      <c r="AC999" s="7" t="n"/>
      <c r="AE999">
        <f>IF($C999="","",IF($AK999=1,Settings!$C$6,Settings!$C$7)*1)</f>
        <v/>
      </c>
      <c r="AF999" s="7">
        <f>IF($C999="","",AE999*AC999)</f>
        <v/>
      </c>
      <c r="AG999" s="7">
        <f>IF($C999="","",AC999-AF999)</f>
        <v/>
      </c>
      <c r="AH999" s="7">
        <f>IF($C999="","",AG999-R999)</f>
        <v/>
      </c>
      <c r="AI999">
        <f>IF($C999="","",IF(COUNTIF($C$2:$C999,$C999)=1,1,0))</f>
        <v/>
      </c>
      <c r="AJ999">
        <f>IF($AI999=1,SUMPRODUCT(--($AL$2:$AL$1501&lt;$AL999))+1,"")</f>
        <v/>
      </c>
      <c r="AK999">
        <f>IF($C999="","",IF(OR($AD999=TRUE(),$AD999="TRUE"),0,1))</f>
        <v/>
      </c>
      <c r="AL999">
        <f>IF($AI999=1,IFERROR(IF(VALUE($C999)&lt;100000000,VALUE($C999),1000000000),IFERROR(IF(VALUE(MID($C999,2,20))&lt;100000000,VALUE(MID($C999,2,20)),1000000000),1000000000))+ROW()/100000,"")</f>
        <v/>
      </c>
    </row>
    <row r="1000">
      <c r="J1000" s="7" t="n"/>
      <c r="K1000" s="7" t="n"/>
      <c r="R1000" s="7">
        <f>IF($C1000="","",Q1000*AC1000/100)</f>
        <v/>
      </c>
      <c r="S1000" s="11" t="n"/>
      <c r="U1000" s="11" t="n"/>
      <c r="AA1000" s="7" t="n"/>
      <c r="AC1000" s="7" t="n"/>
      <c r="AE1000">
        <f>IF($C1000="","",IF($AK1000=1,Settings!$C$6,Settings!$C$7)*1)</f>
        <v/>
      </c>
      <c r="AF1000" s="7">
        <f>IF($C1000="","",AE1000*AC1000)</f>
        <v/>
      </c>
      <c r="AG1000" s="7">
        <f>IF($C1000="","",AC1000-AF1000)</f>
        <v/>
      </c>
      <c r="AH1000" s="7">
        <f>IF($C1000="","",AG1000-R1000)</f>
        <v/>
      </c>
      <c r="AI1000">
        <f>IF($C1000="","",IF(COUNTIF($C$2:$C1000,$C1000)=1,1,0))</f>
        <v/>
      </c>
      <c r="AJ1000">
        <f>IF($AI1000=1,SUMPRODUCT(--($AL$2:$AL$1501&lt;$AL1000))+1,"")</f>
        <v/>
      </c>
      <c r="AK1000">
        <f>IF($C1000="","",IF(OR($AD1000=TRUE(),$AD1000="TRUE"),0,1))</f>
        <v/>
      </c>
      <c r="AL1000">
        <f>IF($AI1000=1,IFERROR(IF(VALUE($C1000)&lt;100000000,VALUE($C1000),1000000000),IFERROR(IF(VALUE(MID($C1000,2,20))&lt;100000000,VALUE(MID($C1000,2,20)),1000000000),1000000000))+ROW()/100000,"")</f>
        <v/>
      </c>
    </row>
    <row r="1001">
      <c r="J1001" s="7" t="n"/>
      <c r="K1001" s="7" t="n"/>
      <c r="R1001" s="7">
        <f>IF($C1001="","",Q1001*AC1001/100)</f>
        <v/>
      </c>
      <c r="S1001" s="11" t="n"/>
      <c r="U1001" s="11" t="n"/>
      <c r="AA1001" s="7" t="n"/>
      <c r="AC1001" s="7" t="n"/>
      <c r="AE1001">
        <f>IF($C1001="","",IF($AK1001=1,Settings!$C$6,Settings!$C$7)*1)</f>
        <v/>
      </c>
      <c r="AF1001" s="7">
        <f>IF($C1001="","",AE1001*AC1001)</f>
        <v/>
      </c>
      <c r="AG1001" s="7">
        <f>IF($C1001="","",AC1001-AF1001)</f>
        <v/>
      </c>
      <c r="AH1001" s="7">
        <f>IF($C1001="","",AG1001-R1001)</f>
        <v/>
      </c>
      <c r="AI1001">
        <f>IF($C1001="","",IF(COUNTIF($C$2:$C1001,$C1001)=1,1,0))</f>
        <v/>
      </c>
      <c r="AJ1001">
        <f>IF($AI1001=1,SUMPRODUCT(--($AL$2:$AL$1501&lt;$AL1001))+1,"")</f>
        <v/>
      </c>
      <c r="AK1001">
        <f>IF($C1001="","",IF(OR($AD1001=TRUE(),$AD1001="TRUE"),0,1))</f>
        <v/>
      </c>
      <c r="AL1001">
        <f>IF($AI1001=1,IFERROR(IF(VALUE($C1001)&lt;100000000,VALUE($C1001),1000000000),IFERROR(IF(VALUE(MID($C1001,2,20))&lt;100000000,VALUE(MID($C1001,2,20)),1000000000),1000000000))+ROW()/100000,"")</f>
        <v/>
      </c>
    </row>
    <row r="1002">
      <c r="J1002" s="7" t="n"/>
      <c r="K1002" s="7" t="n"/>
      <c r="R1002" s="7">
        <f>IF($C1002="","",Q1002*AC1002/100)</f>
        <v/>
      </c>
      <c r="S1002" s="11" t="n"/>
      <c r="U1002" s="11" t="n"/>
      <c r="AA1002" s="7" t="n"/>
      <c r="AC1002" s="7" t="n"/>
      <c r="AE1002">
        <f>IF($C1002="","",IF($AK1002=1,Settings!$C$6,Settings!$C$7)*1)</f>
        <v/>
      </c>
      <c r="AF1002" s="7">
        <f>IF($C1002="","",AE1002*AC1002)</f>
        <v/>
      </c>
      <c r="AG1002" s="7">
        <f>IF($C1002="","",AC1002-AF1002)</f>
        <v/>
      </c>
      <c r="AH1002" s="7">
        <f>IF($C1002="","",AG1002-R1002)</f>
        <v/>
      </c>
      <c r="AI1002">
        <f>IF($C1002="","",IF(COUNTIF($C$2:$C1002,$C1002)=1,1,0))</f>
        <v/>
      </c>
      <c r="AJ1002">
        <f>IF($AI1002=1,SUMPRODUCT(--($AL$2:$AL$1501&lt;$AL1002))+1,"")</f>
        <v/>
      </c>
      <c r="AK1002">
        <f>IF($C1002="","",IF(OR($AD1002=TRUE(),$AD1002="TRUE"),0,1))</f>
        <v/>
      </c>
      <c r="AL1002">
        <f>IF($AI1002=1,IFERROR(IF(VALUE($C1002)&lt;100000000,VALUE($C1002),1000000000),IFERROR(IF(VALUE(MID($C1002,2,20))&lt;100000000,VALUE(MID($C1002,2,20)),1000000000),1000000000))+ROW()/100000,"")</f>
        <v/>
      </c>
    </row>
    <row r="1003">
      <c r="J1003" s="7" t="n"/>
      <c r="K1003" s="7" t="n"/>
      <c r="R1003" s="7">
        <f>IF($C1003="","",Q1003*AC1003/100)</f>
        <v/>
      </c>
      <c r="S1003" s="11" t="n"/>
      <c r="U1003" s="11" t="n"/>
      <c r="AA1003" s="7" t="n"/>
      <c r="AC1003" s="7" t="n"/>
      <c r="AE1003">
        <f>IF($C1003="","",IF($AK1003=1,Settings!$C$6,Settings!$C$7)*1)</f>
        <v/>
      </c>
      <c r="AF1003" s="7">
        <f>IF($C1003="","",AE1003*AC1003)</f>
        <v/>
      </c>
      <c r="AG1003" s="7">
        <f>IF($C1003="","",AC1003-AF1003)</f>
        <v/>
      </c>
      <c r="AH1003" s="7">
        <f>IF($C1003="","",AG1003-R1003)</f>
        <v/>
      </c>
      <c r="AI1003">
        <f>IF($C1003="","",IF(COUNTIF($C$2:$C1003,$C1003)=1,1,0))</f>
        <v/>
      </c>
      <c r="AJ1003">
        <f>IF($AI1003=1,SUMPRODUCT(--($AL$2:$AL$1501&lt;$AL1003))+1,"")</f>
        <v/>
      </c>
      <c r="AK1003">
        <f>IF($C1003="","",IF(OR($AD1003=TRUE(),$AD1003="TRUE"),0,1))</f>
        <v/>
      </c>
      <c r="AL1003">
        <f>IF($AI1003=1,IFERROR(IF(VALUE($C1003)&lt;100000000,VALUE($C1003),1000000000),IFERROR(IF(VALUE(MID($C1003,2,20))&lt;100000000,VALUE(MID($C1003,2,20)),1000000000),1000000000))+ROW()/100000,"")</f>
        <v/>
      </c>
    </row>
    <row r="1004">
      <c r="J1004" s="7" t="n"/>
      <c r="K1004" s="7" t="n"/>
      <c r="R1004" s="7">
        <f>IF($C1004="","",Q1004*AC1004/100)</f>
        <v/>
      </c>
      <c r="S1004" s="11" t="n"/>
      <c r="U1004" s="11" t="n"/>
      <c r="AA1004" s="7" t="n"/>
      <c r="AC1004" s="7" t="n"/>
      <c r="AE1004">
        <f>IF($C1004="","",IF($AK1004=1,Settings!$C$6,Settings!$C$7)*1)</f>
        <v/>
      </c>
      <c r="AF1004" s="7">
        <f>IF($C1004="","",AE1004*AC1004)</f>
        <v/>
      </c>
      <c r="AG1004" s="7">
        <f>IF($C1004="","",AC1004-AF1004)</f>
        <v/>
      </c>
      <c r="AH1004" s="7">
        <f>IF($C1004="","",AG1004-R1004)</f>
        <v/>
      </c>
      <c r="AI1004">
        <f>IF($C1004="","",IF(COUNTIF($C$2:$C1004,$C1004)=1,1,0))</f>
        <v/>
      </c>
      <c r="AJ1004">
        <f>IF($AI1004=1,SUMPRODUCT(--($AL$2:$AL$1501&lt;$AL1004))+1,"")</f>
        <v/>
      </c>
      <c r="AK1004">
        <f>IF($C1004="","",IF(OR($AD1004=TRUE(),$AD1004="TRUE"),0,1))</f>
        <v/>
      </c>
      <c r="AL1004">
        <f>IF($AI1004=1,IFERROR(IF(VALUE($C1004)&lt;100000000,VALUE($C1004),1000000000),IFERROR(IF(VALUE(MID($C1004,2,20))&lt;100000000,VALUE(MID($C1004,2,20)),1000000000),1000000000))+ROW()/100000,"")</f>
        <v/>
      </c>
    </row>
    <row r="1005">
      <c r="J1005" s="7" t="n"/>
      <c r="K1005" s="7" t="n"/>
      <c r="R1005" s="7">
        <f>IF($C1005="","",Q1005*AC1005/100)</f>
        <v/>
      </c>
      <c r="S1005" s="11" t="n"/>
      <c r="U1005" s="11" t="n"/>
      <c r="AA1005" s="7" t="n"/>
      <c r="AC1005" s="7" t="n"/>
      <c r="AE1005">
        <f>IF($C1005="","",IF($AK1005=1,Settings!$C$6,Settings!$C$7)*1)</f>
        <v/>
      </c>
      <c r="AF1005" s="7">
        <f>IF($C1005="","",AE1005*AC1005)</f>
        <v/>
      </c>
      <c r="AG1005" s="7">
        <f>IF($C1005="","",AC1005-AF1005)</f>
        <v/>
      </c>
      <c r="AH1005" s="7">
        <f>IF($C1005="","",AG1005-R1005)</f>
        <v/>
      </c>
      <c r="AI1005">
        <f>IF($C1005="","",IF(COUNTIF($C$2:$C1005,$C1005)=1,1,0))</f>
        <v/>
      </c>
      <c r="AJ1005">
        <f>IF($AI1005=1,SUMPRODUCT(--($AL$2:$AL$1501&lt;$AL1005))+1,"")</f>
        <v/>
      </c>
      <c r="AK1005">
        <f>IF($C1005="","",IF(OR($AD1005=TRUE(),$AD1005="TRUE"),0,1))</f>
        <v/>
      </c>
      <c r="AL1005">
        <f>IF($AI1005=1,IFERROR(IF(VALUE($C1005)&lt;100000000,VALUE($C1005),1000000000),IFERROR(IF(VALUE(MID($C1005,2,20))&lt;100000000,VALUE(MID($C1005,2,20)),1000000000),1000000000))+ROW()/100000,"")</f>
        <v/>
      </c>
    </row>
    <row r="1006">
      <c r="J1006" s="7" t="n"/>
      <c r="K1006" s="7" t="n"/>
      <c r="R1006" s="7">
        <f>IF($C1006="","",Q1006*AC1006/100)</f>
        <v/>
      </c>
      <c r="S1006" s="11" t="n"/>
      <c r="U1006" s="11" t="n"/>
      <c r="AA1006" s="7" t="n"/>
      <c r="AC1006" s="7" t="n"/>
      <c r="AE1006">
        <f>IF($C1006="","",IF($AK1006=1,Settings!$C$6,Settings!$C$7)*1)</f>
        <v/>
      </c>
      <c r="AF1006" s="7">
        <f>IF($C1006="","",AE1006*AC1006)</f>
        <v/>
      </c>
      <c r="AG1006" s="7">
        <f>IF($C1006="","",AC1006-AF1006)</f>
        <v/>
      </c>
      <c r="AH1006" s="7">
        <f>IF($C1006="","",AG1006-R1006)</f>
        <v/>
      </c>
      <c r="AI1006">
        <f>IF($C1006="","",IF(COUNTIF($C$2:$C1006,$C1006)=1,1,0))</f>
        <v/>
      </c>
      <c r="AJ1006">
        <f>IF($AI1006=1,SUMPRODUCT(--($AL$2:$AL$1501&lt;$AL1006))+1,"")</f>
        <v/>
      </c>
      <c r="AK1006">
        <f>IF($C1006="","",IF(OR($AD1006=TRUE(),$AD1006="TRUE"),0,1))</f>
        <v/>
      </c>
      <c r="AL1006">
        <f>IF($AI1006=1,IFERROR(IF(VALUE($C1006)&lt;100000000,VALUE($C1006),1000000000),IFERROR(IF(VALUE(MID($C1006,2,20))&lt;100000000,VALUE(MID($C1006,2,20)),1000000000),1000000000))+ROW()/100000,"")</f>
        <v/>
      </c>
    </row>
    <row r="1007">
      <c r="J1007" s="7" t="n"/>
      <c r="K1007" s="7" t="n"/>
      <c r="R1007" s="7">
        <f>IF($C1007="","",Q1007*AC1007/100)</f>
        <v/>
      </c>
      <c r="S1007" s="11" t="n"/>
      <c r="U1007" s="11" t="n"/>
      <c r="AA1007" s="7" t="n"/>
      <c r="AC1007" s="7" t="n"/>
      <c r="AE1007">
        <f>IF($C1007="","",IF($AK1007=1,Settings!$C$6,Settings!$C$7)*1)</f>
        <v/>
      </c>
      <c r="AF1007" s="7">
        <f>IF($C1007="","",AE1007*AC1007)</f>
        <v/>
      </c>
      <c r="AG1007" s="7">
        <f>IF($C1007="","",AC1007-AF1007)</f>
        <v/>
      </c>
      <c r="AH1007" s="7">
        <f>IF($C1007="","",AG1007-R1007)</f>
        <v/>
      </c>
      <c r="AI1007">
        <f>IF($C1007="","",IF(COUNTIF($C$2:$C1007,$C1007)=1,1,0))</f>
        <v/>
      </c>
      <c r="AJ1007">
        <f>IF($AI1007=1,SUMPRODUCT(--($AL$2:$AL$1501&lt;$AL1007))+1,"")</f>
        <v/>
      </c>
      <c r="AK1007">
        <f>IF($C1007="","",IF(OR($AD1007=TRUE(),$AD1007="TRUE"),0,1))</f>
        <v/>
      </c>
      <c r="AL1007">
        <f>IF($AI1007=1,IFERROR(IF(VALUE($C1007)&lt;100000000,VALUE($C1007),1000000000),IFERROR(IF(VALUE(MID($C1007,2,20))&lt;100000000,VALUE(MID($C1007,2,20)),1000000000),1000000000))+ROW()/100000,"")</f>
        <v/>
      </c>
    </row>
    <row r="1008">
      <c r="J1008" s="7" t="n"/>
      <c r="K1008" s="7" t="n"/>
      <c r="R1008" s="7">
        <f>IF($C1008="","",Q1008*AC1008/100)</f>
        <v/>
      </c>
      <c r="S1008" s="11" t="n"/>
      <c r="U1008" s="11" t="n"/>
      <c r="AA1008" s="7" t="n"/>
      <c r="AC1008" s="7" t="n"/>
      <c r="AE1008">
        <f>IF($C1008="","",IF($AK1008=1,Settings!$C$6,Settings!$C$7)*1)</f>
        <v/>
      </c>
      <c r="AF1008" s="7">
        <f>IF($C1008="","",AE1008*AC1008)</f>
        <v/>
      </c>
      <c r="AG1008" s="7">
        <f>IF($C1008="","",AC1008-AF1008)</f>
        <v/>
      </c>
      <c r="AH1008" s="7">
        <f>IF($C1008="","",AG1008-R1008)</f>
        <v/>
      </c>
      <c r="AI1008">
        <f>IF($C1008="","",IF(COUNTIF($C$2:$C1008,$C1008)=1,1,0))</f>
        <v/>
      </c>
      <c r="AJ1008">
        <f>IF($AI1008=1,SUMPRODUCT(--($AL$2:$AL$1501&lt;$AL1008))+1,"")</f>
        <v/>
      </c>
      <c r="AK1008">
        <f>IF($C1008="","",IF(OR($AD1008=TRUE(),$AD1008="TRUE"),0,1))</f>
        <v/>
      </c>
      <c r="AL1008">
        <f>IF($AI1008=1,IFERROR(IF(VALUE($C1008)&lt;100000000,VALUE($C1008),1000000000),IFERROR(IF(VALUE(MID($C1008,2,20))&lt;100000000,VALUE(MID($C1008,2,20)),1000000000),1000000000))+ROW()/100000,"")</f>
        <v/>
      </c>
    </row>
    <row r="1009">
      <c r="J1009" s="7" t="n"/>
      <c r="K1009" s="7" t="n"/>
      <c r="R1009" s="7">
        <f>IF($C1009="","",Q1009*AC1009/100)</f>
        <v/>
      </c>
      <c r="S1009" s="11" t="n"/>
      <c r="U1009" s="11" t="n"/>
      <c r="AA1009" s="7" t="n"/>
      <c r="AC1009" s="7" t="n"/>
      <c r="AE1009">
        <f>IF($C1009="","",IF($AK1009=1,Settings!$C$6,Settings!$C$7)*1)</f>
        <v/>
      </c>
      <c r="AF1009" s="7">
        <f>IF($C1009="","",AE1009*AC1009)</f>
        <v/>
      </c>
      <c r="AG1009" s="7">
        <f>IF($C1009="","",AC1009-AF1009)</f>
        <v/>
      </c>
      <c r="AH1009" s="7">
        <f>IF($C1009="","",AG1009-R1009)</f>
        <v/>
      </c>
      <c r="AI1009">
        <f>IF($C1009="","",IF(COUNTIF($C$2:$C1009,$C1009)=1,1,0))</f>
        <v/>
      </c>
      <c r="AJ1009">
        <f>IF($AI1009=1,SUMPRODUCT(--($AL$2:$AL$1501&lt;$AL1009))+1,"")</f>
        <v/>
      </c>
      <c r="AK1009">
        <f>IF($C1009="","",IF(OR($AD1009=TRUE(),$AD1009="TRUE"),0,1))</f>
        <v/>
      </c>
      <c r="AL1009">
        <f>IF($AI1009=1,IFERROR(IF(VALUE($C1009)&lt;100000000,VALUE($C1009),1000000000),IFERROR(IF(VALUE(MID($C1009,2,20))&lt;100000000,VALUE(MID($C1009,2,20)),1000000000),1000000000))+ROW()/100000,"")</f>
        <v/>
      </c>
    </row>
    <row r="1010">
      <c r="J1010" s="7" t="n"/>
      <c r="K1010" s="7" t="n"/>
      <c r="R1010" s="7">
        <f>IF($C1010="","",Q1010*AC1010/100)</f>
        <v/>
      </c>
      <c r="S1010" s="11" t="n"/>
      <c r="U1010" s="11" t="n"/>
      <c r="AA1010" s="7" t="n"/>
      <c r="AC1010" s="7" t="n"/>
      <c r="AE1010">
        <f>IF($C1010="","",IF($AK1010=1,Settings!$C$6,Settings!$C$7)*1)</f>
        <v/>
      </c>
      <c r="AF1010" s="7">
        <f>IF($C1010="","",AE1010*AC1010)</f>
        <v/>
      </c>
      <c r="AG1010" s="7">
        <f>IF($C1010="","",AC1010-AF1010)</f>
        <v/>
      </c>
      <c r="AH1010" s="7">
        <f>IF($C1010="","",AG1010-R1010)</f>
        <v/>
      </c>
      <c r="AI1010">
        <f>IF($C1010="","",IF(COUNTIF($C$2:$C1010,$C1010)=1,1,0))</f>
        <v/>
      </c>
      <c r="AJ1010">
        <f>IF($AI1010=1,SUMPRODUCT(--($AL$2:$AL$1501&lt;$AL1010))+1,"")</f>
        <v/>
      </c>
      <c r="AK1010">
        <f>IF($C1010="","",IF(OR($AD1010=TRUE(),$AD1010="TRUE"),0,1))</f>
        <v/>
      </c>
      <c r="AL1010">
        <f>IF($AI1010=1,IFERROR(IF(VALUE($C1010)&lt;100000000,VALUE($C1010),1000000000),IFERROR(IF(VALUE(MID($C1010,2,20))&lt;100000000,VALUE(MID($C1010,2,20)),1000000000),1000000000))+ROW()/100000,"")</f>
        <v/>
      </c>
    </row>
    <row r="1011">
      <c r="J1011" s="7" t="n"/>
      <c r="K1011" s="7" t="n"/>
      <c r="R1011" s="7">
        <f>IF($C1011="","",Q1011*AC1011/100)</f>
        <v/>
      </c>
      <c r="S1011" s="11" t="n"/>
      <c r="U1011" s="11" t="n"/>
      <c r="AA1011" s="7" t="n"/>
      <c r="AC1011" s="7" t="n"/>
      <c r="AE1011">
        <f>IF($C1011="","",IF($AK1011=1,Settings!$C$6,Settings!$C$7)*1)</f>
        <v/>
      </c>
      <c r="AF1011" s="7">
        <f>IF($C1011="","",AE1011*AC1011)</f>
        <v/>
      </c>
      <c r="AG1011" s="7">
        <f>IF($C1011="","",AC1011-AF1011)</f>
        <v/>
      </c>
      <c r="AH1011" s="7">
        <f>IF($C1011="","",AG1011-R1011)</f>
        <v/>
      </c>
      <c r="AI1011">
        <f>IF($C1011="","",IF(COUNTIF($C$2:$C1011,$C1011)=1,1,0))</f>
        <v/>
      </c>
      <c r="AJ1011">
        <f>IF($AI1011=1,SUMPRODUCT(--($AL$2:$AL$1501&lt;$AL1011))+1,"")</f>
        <v/>
      </c>
      <c r="AK1011">
        <f>IF($C1011="","",IF(OR($AD1011=TRUE(),$AD1011="TRUE"),0,1))</f>
        <v/>
      </c>
      <c r="AL1011">
        <f>IF($AI1011=1,IFERROR(IF(VALUE($C1011)&lt;100000000,VALUE($C1011),1000000000),IFERROR(IF(VALUE(MID($C1011,2,20))&lt;100000000,VALUE(MID($C1011,2,20)),1000000000),1000000000))+ROW()/100000,"")</f>
        <v/>
      </c>
    </row>
    <row r="1012">
      <c r="J1012" s="7" t="n"/>
      <c r="K1012" s="7" t="n"/>
      <c r="R1012" s="7">
        <f>IF($C1012="","",Q1012*AC1012/100)</f>
        <v/>
      </c>
      <c r="S1012" s="11" t="n"/>
      <c r="U1012" s="11" t="n"/>
      <c r="AA1012" s="7" t="n"/>
      <c r="AC1012" s="7" t="n"/>
      <c r="AE1012">
        <f>IF($C1012="","",IF($AK1012=1,Settings!$C$6,Settings!$C$7)*1)</f>
        <v/>
      </c>
      <c r="AF1012" s="7">
        <f>IF($C1012="","",AE1012*AC1012)</f>
        <v/>
      </c>
      <c r="AG1012" s="7">
        <f>IF($C1012="","",AC1012-AF1012)</f>
        <v/>
      </c>
      <c r="AH1012" s="7">
        <f>IF($C1012="","",AG1012-R1012)</f>
        <v/>
      </c>
      <c r="AI1012">
        <f>IF($C1012="","",IF(COUNTIF($C$2:$C1012,$C1012)=1,1,0))</f>
        <v/>
      </c>
      <c r="AJ1012">
        <f>IF($AI1012=1,SUMPRODUCT(--($AL$2:$AL$1501&lt;$AL1012))+1,"")</f>
        <v/>
      </c>
      <c r="AK1012">
        <f>IF($C1012="","",IF(OR($AD1012=TRUE(),$AD1012="TRUE"),0,1))</f>
        <v/>
      </c>
      <c r="AL1012">
        <f>IF($AI1012=1,IFERROR(IF(VALUE($C1012)&lt;100000000,VALUE($C1012),1000000000),IFERROR(IF(VALUE(MID($C1012,2,20))&lt;100000000,VALUE(MID($C1012,2,20)),1000000000),1000000000))+ROW()/100000,"")</f>
        <v/>
      </c>
    </row>
    <row r="1013">
      <c r="J1013" s="7" t="n"/>
      <c r="K1013" s="7" t="n"/>
      <c r="R1013" s="7">
        <f>IF($C1013="","",Q1013*AC1013/100)</f>
        <v/>
      </c>
      <c r="S1013" s="11" t="n"/>
      <c r="U1013" s="11" t="n"/>
      <c r="AA1013" s="7" t="n"/>
      <c r="AC1013" s="7" t="n"/>
      <c r="AE1013">
        <f>IF($C1013="","",IF($AK1013=1,Settings!$C$6,Settings!$C$7)*1)</f>
        <v/>
      </c>
      <c r="AF1013" s="7">
        <f>IF($C1013="","",AE1013*AC1013)</f>
        <v/>
      </c>
      <c r="AG1013" s="7">
        <f>IF($C1013="","",AC1013-AF1013)</f>
        <v/>
      </c>
      <c r="AH1013" s="7">
        <f>IF($C1013="","",AG1013-R1013)</f>
        <v/>
      </c>
      <c r="AI1013">
        <f>IF($C1013="","",IF(COUNTIF($C$2:$C1013,$C1013)=1,1,0))</f>
        <v/>
      </c>
      <c r="AJ1013">
        <f>IF($AI1013=1,SUMPRODUCT(--($AL$2:$AL$1501&lt;$AL1013))+1,"")</f>
        <v/>
      </c>
      <c r="AK1013">
        <f>IF($C1013="","",IF(OR($AD1013=TRUE(),$AD1013="TRUE"),0,1))</f>
        <v/>
      </c>
      <c r="AL1013">
        <f>IF($AI1013=1,IFERROR(IF(VALUE($C1013)&lt;100000000,VALUE($C1013),1000000000),IFERROR(IF(VALUE(MID($C1013,2,20))&lt;100000000,VALUE(MID($C1013,2,20)),1000000000),1000000000))+ROW()/100000,"")</f>
        <v/>
      </c>
    </row>
    <row r="1014">
      <c r="J1014" s="7" t="n"/>
      <c r="K1014" s="7" t="n"/>
      <c r="R1014" s="7">
        <f>IF($C1014="","",Q1014*AC1014/100)</f>
        <v/>
      </c>
      <c r="S1014" s="11" t="n"/>
      <c r="U1014" s="11" t="n"/>
      <c r="AA1014" s="7" t="n"/>
      <c r="AC1014" s="7" t="n"/>
      <c r="AE1014">
        <f>IF($C1014="","",IF($AK1014=1,Settings!$C$6,Settings!$C$7)*1)</f>
        <v/>
      </c>
      <c r="AF1014" s="7">
        <f>IF($C1014="","",AE1014*AC1014)</f>
        <v/>
      </c>
      <c r="AG1014" s="7">
        <f>IF($C1014="","",AC1014-AF1014)</f>
        <v/>
      </c>
      <c r="AH1014" s="7">
        <f>IF($C1014="","",AG1014-R1014)</f>
        <v/>
      </c>
      <c r="AI1014">
        <f>IF($C1014="","",IF(COUNTIF($C$2:$C1014,$C1014)=1,1,0))</f>
        <v/>
      </c>
      <c r="AJ1014">
        <f>IF($AI1014=1,SUMPRODUCT(--($AL$2:$AL$1501&lt;$AL1014))+1,"")</f>
        <v/>
      </c>
      <c r="AK1014">
        <f>IF($C1014="","",IF(OR($AD1014=TRUE(),$AD1014="TRUE"),0,1))</f>
        <v/>
      </c>
      <c r="AL1014">
        <f>IF($AI1014=1,IFERROR(IF(VALUE($C1014)&lt;100000000,VALUE($C1014),1000000000),IFERROR(IF(VALUE(MID($C1014,2,20))&lt;100000000,VALUE(MID($C1014,2,20)),1000000000),1000000000))+ROW()/100000,"")</f>
        <v/>
      </c>
    </row>
    <row r="1015">
      <c r="J1015" s="7" t="n"/>
      <c r="K1015" s="7" t="n"/>
      <c r="R1015" s="7">
        <f>IF($C1015="","",Q1015*AC1015/100)</f>
        <v/>
      </c>
      <c r="S1015" s="11" t="n"/>
      <c r="U1015" s="11" t="n"/>
      <c r="AA1015" s="7" t="n"/>
      <c r="AC1015" s="7" t="n"/>
      <c r="AE1015">
        <f>IF($C1015="","",IF($AK1015=1,Settings!$C$6,Settings!$C$7)*1)</f>
        <v/>
      </c>
      <c r="AF1015" s="7">
        <f>IF($C1015="","",AE1015*AC1015)</f>
        <v/>
      </c>
      <c r="AG1015" s="7">
        <f>IF($C1015="","",AC1015-AF1015)</f>
        <v/>
      </c>
      <c r="AH1015" s="7">
        <f>IF($C1015="","",AG1015-R1015)</f>
        <v/>
      </c>
      <c r="AI1015">
        <f>IF($C1015="","",IF(COUNTIF($C$2:$C1015,$C1015)=1,1,0))</f>
        <v/>
      </c>
      <c r="AJ1015">
        <f>IF($AI1015=1,SUMPRODUCT(--($AL$2:$AL$1501&lt;$AL1015))+1,"")</f>
        <v/>
      </c>
      <c r="AK1015">
        <f>IF($C1015="","",IF(OR($AD1015=TRUE(),$AD1015="TRUE"),0,1))</f>
        <v/>
      </c>
      <c r="AL1015">
        <f>IF($AI1015=1,IFERROR(IF(VALUE($C1015)&lt;100000000,VALUE($C1015),1000000000),IFERROR(IF(VALUE(MID($C1015,2,20))&lt;100000000,VALUE(MID($C1015,2,20)),1000000000),1000000000))+ROW()/100000,"")</f>
        <v/>
      </c>
    </row>
    <row r="1016">
      <c r="J1016" s="7" t="n"/>
      <c r="K1016" s="7" t="n"/>
      <c r="R1016" s="7">
        <f>IF($C1016="","",Q1016*AC1016/100)</f>
        <v/>
      </c>
      <c r="S1016" s="11" t="n"/>
      <c r="U1016" s="11" t="n"/>
      <c r="AA1016" s="7" t="n"/>
      <c r="AC1016" s="7" t="n"/>
      <c r="AE1016">
        <f>IF($C1016="","",IF($AK1016=1,Settings!$C$6,Settings!$C$7)*1)</f>
        <v/>
      </c>
      <c r="AF1016" s="7">
        <f>IF($C1016="","",AE1016*AC1016)</f>
        <v/>
      </c>
      <c r="AG1016" s="7">
        <f>IF($C1016="","",AC1016-AF1016)</f>
        <v/>
      </c>
      <c r="AH1016" s="7">
        <f>IF($C1016="","",AG1016-R1016)</f>
        <v/>
      </c>
      <c r="AI1016">
        <f>IF($C1016="","",IF(COUNTIF($C$2:$C1016,$C1016)=1,1,0))</f>
        <v/>
      </c>
      <c r="AJ1016">
        <f>IF($AI1016=1,SUMPRODUCT(--($AL$2:$AL$1501&lt;$AL1016))+1,"")</f>
        <v/>
      </c>
      <c r="AK1016">
        <f>IF($C1016="","",IF(OR($AD1016=TRUE(),$AD1016="TRUE"),0,1))</f>
        <v/>
      </c>
      <c r="AL1016">
        <f>IF($AI1016=1,IFERROR(IF(VALUE($C1016)&lt;100000000,VALUE($C1016),1000000000),IFERROR(IF(VALUE(MID($C1016,2,20))&lt;100000000,VALUE(MID($C1016,2,20)),1000000000),1000000000))+ROW()/100000,"")</f>
        <v/>
      </c>
    </row>
    <row r="1017">
      <c r="J1017" s="7" t="n"/>
      <c r="K1017" s="7" t="n"/>
      <c r="R1017" s="7">
        <f>IF($C1017="","",Q1017*AC1017/100)</f>
        <v/>
      </c>
      <c r="S1017" s="11" t="n"/>
      <c r="U1017" s="11" t="n"/>
      <c r="AA1017" s="7" t="n"/>
      <c r="AC1017" s="7" t="n"/>
      <c r="AE1017">
        <f>IF($C1017="","",IF($AK1017=1,Settings!$C$6,Settings!$C$7)*1)</f>
        <v/>
      </c>
      <c r="AF1017" s="7">
        <f>IF($C1017="","",AE1017*AC1017)</f>
        <v/>
      </c>
      <c r="AG1017" s="7">
        <f>IF($C1017="","",AC1017-AF1017)</f>
        <v/>
      </c>
      <c r="AH1017" s="7">
        <f>IF($C1017="","",AG1017-R1017)</f>
        <v/>
      </c>
      <c r="AI1017">
        <f>IF($C1017="","",IF(COUNTIF($C$2:$C1017,$C1017)=1,1,0))</f>
        <v/>
      </c>
      <c r="AJ1017">
        <f>IF($AI1017=1,SUMPRODUCT(--($AL$2:$AL$1501&lt;$AL1017))+1,"")</f>
        <v/>
      </c>
      <c r="AK1017">
        <f>IF($C1017="","",IF(OR($AD1017=TRUE(),$AD1017="TRUE"),0,1))</f>
        <v/>
      </c>
      <c r="AL1017">
        <f>IF($AI1017=1,IFERROR(IF(VALUE($C1017)&lt;100000000,VALUE($C1017),1000000000),IFERROR(IF(VALUE(MID($C1017,2,20))&lt;100000000,VALUE(MID($C1017,2,20)),1000000000),1000000000))+ROW()/100000,"")</f>
        <v/>
      </c>
    </row>
    <row r="1018">
      <c r="J1018" s="7" t="n"/>
      <c r="K1018" s="7" t="n"/>
      <c r="R1018" s="7">
        <f>IF($C1018="","",Q1018*AC1018/100)</f>
        <v/>
      </c>
      <c r="S1018" s="11" t="n"/>
      <c r="U1018" s="11" t="n"/>
      <c r="AA1018" s="7" t="n"/>
      <c r="AC1018" s="7" t="n"/>
      <c r="AE1018">
        <f>IF($C1018="","",IF($AK1018=1,Settings!$C$6,Settings!$C$7)*1)</f>
        <v/>
      </c>
      <c r="AF1018" s="7">
        <f>IF($C1018="","",AE1018*AC1018)</f>
        <v/>
      </c>
      <c r="AG1018" s="7">
        <f>IF($C1018="","",AC1018-AF1018)</f>
        <v/>
      </c>
      <c r="AH1018" s="7">
        <f>IF($C1018="","",AG1018-R1018)</f>
        <v/>
      </c>
      <c r="AI1018">
        <f>IF($C1018="","",IF(COUNTIF($C$2:$C1018,$C1018)=1,1,0))</f>
        <v/>
      </c>
      <c r="AJ1018">
        <f>IF($AI1018=1,SUMPRODUCT(--($AL$2:$AL$1501&lt;$AL1018))+1,"")</f>
        <v/>
      </c>
      <c r="AK1018">
        <f>IF($C1018="","",IF(OR($AD1018=TRUE(),$AD1018="TRUE"),0,1))</f>
        <v/>
      </c>
      <c r="AL1018">
        <f>IF($AI1018=1,IFERROR(IF(VALUE($C1018)&lt;100000000,VALUE($C1018),1000000000),IFERROR(IF(VALUE(MID($C1018,2,20))&lt;100000000,VALUE(MID($C1018,2,20)),1000000000),1000000000))+ROW()/100000,"")</f>
        <v/>
      </c>
    </row>
    <row r="1019">
      <c r="J1019" s="7" t="n"/>
      <c r="K1019" s="7" t="n"/>
      <c r="R1019" s="7">
        <f>IF($C1019="","",Q1019*AC1019/100)</f>
        <v/>
      </c>
      <c r="S1019" s="11" t="n"/>
      <c r="U1019" s="11" t="n"/>
      <c r="AA1019" s="7" t="n"/>
      <c r="AC1019" s="7" t="n"/>
      <c r="AE1019">
        <f>IF($C1019="","",IF($AK1019=1,Settings!$C$6,Settings!$C$7)*1)</f>
        <v/>
      </c>
      <c r="AF1019" s="7">
        <f>IF($C1019="","",AE1019*AC1019)</f>
        <v/>
      </c>
      <c r="AG1019" s="7">
        <f>IF($C1019="","",AC1019-AF1019)</f>
        <v/>
      </c>
      <c r="AH1019" s="7">
        <f>IF($C1019="","",AG1019-R1019)</f>
        <v/>
      </c>
      <c r="AI1019">
        <f>IF($C1019="","",IF(COUNTIF($C$2:$C1019,$C1019)=1,1,0))</f>
        <v/>
      </c>
      <c r="AJ1019">
        <f>IF($AI1019=1,SUMPRODUCT(--($AL$2:$AL$1501&lt;$AL1019))+1,"")</f>
        <v/>
      </c>
      <c r="AK1019">
        <f>IF($C1019="","",IF(OR($AD1019=TRUE(),$AD1019="TRUE"),0,1))</f>
        <v/>
      </c>
      <c r="AL1019">
        <f>IF($AI1019=1,IFERROR(IF(VALUE($C1019)&lt;100000000,VALUE($C1019),1000000000),IFERROR(IF(VALUE(MID($C1019,2,20))&lt;100000000,VALUE(MID($C1019,2,20)),1000000000),1000000000))+ROW()/100000,"")</f>
        <v/>
      </c>
    </row>
    <row r="1020">
      <c r="J1020" s="7" t="n"/>
      <c r="K1020" s="7" t="n"/>
      <c r="R1020" s="7">
        <f>IF($C1020="","",Q1020*AC1020/100)</f>
        <v/>
      </c>
      <c r="S1020" s="11" t="n"/>
      <c r="U1020" s="11" t="n"/>
      <c r="AA1020" s="7" t="n"/>
      <c r="AC1020" s="7" t="n"/>
      <c r="AE1020">
        <f>IF($C1020="","",IF($AK1020=1,Settings!$C$6,Settings!$C$7)*1)</f>
        <v/>
      </c>
      <c r="AF1020" s="7">
        <f>IF($C1020="","",AE1020*AC1020)</f>
        <v/>
      </c>
      <c r="AG1020" s="7">
        <f>IF($C1020="","",AC1020-AF1020)</f>
        <v/>
      </c>
      <c r="AH1020" s="7">
        <f>IF($C1020="","",AG1020-R1020)</f>
        <v/>
      </c>
      <c r="AI1020">
        <f>IF($C1020="","",IF(COUNTIF($C$2:$C1020,$C1020)=1,1,0))</f>
        <v/>
      </c>
      <c r="AJ1020">
        <f>IF($AI1020=1,SUMPRODUCT(--($AL$2:$AL$1501&lt;$AL1020))+1,"")</f>
        <v/>
      </c>
      <c r="AK1020">
        <f>IF($C1020="","",IF(OR($AD1020=TRUE(),$AD1020="TRUE"),0,1))</f>
        <v/>
      </c>
      <c r="AL1020">
        <f>IF($AI1020=1,IFERROR(IF(VALUE($C1020)&lt;100000000,VALUE($C1020),1000000000),IFERROR(IF(VALUE(MID($C1020,2,20))&lt;100000000,VALUE(MID($C1020,2,20)),1000000000),1000000000))+ROW()/100000,"")</f>
        <v/>
      </c>
    </row>
    <row r="1021">
      <c r="J1021" s="7" t="n"/>
      <c r="K1021" s="7" t="n"/>
      <c r="R1021" s="7">
        <f>IF($C1021="","",Q1021*AC1021/100)</f>
        <v/>
      </c>
      <c r="S1021" s="11" t="n"/>
      <c r="U1021" s="11" t="n"/>
      <c r="AA1021" s="7" t="n"/>
      <c r="AC1021" s="7" t="n"/>
      <c r="AE1021">
        <f>IF($C1021="","",IF($AK1021=1,Settings!$C$6,Settings!$C$7)*1)</f>
        <v/>
      </c>
      <c r="AF1021" s="7">
        <f>IF($C1021="","",AE1021*AC1021)</f>
        <v/>
      </c>
      <c r="AG1021" s="7">
        <f>IF($C1021="","",AC1021-AF1021)</f>
        <v/>
      </c>
      <c r="AH1021" s="7">
        <f>IF($C1021="","",AG1021-R1021)</f>
        <v/>
      </c>
      <c r="AI1021">
        <f>IF($C1021="","",IF(COUNTIF($C$2:$C1021,$C1021)=1,1,0))</f>
        <v/>
      </c>
      <c r="AJ1021">
        <f>IF($AI1021=1,SUMPRODUCT(--($AL$2:$AL$1501&lt;$AL1021))+1,"")</f>
        <v/>
      </c>
      <c r="AK1021">
        <f>IF($C1021="","",IF(OR($AD1021=TRUE(),$AD1021="TRUE"),0,1))</f>
        <v/>
      </c>
      <c r="AL1021">
        <f>IF($AI1021=1,IFERROR(IF(VALUE($C1021)&lt;100000000,VALUE($C1021),1000000000),IFERROR(IF(VALUE(MID($C1021,2,20))&lt;100000000,VALUE(MID($C1021,2,20)),1000000000),1000000000))+ROW()/100000,"")</f>
        <v/>
      </c>
    </row>
    <row r="1022">
      <c r="J1022" s="7" t="n"/>
      <c r="K1022" s="7" t="n"/>
      <c r="R1022" s="7">
        <f>IF($C1022="","",Q1022*AC1022/100)</f>
        <v/>
      </c>
      <c r="S1022" s="11" t="n"/>
      <c r="U1022" s="11" t="n"/>
      <c r="AA1022" s="7" t="n"/>
      <c r="AC1022" s="7" t="n"/>
      <c r="AE1022">
        <f>IF($C1022="","",IF($AK1022=1,Settings!$C$6,Settings!$C$7)*1)</f>
        <v/>
      </c>
      <c r="AF1022" s="7">
        <f>IF($C1022="","",AE1022*AC1022)</f>
        <v/>
      </c>
      <c r="AG1022" s="7">
        <f>IF($C1022="","",AC1022-AF1022)</f>
        <v/>
      </c>
      <c r="AH1022" s="7">
        <f>IF($C1022="","",AG1022-R1022)</f>
        <v/>
      </c>
      <c r="AI1022">
        <f>IF($C1022="","",IF(COUNTIF($C$2:$C1022,$C1022)=1,1,0))</f>
        <v/>
      </c>
      <c r="AJ1022">
        <f>IF($AI1022=1,SUMPRODUCT(--($AL$2:$AL$1501&lt;$AL1022))+1,"")</f>
        <v/>
      </c>
      <c r="AK1022">
        <f>IF($C1022="","",IF(OR($AD1022=TRUE(),$AD1022="TRUE"),0,1))</f>
        <v/>
      </c>
      <c r="AL1022">
        <f>IF($AI1022=1,IFERROR(IF(VALUE($C1022)&lt;100000000,VALUE($C1022),1000000000),IFERROR(IF(VALUE(MID($C1022,2,20))&lt;100000000,VALUE(MID($C1022,2,20)),1000000000),1000000000))+ROW()/100000,"")</f>
        <v/>
      </c>
    </row>
    <row r="1023">
      <c r="J1023" s="7" t="n"/>
      <c r="K1023" s="7" t="n"/>
      <c r="R1023" s="7">
        <f>IF($C1023="","",Q1023*AC1023/100)</f>
        <v/>
      </c>
      <c r="S1023" s="11" t="n"/>
      <c r="U1023" s="11" t="n"/>
      <c r="AA1023" s="7" t="n"/>
      <c r="AC1023" s="7" t="n"/>
      <c r="AE1023">
        <f>IF($C1023="","",IF($AK1023=1,Settings!$C$6,Settings!$C$7)*1)</f>
        <v/>
      </c>
      <c r="AF1023" s="7">
        <f>IF($C1023="","",AE1023*AC1023)</f>
        <v/>
      </c>
      <c r="AG1023" s="7">
        <f>IF($C1023="","",AC1023-AF1023)</f>
        <v/>
      </c>
      <c r="AH1023" s="7">
        <f>IF($C1023="","",AG1023-R1023)</f>
        <v/>
      </c>
      <c r="AI1023">
        <f>IF($C1023="","",IF(COUNTIF($C$2:$C1023,$C1023)=1,1,0))</f>
        <v/>
      </c>
      <c r="AJ1023">
        <f>IF($AI1023=1,SUMPRODUCT(--($AL$2:$AL$1501&lt;$AL1023))+1,"")</f>
        <v/>
      </c>
      <c r="AK1023">
        <f>IF($C1023="","",IF(OR($AD1023=TRUE(),$AD1023="TRUE"),0,1))</f>
        <v/>
      </c>
      <c r="AL1023">
        <f>IF($AI1023=1,IFERROR(IF(VALUE($C1023)&lt;100000000,VALUE($C1023),1000000000),IFERROR(IF(VALUE(MID($C1023,2,20))&lt;100000000,VALUE(MID($C1023,2,20)),1000000000),1000000000))+ROW()/100000,"")</f>
        <v/>
      </c>
    </row>
    <row r="1024">
      <c r="J1024" s="7" t="n"/>
      <c r="K1024" s="7" t="n"/>
      <c r="R1024" s="7">
        <f>IF($C1024="","",Q1024*AC1024/100)</f>
        <v/>
      </c>
      <c r="S1024" s="11" t="n"/>
      <c r="U1024" s="11" t="n"/>
      <c r="AA1024" s="7" t="n"/>
      <c r="AC1024" s="7" t="n"/>
      <c r="AE1024">
        <f>IF($C1024="","",IF($AK1024=1,Settings!$C$6,Settings!$C$7)*1)</f>
        <v/>
      </c>
      <c r="AF1024" s="7">
        <f>IF($C1024="","",AE1024*AC1024)</f>
        <v/>
      </c>
      <c r="AG1024" s="7">
        <f>IF($C1024="","",AC1024-AF1024)</f>
        <v/>
      </c>
      <c r="AH1024" s="7">
        <f>IF($C1024="","",AG1024-R1024)</f>
        <v/>
      </c>
      <c r="AI1024">
        <f>IF($C1024="","",IF(COUNTIF($C$2:$C1024,$C1024)=1,1,0))</f>
        <v/>
      </c>
      <c r="AJ1024">
        <f>IF($AI1024=1,SUMPRODUCT(--($AL$2:$AL$1501&lt;$AL1024))+1,"")</f>
        <v/>
      </c>
      <c r="AK1024">
        <f>IF($C1024="","",IF(OR($AD1024=TRUE(),$AD1024="TRUE"),0,1))</f>
        <v/>
      </c>
      <c r="AL1024">
        <f>IF($AI1024=1,IFERROR(IF(VALUE($C1024)&lt;100000000,VALUE($C1024),1000000000),IFERROR(IF(VALUE(MID($C1024,2,20))&lt;100000000,VALUE(MID($C1024,2,20)),1000000000),1000000000))+ROW()/100000,"")</f>
        <v/>
      </c>
    </row>
    <row r="1025">
      <c r="J1025" s="7" t="n"/>
      <c r="K1025" s="7" t="n"/>
      <c r="R1025" s="7">
        <f>IF($C1025="","",Q1025*AC1025/100)</f>
        <v/>
      </c>
      <c r="S1025" s="11" t="n"/>
      <c r="U1025" s="11" t="n"/>
      <c r="AA1025" s="7" t="n"/>
      <c r="AC1025" s="7" t="n"/>
      <c r="AE1025">
        <f>IF($C1025="","",IF($AK1025=1,Settings!$C$6,Settings!$C$7)*1)</f>
        <v/>
      </c>
      <c r="AF1025" s="7">
        <f>IF($C1025="","",AE1025*AC1025)</f>
        <v/>
      </c>
      <c r="AG1025" s="7">
        <f>IF($C1025="","",AC1025-AF1025)</f>
        <v/>
      </c>
      <c r="AH1025" s="7">
        <f>IF($C1025="","",AG1025-R1025)</f>
        <v/>
      </c>
      <c r="AI1025">
        <f>IF($C1025="","",IF(COUNTIF($C$2:$C1025,$C1025)=1,1,0))</f>
        <v/>
      </c>
      <c r="AJ1025">
        <f>IF($AI1025=1,SUMPRODUCT(--($AL$2:$AL$1501&lt;$AL1025))+1,"")</f>
        <v/>
      </c>
      <c r="AK1025">
        <f>IF($C1025="","",IF(OR($AD1025=TRUE(),$AD1025="TRUE"),0,1))</f>
        <v/>
      </c>
      <c r="AL1025">
        <f>IF($AI1025=1,IFERROR(IF(VALUE($C1025)&lt;100000000,VALUE($C1025),1000000000),IFERROR(IF(VALUE(MID($C1025,2,20))&lt;100000000,VALUE(MID($C1025,2,20)),1000000000),1000000000))+ROW()/100000,"")</f>
        <v/>
      </c>
    </row>
    <row r="1026">
      <c r="J1026" s="7" t="n"/>
      <c r="K1026" s="7" t="n"/>
      <c r="R1026" s="7">
        <f>IF($C1026="","",Q1026*AC1026/100)</f>
        <v/>
      </c>
      <c r="S1026" s="11" t="n"/>
      <c r="U1026" s="11" t="n"/>
      <c r="AA1026" s="7" t="n"/>
      <c r="AC1026" s="7" t="n"/>
      <c r="AE1026">
        <f>IF($C1026="","",IF($AK1026=1,Settings!$C$6,Settings!$C$7)*1)</f>
        <v/>
      </c>
      <c r="AF1026" s="7">
        <f>IF($C1026="","",AE1026*AC1026)</f>
        <v/>
      </c>
      <c r="AG1026" s="7">
        <f>IF($C1026="","",AC1026-AF1026)</f>
        <v/>
      </c>
      <c r="AH1026" s="7">
        <f>IF($C1026="","",AG1026-R1026)</f>
        <v/>
      </c>
      <c r="AI1026">
        <f>IF($C1026="","",IF(COUNTIF($C$2:$C1026,$C1026)=1,1,0))</f>
        <v/>
      </c>
      <c r="AJ1026">
        <f>IF($AI1026=1,SUMPRODUCT(--($AL$2:$AL$1501&lt;$AL1026))+1,"")</f>
        <v/>
      </c>
      <c r="AK1026">
        <f>IF($C1026="","",IF(OR($AD1026=TRUE(),$AD1026="TRUE"),0,1))</f>
        <v/>
      </c>
      <c r="AL1026">
        <f>IF($AI1026=1,IFERROR(IF(VALUE($C1026)&lt;100000000,VALUE($C1026),1000000000),IFERROR(IF(VALUE(MID($C1026,2,20))&lt;100000000,VALUE(MID($C1026,2,20)),1000000000),1000000000))+ROW()/100000,"")</f>
        <v/>
      </c>
    </row>
    <row r="1027">
      <c r="J1027" s="7" t="n"/>
      <c r="K1027" s="7" t="n"/>
      <c r="R1027" s="7">
        <f>IF($C1027="","",Q1027*AC1027/100)</f>
        <v/>
      </c>
      <c r="S1027" s="11" t="n"/>
      <c r="U1027" s="11" t="n"/>
      <c r="AA1027" s="7" t="n"/>
      <c r="AC1027" s="7" t="n"/>
      <c r="AE1027">
        <f>IF($C1027="","",IF($AK1027=1,Settings!$C$6,Settings!$C$7)*1)</f>
        <v/>
      </c>
      <c r="AF1027" s="7">
        <f>IF($C1027="","",AE1027*AC1027)</f>
        <v/>
      </c>
      <c r="AG1027" s="7">
        <f>IF($C1027="","",AC1027-AF1027)</f>
        <v/>
      </c>
      <c r="AH1027" s="7">
        <f>IF($C1027="","",AG1027-R1027)</f>
        <v/>
      </c>
      <c r="AI1027">
        <f>IF($C1027="","",IF(COUNTIF($C$2:$C1027,$C1027)=1,1,0))</f>
        <v/>
      </c>
      <c r="AJ1027">
        <f>IF($AI1027=1,SUMPRODUCT(--($AL$2:$AL$1501&lt;$AL1027))+1,"")</f>
        <v/>
      </c>
      <c r="AK1027">
        <f>IF($C1027="","",IF(OR($AD1027=TRUE(),$AD1027="TRUE"),0,1))</f>
        <v/>
      </c>
      <c r="AL1027">
        <f>IF($AI1027=1,IFERROR(IF(VALUE($C1027)&lt;100000000,VALUE($C1027),1000000000),IFERROR(IF(VALUE(MID($C1027,2,20))&lt;100000000,VALUE(MID($C1027,2,20)),1000000000),1000000000))+ROW()/100000,"")</f>
        <v/>
      </c>
    </row>
    <row r="1028">
      <c r="J1028" s="7" t="n"/>
      <c r="K1028" s="7" t="n"/>
      <c r="R1028" s="7">
        <f>IF($C1028="","",Q1028*AC1028/100)</f>
        <v/>
      </c>
      <c r="S1028" s="11" t="n"/>
      <c r="U1028" s="11" t="n"/>
      <c r="AA1028" s="7" t="n"/>
      <c r="AC1028" s="7" t="n"/>
      <c r="AE1028">
        <f>IF($C1028="","",IF($AK1028=1,Settings!$C$6,Settings!$C$7)*1)</f>
        <v/>
      </c>
      <c r="AF1028" s="7">
        <f>IF($C1028="","",AE1028*AC1028)</f>
        <v/>
      </c>
      <c r="AG1028" s="7">
        <f>IF($C1028="","",AC1028-AF1028)</f>
        <v/>
      </c>
      <c r="AH1028" s="7">
        <f>IF($C1028="","",AG1028-R1028)</f>
        <v/>
      </c>
      <c r="AI1028">
        <f>IF($C1028="","",IF(COUNTIF($C$2:$C1028,$C1028)=1,1,0))</f>
        <v/>
      </c>
      <c r="AJ1028">
        <f>IF($AI1028=1,SUMPRODUCT(--($AL$2:$AL$1501&lt;$AL1028))+1,"")</f>
        <v/>
      </c>
      <c r="AK1028">
        <f>IF($C1028="","",IF(OR($AD1028=TRUE(),$AD1028="TRUE"),0,1))</f>
        <v/>
      </c>
      <c r="AL1028">
        <f>IF($AI1028=1,IFERROR(IF(VALUE($C1028)&lt;100000000,VALUE($C1028),1000000000),IFERROR(IF(VALUE(MID($C1028,2,20))&lt;100000000,VALUE(MID($C1028,2,20)),1000000000),1000000000))+ROW()/100000,"")</f>
        <v/>
      </c>
    </row>
    <row r="1029">
      <c r="J1029" s="7" t="n"/>
      <c r="K1029" s="7" t="n"/>
      <c r="R1029" s="7">
        <f>IF($C1029="","",Q1029*AC1029/100)</f>
        <v/>
      </c>
      <c r="S1029" s="11" t="n"/>
      <c r="U1029" s="11" t="n"/>
      <c r="AA1029" s="7" t="n"/>
      <c r="AC1029" s="7" t="n"/>
      <c r="AE1029">
        <f>IF($C1029="","",IF($AK1029=1,Settings!$C$6,Settings!$C$7)*1)</f>
        <v/>
      </c>
      <c r="AF1029" s="7">
        <f>IF($C1029="","",AE1029*AC1029)</f>
        <v/>
      </c>
      <c r="AG1029" s="7">
        <f>IF($C1029="","",AC1029-AF1029)</f>
        <v/>
      </c>
      <c r="AH1029" s="7">
        <f>IF($C1029="","",AG1029-R1029)</f>
        <v/>
      </c>
      <c r="AI1029">
        <f>IF($C1029="","",IF(COUNTIF($C$2:$C1029,$C1029)=1,1,0))</f>
        <v/>
      </c>
      <c r="AJ1029">
        <f>IF($AI1029=1,SUMPRODUCT(--($AL$2:$AL$1501&lt;$AL1029))+1,"")</f>
        <v/>
      </c>
      <c r="AK1029">
        <f>IF($C1029="","",IF(OR($AD1029=TRUE(),$AD1029="TRUE"),0,1))</f>
        <v/>
      </c>
      <c r="AL1029">
        <f>IF($AI1029=1,IFERROR(IF(VALUE($C1029)&lt;100000000,VALUE($C1029),1000000000),IFERROR(IF(VALUE(MID($C1029,2,20))&lt;100000000,VALUE(MID($C1029,2,20)),1000000000),1000000000))+ROW()/100000,"")</f>
        <v/>
      </c>
    </row>
    <row r="1030">
      <c r="J1030" s="7" t="n"/>
      <c r="K1030" s="7" t="n"/>
      <c r="R1030" s="7">
        <f>IF($C1030="","",Q1030*AC1030/100)</f>
        <v/>
      </c>
      <c r="S1030" s="11" t="n"/>
      <c r="U1030" s="11" t="n"/>
      <c r="AA1030" s="7" t="n"/>
      <c r="AC1030" s="7" t="n"/>
      <c r="AE1030">
        <f>IF($C1030="","",IF($AK1030=1,Settings!$C$6,Settings!$C$7)*1)</f>
        <v/>
      </c>
      <c r="AF1030" s="7">
        <f>IF($C1030="","",AE1030*AC1030)</f>
        <v/>
      </c>
      <c r="AG1030" s="7">
        <f>IF($C1030="","",AC1030-AF1030)</f>
        <v/>
      </c>
      <c r="AH1030" s="7">
        <f>IF($C1030="","",AG1030-R1030)</f>
        <v/>
      </c>
      <c r="AI1030">
        <f>IF($C1030="","",IF(COUNTIF($C$2:$C1030,$C1030)=1,1,0))</f>
        <v/>
      </c>
      <c r="AJ1030">
        <f>IF($AI1030=1,SUMPRODUCT(--($AL$2:$AL$1501&lt;$AL1030))+1,"")</f>
        <v/>
      </c>
      <c r="AK1030">
        <f>IF($C1030="","",IF(OR($AD1030=TRUE(),$AD1030="TRUE"),0,1))</f>
        <v/>
      </c>
      <c r="AL1030">
        <f>IF($AI1030=1,IFERROR(IF(VALUE($C1030)&lt;100000000,VALUE($C1030),1000000000),IFERROR(IF(VALUE(MID($C1030,2,20))&lt;100000000,VALUE(MID($C1030,2,20)),1000000000),1000000000))+ROW()/100000,"")</f>
        <v/>
      </c>
    </row>
    <row r="1031">
      <c r="J1031" s="7" t="n"/>
      <c r="K1031" s="7" t="n"/>
      <c r="R1031" s="7">
        <f>IF($C1031="","",Q1031*AC1031/100)</f>
        <v/>
      </c>
      <c r="S1031" s="11" t="n"/>
      <c r="U1031" s="11" t="n"/>
      <c r="AA1031" s="7" t="n"/>
      <c r="AC1031" s="7" t="n"/>
      <c r="AE1031">
        <f>IF($C1031="","",IF($AK1031=1,Settings!$C$6,Settings!$C$7)*1)</f>
        <v/>
      </c>
      <c r="AF1031" s="7">
        <f>IF($C1031="","",AE1031*AC1031)</f>
        <v/>
      </c>
      <c r="AG1031" s="7">
        <f>IF($C1031="","",AC1031-AF1031)</f>
        <v/>
      </c>
      <c r="AH1031" s="7">
        <f>IF($C1031="","",AG1031-R1031)</f>
        <v/>
      </c>
      <c r="AI1031">
        <f>IF($C1031="","",IF(COUNTIF($C$2:$C1031,$C1031)=1,1,0))</f>
        <v/>
      </c>
      <c r="AJ1031">
        <f>IF($AI1031=1,SUMPRODUCT(--($AL$2:$AL$1501&lt;$AL1031))+1,"")</f>
        <v/>
      </c>
      <c r="AK1031">
        <f>IF($C1031="","",IF(OR($AD1031=TRUE(),$AD1031="TRUE"),0,1))</f>
        <v/>
      </c>
      <c r="AL1031">
        <f>IF($AI1031=1,IFERROR(IF(VALUE($C1031)&lt;100000000,VALUE($C1031),1000000000),IFERROR(IF(VALUE(MID($C1031,2,20))&lt;100000000,VALUE(MID($C1031,2,20)),1000000000),1000000000))+ROW()/100000,"")</f>
        <v/>
      </c>
    </row>
    <row r="1032">
      <c r="J1032" s="7" t="n"/>
      <c r="K1032" s="7" t="n"/>
      <c r="R1032" s="7">
        <f>IF($C1032="","",Q1032*AC1032/100)</f>
        <v/>
      </c>
      <c r="S1032" s="11" t="n"/>
      <c r="U1032" s="11" t="n"/>
      <c r="AA1032" s="7" t="n"/>
      <c r="AC1032" s="7" t="n"/>
      <c r="AE1032">
        <f>IF($C1032="","",IF($AK1032=1,Settings!$C$6,Settings!$C$7)*1)</f>
        <v/>
      </c>
      <c r="AF1032" s="7">
        <f>IF($C1032="","",AE1032*AC1032)</f>
        <v/>
      </c>
      <c r="AG1032" s="7">
        <f>IF($C1032="","",AC1032-AF1032)</f>
        <v/>
      </c>
      <c r="AH1032" s="7">
        <f>IF($C1032="","",AG1032-R1032)</f>
        <v/>
      </c>
      <c r="AI1032">
        <f>IF($C1032="","",IF(COUNTIF($C$2:$C1032,$C1032)=1,1,0))</f>
        <v/>
      </c>
      <c r="AJ1032">
        <f>IF($AI1032=1,SUMPRODUCT(--($AL$2:$AL$1501&lt;$AL1032))+1,"")</f>
        <v/>
      </c>
      <c r="AK1032">
        <f>IF($C1032="","",IF(OR($AD1032=TRUE(),$AD1032="TRUE"),0,1))</f>
        <v/>
      </c>
      <c r="AL1032">
        <f>IF($AI1032=1,IFERROR(IF(VALUE($C1032)&lt;100000000,VALUE($C1032),1000000000),IFERROR(IF(VALUE(MID($C1032,2,20))&lt;100000000,VALUE(MID($C1032,2,20)),1000000000),1000000000))+ROW()/100000,"")</f>
        <v/>
      </c>
    </row>
    <row r="1033">
      <c r="J1033" s="7" t="n"/>
      <c r="K1033" s="7" t="n"/>
      <c r="R1033" s="7">
        <f>IF($C1033="","",Q1033*AC1033/100)</f>
        <v/>
      </c>
      <c r="S1033" s="11" t="n"/>
      <c r="U1033" s="11" t="n"/>
      <c r="AA1033" s="7" t="n"/>
      <c r="AC1033" s="7" t="n"/>
      <c r="AE1033">
        <f>IF($C1033="","",IF($AK1033=1,Settings!$C$6,Settings!$C$7)*1)</f>
        <v/>
      </c>
      <c r="AF1033" s="7">
        <f>IF($C1033="","",AE1033*AC1033)</f>
        <v/>
      </c>
      <c r="AG1033" s="7">
        <f>IF($C1033="","",AC1033-AF1033)</f>
        <v/>
      </c>
      <c r="AH1033" s="7">
        <f>IF($C1033="","",AG1033-R1033)</f>
        <v/>
      </c>
      <c r="AI1033">
        <f>IF($C1033="","",IF(COUNTIF($C$2:$C1033,$C1033)=1,1,0))</f>
        <v/>
      </c>
      <c r="AJ1033">
        <f>IF($AI1033=1,SUMPRODUCT(--($AL$2:$AL$1501&lt;$AL1033))+1,"")</f>
        <v/>
      </c>
      <c r="AK1033">
        <f>IF($C1033="","",IF(OR($AD1033=TRUE(),$AD1033="TRUE"),0,1))</f>
        <v/>
      </c>
      <c r="AL1033">
        <f>IF($AI1033=1,IFERROR(IF(VALUE($C1033)&lt;100000000,VALUE($C1033),1000000000),IFERROR(IF(VALUE(MID($C1033,2,20))&lt;100000000,VALUE(MID($C1033,2,20)),1000000000),1000000000))+ROW()/100000,"")</f>
        <v/>
      </c>
    </row>
    <row r="1034">
      <c r="J1034" s="7" t="n"/>
      <c r="K1034" s="7" t="n"/>
      <c r="R1034" s="7">
        <f>IF($C1034="","",Q1034*AC1034/100)</f>
        <v/>
      </c>
      <c r="S1034" s="11" t="n"/>
      <c r="U1034" s="11" t="n"/>
      <c r="AA1034" s="7" t="n"/>
      <c r="AC1034" s="7" t="n"/>
      <c r="AE1034">
        <f>IF($C1034="","",IF($AK1034=1,Settings!$C$6,Settings!$C$7)*1)</f>
        <v/>
      </c>
      <c r="AF1034" s="7">
        <f>IF($C1034="","",AE1034*AC1034)</f>
        <v/>
      </c>
      <c r="AG1034" s="7">
        <f>IF($C1034="","",AC1034-AF1034)</f>
        <v/>
      </c>
      <c r="AH1034" s="7">
        <f>IF($C1034="","",AG1034-R1034)</f>
        <v/>
      </c>
      <c r="AI1034">
        <f>IF($C1034="","",IF(COUNTIF($C$2:$C1034,$C1034)=1,1,0))</f>
        <v/>
      </c>
      <c r="AJ1034">
        <f>IF($AI1034=1,SUMPRODUCT(--($AL$2:$AL$1501&lt;$AL1034))+1,"")</f>
        <v/>
      </c>
      <c r="AK1034">
        <f>IF($C1034="","",IF(OR($AD1034=TRUE(),$AD1034="TRUE"),0,1))</f>
        <v/>
      </c>
      <c r="AL1034">
        <f>IF($AI1034=1,IFERROR(IF(VALUE($C1034)&lt;100000000,VALUE($C1034),1000000000),IFERROR(IF(VALUE(MID($C1034,2,20))&lt;100000000,VALUE(MID($C1034,2,20)),1000000000),1000000000))+ROW()/100000,"")</f>
        <v/>
      </c>
    </row>
    <row r="1035">
      <c r="J1035" s="7" t="n"/>
      <c r="K1035" s="7" t="n"/>
      <c r="R1035" s="7">
        <f>IF($C1035="","",Q1035*AC1035/100)</f>
        <v/>
      </c>
      <c r="S1035" s="11" t="n"/>
      <c r="U1035" s="11" t="n"/>
      <c r="AA1035" s="7" t="n"/>
      <c r="AC1035" s="7" t="n"/>
      <c r="AE1035">
        <f>IF($C1035="","",IF($AK1035=1,Settings!$C$6,Settings!$C$7)*1)</f>
        <v/>
      </c>
      <c r="AF1035" s="7">
        <f>IF($C1035="","",AE1035*AC1035)</f>
        <v/>
      </c>
      <c r="AG1035" s="7">
        <f>IF($C1035="","",AC1035-AF1035)</f>
        <v/>
      </c>
      <c r="AH1035" s="7">
        <f>IF($C1035="","",AG1035-R1035)</f>
        <v/>
      </c>
      <c r="AI1035">
        <f>IF($C1035="","",IF(COUNTIF($C$2:$C1035,$C1035)=1,1,0))</f>
        <v/>
      </c>
      <c r="AJ1035">
        <f>IF($AI1035=1,SUMPRODUCT(--($AL$2:$AL$1501&lt;$AL1035))+1,"")</f>
        <v/>
      </c>
      <c r="AK1035">
        <f>IF($C1035="","",IF(OR($AD1035=TRUE(),$AD1035="TRUE"),0,1))</f>
        <v/>
      </c>
      <c r="AL1035">
        <f>IF($AI1035=1,IFERROR(IF(VALUE($C1035)&lt;100000000,VALUE($C1035),1000000000),IFERROR(IF(VALUE(MID($C1035,2,20))&lt;100000000,VALUE(MID($C1035,2,20)),1000000000),1000000000))+ROW()/100000,"")</f>
        <v/>
      </c>
    </row>
    <row r="1036">
      <c r="J1036" s="7" t="n"/>
      <c r="K1036" s="7" t="n"/>
      <c r="R1036" s="7">
        <f>IF($C1036="","",Q1036*AC1036/100)</f>
        <v/>
      </c>
      <c r="S1036" s="11" t="n"/>
      <c r="U1036" s="11" t="n"/>
      <c r="AA1036" s="7" t="n"/>
      <c r="AC1036" s="7" t="n"/>
      <c r="AE1036">
        <f>IF($C1036="","",IF($AK1036=1,Settings!$C$6,Settings!$C$7)*1)</f>
        <v/>
      </c>
      <c r="AF1036" s="7">
        <f>IF($C1036="","",AE1036*AC1036)</f>
        <v/>
      </c>
      <c r="AG1036" s="7">
        <f>IF($C1036="","",AC1036-AF1036)</f>
        <v/>
      </c>
      <c r="AH1036" s="7">
        <f>IF($C1036="","",AG1036-R1036)</f>
        <v/>
      </c>
      <c r="AI1036">
        <f>IF($C1036="","",IF(COUNTIF($C$2:$C1036,$C1036)=1,1,0))</f>
        <v/>
      </c>
      <c r="AJ1036">
        <f>IF($AI1036=1,SUMPRODUCT(--($AL$2:$AL$1501&lt;$AL1036))+1,"")</f>
        <v/>
      </c>
      <c r="AK1036">
        <f>IF($C1036="","",IF(OR($AD1036=TRUE(),$AD1036="TRUE"),0,1))</f>
        <v/>
      </c>
      <c r="AL1036">
        <f>IF($AI1036=1,IFERROR(IF(VALUE($C1036)&lt;100000000,VALUE($C1036),1000000000),IFERROR(IF(VALUE(MID($C1036,2,20))&lt;100000000,VALUE(MID($C1036,2,20)),1000000000),1000000000))+ROW()/100000,"")</f>
        <v/>
      </c>
    </row>
    <row r="1037">
      <c r="J1037" s="7" t="n"/>
      <c r="K1037" s="7" t="n"/>
      <c r="R1037" s="7">
        <f>IF($C1037="","",Q1037*AC1037/100)</f>
        <v/>
      </c>
      <c r="S1037" s="11" t="n"/>
      <c r="U1037" s="11" t="n"/>
      <c r="AA1037" s="7" t="n"/>
      <c r="AC1037" s="7" t="n"/>
      <c r="AE1037">
        <f>IF($C1037="","",IF($AK1037=1,Settings!$C$6,Settings!$C$7)*1)</f>
        <v/>
      </c>
      <c r="AF1037" s="7">
        <f>IF($C1037="","",AE1037*AC1037)</f>
        <v/>
      </c>
      <c r="AG1037" s="7">
        <f>IF($C1037="","",AC1037-AF1037)</f>
        <v/>
      </c>
      <c r="AH1037" s="7">
        <f>IF($C1037="","",AG1037-R1037)</f>
        <v/>
      </c>
      <c r="AI1037">
        <f>IF($C1037="","",IF(COUNTIF($C$2:$C1037,$C1037)=1,1,0))</f>
        <v/>
      </c>
      <c r="AJ1037">
        <f>IF($AI1037=1,SUMPRODUCT(--($AL$2:$AL$1501&lt;$AL1037))+1,"")</f>
        <v/>
      </c>
      <c r="AK1037">
        <f>IF($C1037="","",IF(OR($AD1037=TRUE(),$AD1037="TRUE"),0,1))</f>
        <v/>
      </c>
      <c r="AL1037">
        <f>IF($AI1037=1,IFERROR(IF(VALUE($C1037)&lt;100000000,VALUE($C1037),1000000000),IFERROR(IF(VALUE(MID($C1037,2,20))&lt;100000000,VALUE(MID($C1037,2,20)),1000000000),1000000000))+ROW()/100000,"")</f>
        <v/>
      </c>
    </row>
    <row r="1038">
      <c r="J1038" s="7" t="n"/>
      <c r="K1038" s="7" t="n"/>
      <c r="R1038" s="7">
        <f>IF($C1038="","",Q1038*AC1038/100)</f>
        <v/>
      </c>
      <c r="S1038" s="11" t="n"/>
      <c r="U1038" s="11" t="n"/>
      <c r="AA1038" s="7" t="n"/>
      <c r="AC1038" s="7" t="n"/>
      <c r="AE1038">
        <f>IF($C1038="","",IF($AK1038=1,Settings!$C$6,Settings!$C$7)*1)</f>
        <v/>
      </c>
      <c r="AF1038" s="7">
        <f>IF($C1038="","",AE1038*AC1038)</f>
        <v/>
      </c>
      <c r="AG1038" s="7">
        <f>IF($C1038="","",AC1038-AF1038)</f>
        <v/>
      </c>
      <c r="AH1038" s="7">
        <f>IF($C1038="","",AG1038-R1038)</f>
        <v/>
      </c>
      <c r="AI1038">
        <f>IF($C1038="","",IF(COUNTIF($C$2:$C1038,$C1038)=1,1,0))</f>
        <v/>
      </c>
      <c r="AJ1038">
        <f>IF($AI1038=1,SUMPRODUCT(--($AL$2:$AL$1501&lt;$AL1038))+1,"")</f>
        <v/>
      </c>
      <c r="AK1038">
        <f>IF($C1038="","",IF(OR($AD1038=TRUE(),$AD1038="TRUE"),0,1))</f>
        <v/>
      </c>
      <c r="AL1038">
        <f>IF($AI1038=1,IFERROR(IF(VALUE($C1038)&lt;100000000,VALUE($C1038),1000000000),IFERROR(IF(VALUE(MID($C1038,2,20))&lt;100000000,VALUE(MID($C1038,2,20)),1000000000),1000000000))+ROW()/100000,"")</f>
        <v/>
      </c>
    </row>
    <row r="1039">
      <c r="J1039" s="7" t="n"/>
      <c r="K1039" s="7" t="n"/>
      <c r="R1039" s="7">
        <f>IF($C1039="","",Q1039*AC1039/100)</f>
        <v/>
      </c>
      <c r="S1039" s="11" t="n"/>
      <c r="U1039" s="11" t="n"/>
      <c r="AA1039" s="7" t="n"/>
      <c r="AC1039" s="7" t="n"/>
      <c r="AE1039">
        <f>IF($C1039="","",IF($AK1039=1,Settings!$C$6,Settings!$C$7)*1)</f>
        <v/>
      </c>
      <c r="AF1039" s="7">
        <f>IF($C1039="","",AE1039*AC1039)</f>
        <v/>
      </c>
      <c r="AG1039" s="7">
        <f>IF($C1039="","",AC1039-AF1039)</f>
        <v/>
      </c>
      <c r="AH1039" s="7">
        <f>IF($C1039="","",AG1039-R1039)</f>
        <v/>
      </c>
      <c r="AI1039">
        <f>IF($C1039="","",IF(COUNTIF($C$2:$C1039,$C1039)=1,1,0))</f>
        <v/>
      </c>
      <c r="AJ1039">
        <f>IF($AI1039=1,SUMPRODUCT(--($AL$2:$AL$1501&lt;$AL1039))+1,"")</f>
        <v/>
      </c>
      <c r="AK1039">
        <f>IF($C1039="","",IF(OR($AD1039=TRUE(),$AD1039="TRUE"),0,1))</f>
        <v/>
      </c>
      <c r="AL1039">
        <f>IF($AI1039=1,IFERROR(IF(VALUE($C1039)&lt;100000000,VALUE($C1039),1000000000),IFERROR(IF(VALUE(MID($C1039,2,20))&lt;100000000,VALUE(MID($C1039,2,20)),1000000000),1000000000))+ROW()/100000,"")</f>
        <v/>
      </c>
    </row>
    <row r="1040">
      <c r="J1040" s="7" t="n"/>
      <c r="K1040" s="7" t="n"/>
      <c r="R1040" s="7">
        <f>IF($C1040="","",Q1040*AC1040/100)</f>
        <v/>
      </c>
      <c r="S1040" s="11" t="n"/>
      <c r="U1040" s="11" t="n"/>
      <c r="AA1040" s="7" t="n"/>
      <c r="AC1040" s="7" t="n"/>
      <c r="AE1040">
        <f>IF($C1040="","",IF($AK1040=1,Settings!$C$6,Settings!$C$7)*1)</f>
        <v/>
      </c>
      <c r="AF1040" s="7">
        <f>IF($C1040="","",AE1040*AC1040)</f>
        <v/>
      </c>
      <c r="AG1040" s="7">
        <f>IF($C1040="","",AC1040-AF1040)</f>
        <v/>
      </c>
      <c r="AH1040" s="7">
        <f>IF($C1040="","",AG1040-R1040)</f>
        <v/>
      </c>
      <c r="AI1040">
        <f>IF($C1040="","",IF(COUNTIF($C$2:$C1040,$C1040)=1,1,0))</f>
        <v/>
      </c>
      <c r="AJ1040">
        <f>IF($AI1040=1,SUMPRODUCT(--($AL$2:$AL$1501&lt;$AL1040))+1,"")</f>
        <v/>
      </c>
      <c r="AK1040">
        <f>IF($C1040="","",IF(OR($AD1040=TRUE(),$AD1040="TRUE"),0,1))</f>
        <v/>
      </c>
      <c r="AL1040">
        <f>IF($AI1040=1,IFERROR(IF(VALUE($C1040)&lt;100000000,VALUE($C1040),1000000000),IFERROR(IF(VALUE(MID($C1040,2,20))&lt;100000000,VALUE(MID($C1040,2,20)),1000000000),1000000000))+ROW()/100000,"")</f>
        <v/>
      </c>
    </row>
    <row r="1041">
      <c r="J1041" s="7" t="n"/>
      <c r="K1041" s="7" t="n"/>
      <c r="R1041" s="7">
        <f>IF($C1041="","",Q1041*AC1041/100)</f>
        <v/>
      </c>
      <c r="S1041" s="11" t="n"/>
      <c r="U1041" s="11" t="n"/>
      <c r="AA1041" s="7" t="n"/>
      <c r="AC1041" s="7" t="n"/>
      <c r="AE1041">
        <f>IF($C1041="","",IF($AK1041=1,Settings!$C$6,Settings!$C$7)*1)</f>
        <v/>
      </c>
      <c r="AF1041" s="7">
        <f>IF($C1041="","",AE1041*AC1041)</f>
        <v/>
      </c>
      <c r="AG1041" s="7">
        <f>IF($C1041="","",AC1041-AF1041)</f>
        <v/>
      </c>
      <c r="AH1041" s="7">
        <f>IF($C1041="","",AG1041-R1041)</f>
        <v/>
      </c>
      <c r="AI1041">
        <f>IF($C1041="","",IF(COUNTIF($C$2:$C1041,$C1041)=1,1,0))</f>
        <v/>
      </c>
      <c r="AJ1041">
        <f>IF($AI1041=1,SUMPRODUCT(--($AL$2:$AL$1501&lt;$AL1041))+1,"")</f>
        <v/>
      </c>
      <c r="AK1041">
        <f>IF($C1041="","",IF(OR($AD1041=TRUE(),$AD1041="TRUE"),0,1))</f>
        <v/>
      </c>
      <c r="AL1041">
        <f>IF($AI1041=1,IFERROR(IF(VALUE($C1041)&lt;100000000,VALUE($C1041),1000000000),IFERROR(IF(VALUE(MID($C1041,2,20))&lt;100000000,VALUE(MID($C1041,2,20)),1000000000),1000000000))+ROW()/100000,"")</f>
        <v/>
      </c>
    </row>
    <row r="1042">
      <c r="J1042" s="7" t="n"/>
      <c r="K1042" s="7" t="n"/>
      <c r="R1042" s="7">
        <f>IF($C1042="","",Q1042*AC1042/100)</f>
        <v/>
      </c>
      <c r="S1042" s="11" t="n"/>
      <c r="U1042" s="11" t="n"/>
      <c r="AA1042" s="7" t="n"/>
      <c r="AC1042" s="7" t="n"/>
      <c r="AE1042">
        <f>IF($C1042="","",IF($AK1042=1,Settings!$C$6,Settings!$C$7)*1)</f>
        <v/>
      </c>
      <c r="AF1042" s="7">
        <f>IF($C1042="","",AE1042*AC1042)</f>
        <v/>
      </c>
      <c r="AG1042" s="7">
        <f>IF($C1042="","",AC1042-AF1042)</f>
        <v/>
      </c>
      <c r="AH1042" s="7">
        <f>IF($C1042="","",AG1042-R1042)</f>
        <v/>
      </c>
      <c r="AI1042">
        <f>IF($C1042="","",IF(COUNTIF($C$2:$C1042,$C1042)=1,1,0))</f>
        <v/>
      </c>
      <c r="AJ1042">
        <f>IF($AI1042=1,SUMPRODUCT(--($AL$2:$AL$1501&lt;$AL1042))+1,"")</f>
        <v/>
      </c>
      <c r="AK1042">
        <f>IF($C1042="","",IF(OR($AD1042=TRUE(),$AD1042="TRUE"),0,1))</f>
        <v/>
      </c>
      <c r="AL1042">
        <f>IF($AI1042=1,IFERROR(IF(VALUE($C1042)&lt;100000000,VALUE($C1042),1000000000),IFERROR(IF(VALUE(MID($C1042,2,20))&lt;100000000,VALUE(MID($C1042,2,20)),1000000000),1000000000))+ROW()/100000,"")</f>
        <v/>
      </c>
    </row>
    <row r="1043">
      <c r="J1043" s="7" t="n"/>
      <c r="K1043" s="7" t="n"/>
      <c r="R1043" s="7">
        <f>IF($C1043="","",Q1043*AC1043/100)</f>
        <v/>
      </c>
      <c r="S1043" s="11" t="n"/>
      <c r="U1043" s="11" t="n"/>
      <c r="AA1043" s="7" t="n"/>
      <c r="AC1043" s="7" t="n"/>
      <c r="AE1043">
        <f>IF($C1043="","",IF($AK1043=1,Settings!$C$6,Settings!$C$7)*1)</f>
        <v/>
      </c>
      <c r="AF1043" s="7">
        <f>IF($C1043="","",AE1043*AC1043)</f>
        <v/>
      </c>
      <c r="AG1043" s="7">
        <f>IF($C1043="","",AC1043-AF1043)</f>
        <v/>
      </c>
      <c r="AH1043" s="7">
        <f>IF($C1043="","",AG1043-R1043)</f>
        <v/>
      </c>
      <c r="AI1043">
        <f>IF($C1043="","",IF(COUNTIF($C$2:$C1043,$C1043)=1,1,0))</f>
        <v/>
      </c>
      <c r="AJ1043">
        <f>IF($AI1043=1,SUMPRODUCT(--($AL$2:$AL$1501&lt;$AL1043))+1,"")</f>
        <v/>
      </c>
      <c r="AK1043">
        <f>IF($C1043="","",IF(OR($AD1043=TRUE(),$AD1043="TRUE"),0,1))</f>
        <v/>
      </c>
      <c r="AL1043">
        <f>IF($AI1043=1,IFERROR(IF(VALUE($C1043)&lt;100000000,VALUE($C1043),1000000000),IFERROR(IF(VALUE(MID($C1043,2,20))&lt;100000000,VALUE(MID($C1043,2,20)),1000000000),1000000000))+ROW()/100000,"")</f>
        <v/>
      </c>
    </row>
    <row r="1044">
      <c r="J1044" s="7" t="n"/>
      <c r="K1044" s="7" t="n"/>
      <c r="R1044" s="7">
        <f>IF($C1044="","",Q1044*AC1044/100)</f>
        <v/>
      </c>
      <c r="S1044" s="11" t="n"/>
      <c r="U1044" s="11" t="n"/>
      <c r="AA1044" s="7" t="n"/>
      <c r="AC1044" s="7" t="n"/>
      <c r="AE1044">
        <f>IF($C1044="","",IF($AK1044=1,Settings!$C$6,Settings!$C$7)*1)</f>
        <v/>
      </c>
      <c r="AF1044" s="7">
        <f>IF($C1044="","",AE1044*AC1044)</f>
        <v/>
      </c>
      <c r="AG1044" s="7">
        <f>IF($C1044="","",AC1044-AF1044)</f>
        <v/>
      </c>
      <c r="AH1044" s="7">
        <f>IF($C1044="","",AG1044-R1044)</f>
        <v/>
      </c>
      <c r="AI1044">
        <f>IF($C1044="","",IF(COUNTIF($C$2:$C1044,$C1044)=1,1,0))</f>
        <v/>
      </c>
      <c r="AJ1044">
        <f>IF($AI1044=1,SUMPRODUCT(--($AL$2:$AL$1501&lt;$AL1044))+1,"")</f>
        <v/>
      </c>
      <c r="AK1044">
        <f>IF($C1044="","",IF(OR($AD1044=TRUE(),$AD1044="TRUE"),0,1))</f>
        <v/>
      </c>
      <c r="AL1044">
        <f>IF($AI1044=1,IFERROR(IF(VALUE($C1044)&lt;100000000,VALUE($C1044),1000000000),IFERROR(IF(VALUE(MID($C1044,2,20))&lt;100000000,VALUE(MID($C1044,2,20)),1000000000),1000000000))+ROW()/100000,"")</f>
        <v/>
      </c>
    </row>
    <row r="1045">
      <c r="J1045" s="7" t="n"/>
      <c r="K1045" s="7" t="n"/>
      <c r="R1045" s="7">
        <f>IF($C1045="","",Q1045*AC1045/100)</f>
        <v/>
      </c>
      <c r="S1045" s="11" t="n"/>
      <c r="U1045" s="11" t="n"/>
      <c r="AA1045" s="7" t="n"/>
      <c r="AC1045" s="7" t="n"/>
      <c r="AE1045">
        <f>IF($C1045="","",IF($AK1045=1,Settings!$C$6,Settings!$C$7)*1)</f>
        <v/>
      </c>
      <c r="AF1045" s="7">
        <f>IF($C1045="","",AE1045*AC1045)</f>
        <v/>
      </c>
      <c r="AG1045" s="7">
        <f>IF($C1045="","",AC1045-AF1045)</f>
        <v/>
      </c>
      <c r="AH1045" s="7">
        <f>IF($C1045="","",AG1045-R1045)</f>
        <v/>
      </c>
      <c r="AI1045">
        <f>IF($C1045="","",IF(COUNTIF($C$2:$C1045,$C1045)=1,1,0))</f>
        <v/>
      </c>
      <c r="AJ1045">
        <f>IF($AI1045=1,SUMPRODUCT(--($AL$2:$AL$1501&lt;$AL1045))+1,"")</f>
        <v/>
      </c>
      <c r="AK1045">
        <f>IF($C1045="","",IF(OR($AD1045=TRUE(),$AD1045="TRUE"),0,1))</f>
        <v/>
      </c>
      <c r="AL1045">
        <f>IF($AI1045=1,IFERROR(IF(VALUE($C1045)&lt;100000000,VALUE($C1045),1000000000),IFERROR(IF(VALUE(MID($C1045,2,20))&lt;100000000,VALUE(MID($C1045,2,20)),1000000000),1000000000))+ROW()/100000,"")</f>
        <v/>
      </c>
    </row>
    <row r="1046">
      <c r="J1046" s="7" t="n"/>
      <c r="K1046" s="7" t="n"/>
      <c r="R1046" s="7">
        <f>IF($C1046="","",Q1046*AC1046/100)</f>
        <v/>
      </c>
      <c r="S1046" s="11" t="n"/>
      <c r="U1046" s="11" t="n"/>
      <c r="AA1046" s="7" t="n"/>
      <c r="AC1046" s="7" t="n"/>
      <c r="AE1046">
        <f>IF($C1046="","",IF($AK1046=1,Settings!$C$6,Settings!$C$7)*1)</f>
        <v/>
      </c>
      <c r="AF1046" s="7">
        <f>IF($C1046="","",AE1046*AC1046)</f>
        <v/>
      </c>
      <c r="AG1046" s="7">
        <f>IF($C1046="","",AC1046-AF1046)</f>
        <v/>
      </c>
      <c r="AH1046" s="7">
        <f>IF($C1046="","",AG1046-R1046)</f>
        <v/>
      </c>
      <c r="AI1046">
        <f>IF($C1046="","",IF(COUNTIF($C$2:$C1046,$C1046)=1,1,0))</f>
        <v/>
      </c>
      <c r="AJ1046">
        <f>IF($AI1046=1,SUMPRODUCT(--($AL$2:$AL$1501&lt;$AL1046))+1,"")</f>
        <v/>
      </c>
      <c r="AK1046">
        <f>IF($C1046="","",IF(OR($AD1046=TRUE(),$AD1046="TRUE"),0,1))</f>
        <v/>
      </c>
      <c r="AL1046">
        <f>IF($AI1046=1,IFERROR(IF(VALUE($C1046)&lt;100000000,VALUE($C1046),1000000000),IFERROR(IF(VALUE(MID($C1046,2,20))&lt;100000000,VALUE(MID($C1046,2,20)),1000000000),1000000000))+ROW()/100000,"")</f>
        <v/>
      </c>
    </row>
    <row r="1047">
      <c r="J1047" s="7" t="n"/>
      <c r="K1047" s="7" t="n"/>
      <c r="R1047" s="7">
        <f>IF($C1047="","",Q1047*AC1047/100)</f>
        <v/>
      </c>
      <c r="S1047" s="11" t="n"/>
      <c r="U1047" s="11" t="n"/>
      <c r="AA1047" s="7" t="n"/>
      <c r="AC1047" s="7" t="n"/>
      <c r="AE1047">
        <f>IF($C1047="","",IF($AK1047=1,Settings!$C$6,Settings!$C$7)*1)</f>
        <v/>
      </c>
      <c r="AF1047" s="7">
        <f>IF($C1047="","",AE1047*AC1047)</f>
        <v/>
      </c>
      <c r="AG1047" s="7">
        <f>IF($C1047="","",AC1047-AF1047)</f>
        <v/>
      </c>
      <c r="AH1047" s="7">
        <f>IF($C1047="","",AG1047-R1047)</f>
        <v/>
      </c>
      <c r="AI1047">
        <f>IF($C1047="","",IF(COUNTIF($C$2:$C1047,$C1047)=1,1,0))</f>
        <v/>
      </c>
      <c r="AJ1047">
        <f>IF($AI1047=1,SUMPRODUCT(--($AL$2:$AL$1501&lt;$AL1047))+1,"")</f>
        <v/>
      </c>
      <c r="AK1047">
        <f>IF($C1047="","",IF(OR($AD1047=TRUE(),$AD1047="TRUE"),0,1))</f>
        <v/>
      </c>
      <c r="AL1047">
        <f>IF($AI1047=1,IFERROR(IF(VALUE($C1047)&lt;100000000,VALUE($C1047),1000000000),IFERROR(IF(VALUE(MID($C1047,2,20))&lt;100000000,VALUE(MID($C1047,2,20)),1000000000),1000000000))+ROW()/100000,"")</f>
        <v/>
      </c>
    </row>
    <row r="1048">
      <c r="J1048" s="7" t="n"/>
      <c r="K1048" s="7" t="n"/>
      <c r="R1048" s="7">
        <f>IF($C1048="","",Q1048*AC1048/100)</f>
        <v/>
      </c>
      <c r="S1048" s="11" t="n"/>
      <c r="U1048" s="11" t="n"/>
      <c r="AA1048" s="7" t="n"/>
      <c r="AC1048" s="7" t="n"/>
      <c r="AE1048">
        <f>IF($C1048="","",IF($AK1048=1,Settings!$C$6,Settings!$C$7)*1)</f>
        <v/>
      </c>
      <c r="AF1048" s="7">
        <f>IF($C1048="","",AE1048*AC1048)</f>
        <v/>
      </c>
      <c r="AG1048" s="7">
        <f>IF($C1048="","",AC1048-AF1048)</f>
        <v/>
      </c>
      <c r="AH1048" s="7">
        <f>IF($C1048="","",AG1048-R1048)</f>
        <v/>
      </c>
      <c r="AI1048">
        <f>IF($C1048="","",IF(COUNTIF($C$2:$C1048,$C1048)=1,1,0))</f>
        <v/>
      </c>
      <c r="AJ1048">
        <f>IF($AI1048=1,SUMPRODUCT(--($AL$2:$AL$1501&lt;$AL1048))+1,"")</f>
        <v/>
      </c>
      <c r="AK1048">
        <f>IF($C1048="","",IF(OR($AD1048=TRUE(),$AD1048="TRUE"),0,1))</f>
        <v/>
      </c>
      <c r="AL1048">
        <f>IF($AI1048=1,IFERROR(IF(VALUE($C1048)&lt;100000000,VALUE($C1048),1000000000),IFERROR(IF(VALUE(MID($C1048,2,20))&lt;100000000,VALUE(MID($C1048,2,20)),1000000000),1000000000))+ROW()/100000,"")</f>
        <v/>
      </c>
    </row>
    <row r="1049">
      <c r="J1049" s="7" t="n"/>
      <c r="K1049" s="7" t="n"/>
      <c r="R1049" s="7">
        <f>IF($C1049="","",Q1049*AC1049/100)</f>
        <v/>
      </c>
      <c r="S1049" s="11" t="n"/>
      <c r="U1049" s="11" t="n"/>
      <c r="AA1049" s="7" t="n"/>
      <c r="AC1049" s="7" t="n"/>
      <c r="AE1049">
        <f>IF($C1049="","",IF($AK1049=1,Settings!$C$6,Settings!$C$7)*1)</f>
        <v/>
      </c>
      <c r="AF1049" s="7">
        <f>IF($C1049="","",AE1049*AC1049)</f>
        <v/>
      </c>
      <c r="AG1049" s="7">
        <f>IF($C1049="","",AC1049-AF1049)</f>
        <v/>
      </c>
      <c r="AH1049" s="7">
        <f>IF($C1049="","",AG1049-R1049)</f>
        <v/>
      </c>
      <c r="AI1049">
        <f>IF($C1049="","",IF(COUNTIF($C$2:$C1049,$C1049)=1,1,0))</f>
        <v/>
      </c>
      <c r="AJ1049">
        <f>IF($AI1049=1,SUMPRODUCT(--($AL$2:$AL$1501&lt;$AL1049))+1,"")</f>
        <v/>
      </c>
      <c r="AK1049">
        <f>IF($C1049="","",IF(OR($AD1049=TRUE(),$AD1049="TRUE"),0,1))</f>
        <v/>
      </c>
      <c r="AL1049">
        <f>IF($AI1049=1,IFERROR(IF(VALUE($C1049)&lt;100000000,VALUE($C1049),1000000000),IFERROR(IF(VALUE(MID($C1049,2,20))&lt;100000000,VALUE(MID($C1049,2,20)),1000000000),1000000000))+ROW()/100000,"")</f>
        <v/>
      </c>
    </row>
    <row r="1050">
      <c r="J1050" s="7" t="n"/>
      <c r="K1050" s="7" t="n"/>
      <c r="R1050" s="7">
        <f>IF($C1050="","",Q1050*AC1050/100)</f>
        <v/>
      </c>
      <c r="S1050" s="11" t="n"/>
      <c r="U1050" s="11" t="n"/>
      <c r="AA1050" s="7" t="n"/>
      <c r="AC1050" s="7" t="n"/>
      <c r="AE1050">
        <f>IF($C1050="","",IF($AK1050=1,Settings!$C$6,Settings!$C$7)*1)</f>
        <v/>
      </c>
      <c r="AF1050" s="7">
        <f>IF($C1050="","",AE1050*AC1050)</f>
        <v/>
      </c>
      <c r="AG1050" s="7">
        <f>IF($C1050="","",AC1050-AF1050)</f>
        <v/>
      </c>
      <c r="AH1050" s="7">
        <f>IF($C1050="","",AG1050-R1050)</f>
        <v/>
      </c>
      <c r="AI1050">
        <f>IF($C1050="","",IF(COUNTIF($C$2:$C1050,$C1050)=1,1,0))</f>
        <v/>
      </c>
      <c r="AJ1050">
        <f>IF($AI1050=1,SUMPRODUCT(--($AL$2:$AL$1501&lt;$AL1050))+1,"")</f>
        <v/>
      </c>
      <c r="AK1050">
        <f>IF($C1050="","",IF(OR($AD1050=TRUE(),$AD1050="TRUE"),0,1))</f>
        <v/>
      </c>
      <c r="AL1050">
        <f>IF($AI1050=1,IFERROR(IF(VALUE($C1050)&lt;100000000,VALUE($C1050),1000000000),IFERROR(IF(VALUE(MID($C1050,2,20))&lt;100000000,VALUE(MID($C1050,2,20)),1000000000),1000000000))+ROW()/100000,"")</f>
        <v/>
      </c>
    </row>
    <row r="1051">
      <c r="J1051" s="7" t="n"/>
      <c r="K1051" s="7" t="n"/>
      <c r="R1051" s="7">
        <f>IF($C1051="","",Q1051*AC1051/100)</f>
        <v/>
      </c>
      <c r="S1051" s="11" t="n"/>
      <c r="U1051" s="11" t="n"/>
      <c r="AA1051" s="7" t="n"/>
      <c r="AC1051" s="7" t="n"/>
      <c r="AE1051">
        <f>IF($C1051="","",IF($AK1051=1,Settings!$C$6,Settings!$C$7)*1)</f>
        <v/>
      </c>
      <c r="AF1051" s="7">
        <f>IF($C1051="","",AE1051*AC1051)</f>
        <v/>
      </c>
      <c r="AG1051" s="7">
        <f>IF($C1051="","",AC1051-AF1051)</f>
        <v/>
      </c>
      <c r="AH1051" s="7">
        <f>IF($C1051="","",AG1051-R1051)</f>
        <v/>
      </c>
      <c r="AI1051">
        <f>IF($C1051="","",IF(COUNTIF($C$2:$C1051,$C1051)=1,1,0))</f>
        <v/>
      </c>
      <c r="AJ1051">
        <f>IF($AI1051=1,SUMPRODUCT(--($AL$2:$AL$1501&lt;$AL1051))+1,"")</f>
        <v/>
      </c>
      <c r="AK1051">
        <f>IF($C1051="","",IF(OR($AD1051=TRUE(),$AD1051="TRUE"),0,1))</f>
        <v/>
      </c>
      <c r="AL1051">
        <f>IF($AI1051=1,IFERROR(IF(VALUE($C1051)&lt;100000000,VALUE($C1051),1000000000),IFERROR(IF(VALUE(MID($C1051,2,20))&lt;100000000,VALUE(MID($C1051,2,20)),1000000000),1000000000))+ROW()/100000,"")</f>
        <v/>
      </c>
    </row>
    <row r="1052">
      <c r="J1052" s="7" t="n"/>
      <c r="K1052" s="7" t="n"/>
      <c r="R1052" s="7">
        <f>IF($C1052="","",Q1052*AC1052/100)</f>
        <v/>
      </c>
      <c r="S1052" s="11" t="n"/>
      <c r="U1052" s="11" t="n"/>
      <c r="AA1052" s="7" t="n"/>
      <c r="AC1052" s="7" t="n"/>
      <c r="AE1052">
        <f>IF($C1052="","",IF($AK1052=1,Settings!$C$6,Settings!$C$7)*1)</f>
        <v/>
      </c>
      <c r="AF1052" s="7">
        <f>IF($C1052="","",AE1052*AC1052)</f>
        <v/>
      </c>
      <c r="AG1052" s="7">
        <f>IF($C1052="","",AC1052-AF1052)</f>
        <v/>
      </c>
      <c r="AH1052" s="7">
        <f>IF($C1052="","",AG1052-R1052)</f>
        <v/>
      </c>
      <c r="AI1052">
        <f>IF($C1052="","",IF(COUNTIF($C$2:$C1052,$C1052)=1,1,0))</f>
        <v/>
      </c>
      <c r="AJ1052">
        <f>IF($AI1052=1,SUMPRODUCT(--($AL$2:$AL$1501&lt;$AL1052))+1,"")</f>
        <v/>
      </c>
      <c r="AK1052">
        <f>IF($C1052="","",IF(OR($AD1052=TRUE(),$AD1052="TRUE"),0,1))</f>
        <v/>
      </c>
      <c r="AL1052">
        <f>IF($AI1052=1,IFERROR(IF(VALUE($C1052)&lt;100000000,VALUE($C1052),1000000000),IFERROR(IF(VALUE(MID($C1052,2,20))&lt;100000000,VALUE(MID($C1052,2,20)),1000000000),1000000000))+ROW()/100000,"")</f>
        <v/>
      </c>
    </row>
    <row r="1053">
      <c r="J1053" s="7" t="n"/>
      <c r="K1053" s="7" t="n"/>
      <c r="R1053" s="7">
        <f>IF($C1053="","",Q1053*AC1053/100)</f>
        <v/>
      </c>
      <c r="S1053" s="11" t="n"/>
      <c r="U1053" s="11" t="n"/>
      <c r="AA1053" s="7" t="n"/>
      <c r="AC1053" s="7" t="n"/>
      <c r="AE1053">
        <f>IF($C1053="","",IF($AK1053=1,Settings!$C$6,Settings!$C$7)*1)</f>
        <v/>
      </c>
      <c r="AF1053" s="7">
        <f>IF($C1053="","",AE1053*AC1053)</f>
        <v/>
      </c>
      <c r="AG1053" s="7">
        <f>IF($C1053="","",AC1053-AF1053)</f>
        <v/>
      </c>
      <c r="AH1053" s="7">
        <f>IF($C1053="","",AG1053-R1053)</f>
        <v/>
      </c>
      <c r="AI1053">
        <f>IF($C1053="","",IF(COUNTIF($C$2:$C1053,$C1053)=1,1,0))</f>
        <v/>
      </c>
      <c r="AJ1053">
        <f>IF($AI1053=1,SUMPRODUCT(--($AL$2:$AL$1501&lt;$AL1053))+1,"")</f>
        <v/>
      </c>
      <c r="AK1053">
        <f>IF($C1053="","",IF(OR($AD1053=TRUE(),$AD1053="TRUE"),0,1))</f>
        <v/>
      </c>
      <c r="AL1053">
        <f>IF($AI1053=1,IFERROR(IF(VALUE($C1053)&lt;100000000,VALUE($C1053),1000000000),IFERROR(IF(VALUE(MID($C1053,2,20))&lt;100000000,VALUE(MID($C1053,2,20)),1000000000),1000000000))+ROW()/100000,"")</f>
        <v/>
      </c>
    </row>
    <row r="1054">
      <c r="J1054" s="7" t="n"/>
      <c r="K1054" s="7" t="n"/>
      <c r="R1054" s="7">
        <f>IF($C1054="","",Q1054*AC1054/100)</f>
        <v/>
      </c>
      <c r="S1054" s="11" t="n"/>
      <c r="U1054" s="11" t="n"/>
      <c r="AA1054" s="7" t="n"/>
      <c r="AC1054" s="7" t="n"/>
      <c r="AE1054">
        <f>IF($C1054="","",IF($AK1054=1,Settings!$C$6,Settings!$C$7)*1)</f>
        <v/>
      </c>
      <c r="AF1054" s="7">
        <f>IF($C1054="","",AE1054*AC1054)</f>
        <v/>
      </c>
      <c r="AG1054" s="7">
        <f>IF($C1054="","",AC1054-AF1054)</f>
        <v/>
      </c>
      <c r="AH1054" s="7">
        <f>IF($C1054="","",AG1054-R1054)</f>
        <v/>
      </c>
      <c r="AI1054">
        <f>IF($C1054="","",IF(COUNTIF($C$2:$C1054,$C1054)=1,1,0))</f>
        <v/>
      </c>
      <c r="AJ1054">
        <f>IF($AI1054=1,SUMPRODUCT(--($AL$2:$AL$1501&lt;$AL1054))+1,"")</f>
        <v/>
      </c>
      <c r="AK1054">
        <f>IF($C1054="","",IF(OR($AD1054=TRUE(),$AD1054="TRUE"),0,1))</f>
        <v/>
      </c>
      <c r="AL1054">
        <f>IF($AI1054=1,IFERROR(IF(VALUE($C1054)&lt;100000000,VALUE($C1054),1000000000),IFERROR(IF(VALUE(MID($C1054,2,20))&lt;100000000,VALUE(MID($C1054,2,20)),1000000000),1000000000))+ROW()/100000,"")</f>
        <v/>
      </c>
    </row>
    <row r="1055">
      <c r="J1055" s="7" t="n"/>
      <c r="K1055" s="7" t="n"/>
      <c r="R1055" s="7">
        <f>IF($C1055="","",Q1055*AC1055/100)</f>
        <v/>
      </c>
      <c r="S1055" s="11" t="n"/>
      <c r="U1055" s="11" t="n"/>
      <c r="AA1055" s="7" t="n"/>
      <c r="AC1055" s="7" t="n"/>
      <c r="AE1055">
        <f>IF($C1055="","",IF($AK1055=1,Settings!$C$6,Settings!$C$7)*1)</f>
        <v/>
      </c>
      <c r="AF1055" s="7">
        <f>IF($C1055="","",AE1055*AC1055)</f>
        <v/>
      </c>
      <c r="AG1055" s="7">
        <f>IF($C1055="","",AC1055-AF1055)</f>
        <v/>
      </c>
      <c r="AH1055" s="7">
        <f>IF($C1055="","",AG1055-R1055)</f>
        <v/>
      </c>
      <c r="AI1055">
        <f>IF($C1055="","",IF(COUNTIF($C$2:$C1055,$C1055)=1,1,0))</f>
        <v/>
      </c>
      <c r="AJ1055">
        <f>IF($AI1055=1,SUMPRODUCT(--($AL$2:$AL$1501&lt;$AL1055))+1,"")</f>
        <v/>
      </c>
      <c r="AK1055">
        <f>IF($C1055="","",IF(OR($AD1055=TRUE(),$AD1055="TRUE"),0,1))</f>
        <v/>
      </c>
      <c r="AL1055">
        <f>IF($AI1055=1,IFERROR(IF(VALUE($C1055)&lt;100000000,VALUE($C1055),1000000000),IFERROR(IF(VALUE(MID($C1055,2,20))&lt;100000000,VALUE(MID($C1055,2,20)),1000000000),1000000000))+ROW()/100000,"")</f>
        <v/>
      </c>
    </row>
    <row r="1056">
      <c r="J1056" s="7" t="n"/>
      <c r="K1056" s="7" t="n"/>
      <c r="R1056" s="7">
        <f>IF($C1056="","",Q1056*AC1056/100)</f>
        <v/>
      </c>
      <c r="S1056" s="11" t="n"/>
      <c r="U1056" s="11" t="n"/>
      <c r="AA1056" s="7" t="n"/>
      <c r="AC1056" s="7" t="n"/>
      <c r="AE1056">
        <f>IF($C1056="","",IF($AK1056=1,Settings!$C$6,Settings!$C$7)*1)</f>
        <v/>
      </c>
      <c r="AF1056" s="7">
        <f>IF($C1056="","",AE1056*AC1056)</f>
        <v/>
      </c>
      <c r="AG1056" s="7">
        <f>IF($C1056="","",AC1056-AF1056)</f>
        <v/>
      </c>
      <c r="AH1056" s="7">
        <f>IF($C1056="","",AG1056-R1056)</f>
        <v/>
      </c>
      <c r="AI1056">
        <f>IF($C1056="","",IF(COUNTIF($C$2:$C1056,$C1056)=1,1,0))</f>
        <v/>
      </c>
      <c r="AJ1056">
        <f>IF($AI1056=1,SUMPRODUCT(--($AL$2:$AL$1501&lt;$AL1056))+1,"")</f>
        <v/>
      </c>
      <c r="AK1056">
        <f>IF($C1056="","",IF(OR($AD1056=TRUE(),$AD1056="TRUE"),0,1))</f>
        <v/>
      </c>
      <c r="AL1056">
        <f>IF($AI1056=1,IFERROR(IF(VALUE($C1056)&lt;100000000,VALUE($C1056),1000000000),IFERROR(IF(VALUE(MID($C1056,2,20))&lt;100000000,VALUE(MID($C1056,2,20)),1000000000),1000000000))+ROW()/100000,"")</f>
        <v/>
      </c>
    </row>
    <row r="1057">
      <c r="J1057" s="7" t="n"/>
      <c r="K1057" s="7" t="n"/>
      <c r="R1057" s="7">
        <f>IF($C1057="","",Q1057*AC1057/100)</f>
        <v/>
      </c>
      <c r="S1057" s="11" t="n"/>
      <c r="U1057" s="11" t="n"/>
      <c r="AA1057" s="7" t="n"/>
      <c r="AC1057" s="7" t="n"/>
      <c r="AE1057">
        <f>IF($C1057="","",IF($AK1057=1,Settings!$C$6,Settings!$C$7)*1)</f>
        <v/>
      </c>
      <c r="AF1057" s="7">
        <f>IF($C1057="","",AE1057*AC1057)</f>
        <v/>
      </c>
      <c r="AG1057" s="7">
        <f>IF($C1057="","",AC1057-AF1057)</f>
        <v/>
      </c>
      <c r="AH1057" s="7">
        <f>IF($C1057="","",AG1057-R1057)</f>
        <v/>
      </c>
      <c r="AI1057">
        <f>IF($C1057="","",IF(COUNTIF($C$2:$C1057,$C1057)=1,1,0))</f>
        <v/>
      </c>
      <c r="AJ1057">
        <f>IF($AI1057=1,SUMPRODUCT(--($AL$2:$AL$1501&lt;$AL1057))+1,"")</f>
        <v/>
      </c>
      <c r="AK1057">
        <f>IF($C1057="","",IF(OR($AD1057=TRUE(),$AD1057="TRUE"),0,1))</f>
        <v/>
      </c>
      <c r="AL1057">
        <f>IF($AI1057=1,IFERROR(IF(VALUE($C1057)&lt;100000000,VALUE($C1057),1000000000),IFERROR(IF(VALUE(MID($C1057,2,20))&lt;100000000,VALUE(MID($C1057,2,20)),1000000000),1000000000))+ROW()/100000,"")</f>
        <v/>
      </c>
    </row>
    <row r="1058">
      <c r="J1058" s="7" t="n"/>
      <c r="K1058" s="7" t="n"/>
      <c r="R1058" s="7">
        <f>IF($C1058="","",Q1058*AC1058/100)</f>
        <v/>
      </c>
      <c r="S1058" s="11" t="n"/>
      <c r="U1058" s="11" t="n"/>
      <c r="AA1058" s="7" t="n"/>
      <c r="AC1058" s="7" t="n"/>
      <c r="AE1058">
        <f>IF($C1058="","",IF($AK1058=1,Settings!$C$6,Settings!$C$7)*1)</f>
        <v/>
      </c>
      <c r="AF1058" s="7">
        <f>IF($C1058="","",AE1058*AC1058)</f>
        <v/>
      </c>
      <c r="AG1058" s="7">
        <f>IF($C1058="","",AC1058-AF1058)</f>
        <v/>
      </c>
      <c r="AH1058" s="7">
        <f>IF($C1058="","",AG1058-R1058)</f>
        <v/>
      </c>
      <c r="AI1058">
        <f>IF($C1058="","",IF(COUNTIF($C$2:$C1058,$C1058)=1,1,0))</f>
        <v/>
      </c>
      <c r="AJ1058">
        <f>IF($AI1058=1,SUMPRODUCT(--($AL$2:$AL$1501&lt;$AL1058))+1,"")</f>
        <v/>
      </c>
      <c r="AK1058">
        <f>IF($C1058="","",IF(OR($AD1058=TRUE(),$AD1058="TRUE"),0,1))</f>
        <v/>
      </c>
      <c r="AL1058">
        <f>IF($AI1058=1,IFERROR(IF(VALUE($C1058)&lt;100000000,VALUE($C1058),1000000000),IFERROR(IF(VALUE(MID($C1058,2,20))&lt;100000000,VALUE(MID($C1058,2,20)),1000000000),1000000000))+ROW()/100000,"")</f>
        <v/>
      </c>
    </row>
    <row r="1059">
      <c r="J1059" s="7" t="n"/>
      <c r="K1059" s="7" t="n"/>
      <c r="R1059" s="7">
        <f>IF($C1059="","",Q1059*AC1059/100)</f>
        <v/>
      </c>
      <c r="S1059" s="11" t="n"/>
      <c r="U1059" s="11" t="n"/>
      <c r="AA1059" s="7" t="n"/>
      <c r="AC1059" s="7" t="n"/>
      <c r="AE1059">
        <f>IF($C1059="","",IF($AK1059=1,Settings!$C$6,Settings!$C$7)*1)</f>
        <v/>
      </c>
      <c r="AF1059" s="7">
        <f>IF($C1059="","",AE1059*AC1059)</f>
        <v/>
      </c>
      <c r="AG1059" s="7">
        <f>IF($C1059="","",AC1059-AF1059)</f>
        <v/>
      </c>
      <c r="AH1059" s="7">
        <f>IF($C1059="","",AG1059-R1059)</f>
        <v/>
      </c>
      <c r="AI1059">
        <f>IF($C1059="","",IF(COUNTIF($C$2:$C1059,$C1059)=1,1,0))</f>
        <v/>
      </c>
      <c r="AJ1059">
        <f>IF($AI1059=1,SUMPRODUCT(--($AL$2:$AL$1501&lt;$AL1059))+1,"")</f>
        <v/>
      </c>
      <c r="AK1059">
        <f>IF($C1059="","",IF(OR($AD1059=TRUE(),$AD1059="TRUE"),0,1))</f>
        <v/>
      </c>
      <c r="AL1059">
        <f>IF($AI1059=1,IFERROR(IF(VALUE($C1059)&lt;100000000,VALUE($C1059),1000000000),IFERROR(IF(VALUE(MID($C1059,2,20))&lt;100000000,VALUE(MID($C1059,2,20)),1000000000),1000000000))+ROW()/100000,"")</f>
        <v/>
      </c>
    </row>
    <row r="1060">
      <c r="J1060" s="7" t="n"/>
      <c r="K1060" s="7" t="n"/>
      <c r="R1060" s="7">
        <f>IF($C1060="","",Q1060*AC1060/100)</f>
        <v/>
      </c>
      <c r="S1060" s="11" t="n"/>
      <c r="U1060" s="11" t="n"/>
      <c r="AA1060" s="7" t="n"/>
      <c r="AC1060" s="7" t="n"/>
      <c r="AE1060">
        <f>IF($C1060="","",IF($AK1060=1,Settings!$C$6,Settings!$C$7)*1)</f>
        <v/>
      </c>
      <c r="AF1060" s="7">
        <f>IF($C1060="","",AE1060*AC1060)</f>
        <v/>
      </c>
      <c r="AG1060" s="7">
        <f>IF($C1060="","",AC1060-AF1060)</f>
        <v/>
      </c>
      <c r="AH1060" s="7">
        <f>IF($C1060="","",AG1060-R1060)</f>
        <v/>
      </c>
      <c r="AI1060">
        <f>IF($C1060="","",IF(COUNTIF($C$2:$C1060,$C1060)=1,1,0))</f>
        <v/>
      </c>
      <c r="AJ1060">
        <f>IF($AI1060=1,SUMPRODUCT(--($AL$2:$AL$1501&lt;$AL1060))+1,"")</f>
        <v/>
      </c>
      <c r="AK1060">
        <f>IF($C1060="","",IF(OR($AD1060=TRUE(),$AD1060="TRUE"),0,1))</f>
        <v/>
      </c>
      <c r="AL1060">
        <f>IF($AI1060=1,IFERROR(IF(VALUE($C1060)&lt;100000000,VALUE($C1060),1000000000),IFERROR(IF(VALUE(MID($C1060,2,20))&lt;100000000,VALUE(MID($C1060,2,20)),1000000000),1000000000))+ROW()/100000,"")</f>
        <v/>
      </c>
    </row>
    <row r="1061">
      <c r="J1061" s="7" t="n"/>
      <c r="K1061" s="7" t="n"/>
      <c r="R1061" s="7">
        <f>IF($C1061="","",Q1061*AC1061/100)</f>
        <v/>
      </c>
      <c r="S1061" s="11" t="n"/>
      <c r="U1061" s="11" t="n"/>
      <c r="AA1061" s="7" t="n"/>
      <c r="AC1061" s="7" t="n"/>
      <c r="AE1061">
        <f>IF($C1061="","",IF($AK1061=1,Settings!$C$6,Settings!$C$7)*1)</f>
        <v/>
      </c>
      <c r="AF1061" s="7">
        <f>IF($C1061="","",AE1061*AC1061)</f>
        <v/>
      </c>
      <c r="AG1061" s="7">
        <f>IF($C1061="","",AC1061-AF1061)</f>
        <v/>
      </c>
      <c r="AH1061" s="7">
        <f>IF($C1061="","",AG1061-R1061)</f>
        <v/>
      </c>
      <c r="AI1061">
        <f>IF($C1061="","",IF(COUNTIF($C$2:$C1061,$C1061)=1,1,0))</f>
        <v/>
      </c>
      <c r="AJ1061">
        <f>IF($AI1061=1,SUMPRODUCT(--($AL$2:$AL$1501&lt;$AL1061))+1,"")</f>
        <v/>
      </c>
      <c r="AK1061">
        <f>IF($C1061="","",IF(OR($AD1061=TRUE(),$AD1061="TRUE"),0,1))</f>
        <v/>
      </c>
      <c r="AL1061">
        <f>IF($AI1061=1,IFERROR(IF(VALUE($C1061)&lt;100000000,VALUE($C1061),1000000000),IFERROR(IF(VALUE(MID($C1061,2,20))&lt;100000000,VALUE(MID($C1061,2,20)),1000000000),1000000000))+ROW()/100000,"")</f>
        <v/>
      </c>
    </row>
    <row r="1062">
      <c r="J1062" s="7" t="n"/>
      <c r="K1062" s="7" t="n"/>
      <c r="R1062" s="7">
        <f>IF($C1062="","",Q1062*AC1062/100)</f>
        <v/>
      </c>
      <c r="S1062" s="11" t="n"/>
      <c r="U1062" s="11" t="n"/>
      <c r="AA1062" s="7" t="n"/>
      <c r="AC1062" s="7" t="n"/>
      <c r="AE1062">
        <f>IF($C1062="","",IF($AK1062=1,Settings!$C$6,Settings!$C$7)*1)</f>
        <v/>
      </c>
      <c r="AF1062" s="7">
        <f>IF($C1062="","",AE1062*AC1062)</f>
        <v/>
      </c>
      <c r="AG1062" s="7">
        <f>IF($C1062="","",AC1062-AF1062)</f>
        <v/>
      </c>
      <c r="AH1062" s="7">
        <f>IF($C1062="","",AG1062-R1062)</f>
        <v/>
      </c>
      <c r="AI1062">
        <f>IF($C1062="","",IF(COUNTIF($C$2:$C1062,$C1062)=1,1,0))</f>
        <v/>
      </c>
      <c r="AJ1062">
        <f>IF($AI1062=1,SUMPRODUCT(--($AL$2:$AL$1501&lt;$AL1062))+1,"")</f>
        <v/>
      </c>
      <c r="AK1062">
        <f>IF($C1062="","",IF(OR($AD1062=TRUE(),$AD1062="TRUE"),0,1))</f>
        <v/>
      </c>
      <c r="AL1062">
        <f>IF($AI1062=1,IFERROR(IF(VALUE($C1062)&lt;100000000,VALUE($C1062),1000000000),IFERROR(IF(VALUE(MID($C1062,2,20))&lt;100000000,VALUE(MID($C1062,2,20)),1000000000),1000000000))+ROW()/100000,"")</f>
        <v/>
      </c>
    </row>
    <row r="1063">
      <c r="J1063" s="7" t="n"/>
      <c r="K1063" s="7" t="n"/>
      <c r="R1063" s="7">
        <f>IF($C1063="","",Q1063*AC1063/100)</f>
        <v/>
      </c>
      <c r="S1063" s="11" t="n"/>
      <c r="U1063" s="11" t="n"/>
      <c r="AA1063" s="7" t="n"/>
      <c r="AC1063" s="7" t="n"/>
      <c r="AE1063">
        <f>IF($C1063="","",IF($AK1063=1,Settings!$C$6,Settings!$C$7)*1)</f>
        <v/>
      </c>
      <c r="AF1063" s="7">
        <f>IF($C1063="","",AE1063*AC1063)</f>
        <v/>
      </c>
      <c r="AG1063" s="7">
        <f>IF($C1063="","",AC1063-AF1063)</f>
        <v/>
      </c>
      <c r="AH1063" s="7">
        <f>IF($C1063="","",AG1063-R1063)</f>
        <v/>
      </c>
      <c r="AI1063">
        <f>IF($C1063="","",IF(COUNTIF($C$2:$C1063,$C1063)=1,1,0))</f>
        <v/>
      </c>
      <c r="AJ1063">
        <f>IF($AI1063=1,SUMPRODUCT(--($AL$2:$AL$1501&lt;$AL1063))+1,"")</f>
        <v/>
      </c>
      <c r="AK1063">
        <f>IF($C1063="","",IF(OR($AD1063=TRUE(),$AD1063="TRUE"),0,1))</f>
        <v/>
      </c>
      <c r="AL1063">
        <f>IF($AI1063=1,IFERROR(IF(VALUE($C1063)&lt;100000000,VALUE($C1063),1000000000),IFERROR(IF(VALUE(MID($C1063,2,20))&lt;100000000,VALUE(MID($C1063,2,20)),1000000000),1000000000))+ROW()/100000,"")</f>
        <v/>
      </c>
    </row>
    <row r="1064">
      <c r="J1064" s="7" t="n"/>
      <c r="K1064" s="7" t="n"/>
      <c r="R1064" s="7">
        <f>IF($C1064="","",Q1064*AC1064/100)</f>
        <v/>
      </c>
      <c r="S1064" s="11" t="n"/>
      <c r="U1064" s="11" t="n"/>
      <c r="AA1064" s="7" t="n"/>
      <c r="AC1064" s="7" t="n"/>
      <c r="AE1064">
        <f>IF($C1064="","",IF($AK1064=1,Settings!$C$6,Settings!$C$7)*1)</f>
        <v/>
      </c>
      <c r="AF1064" s="7">
        <f>IF($C1064="","",AE1064*AC1064)</f>
        <v/>
      </c>
      <c r="AG1064" s="7">
        <f>IF($C1064="","",AC1064-AF1064)</f>
        <v/>
      </c>
      <c r="AH1064" s="7">
        <f>IF($C1064="","",AG1064-R1064)</f>
        <v/>
      </c>
      <c r="AI1064">
        <f>IF($C1064="","",IF(COUNTIF($C$2:$C1064,$C1064)=1,1,0))</f>
        <v/>
      </c>
      <c r="AJ1064">
        <f>IF($AI1064=1,SUMPRODUCT(--($AL$2:$AL$1501&lt;$AL1064))+1,"")</f>
        <v/>
      </c>
      <c r="AK1064">
        <f>IF($C1064="","",IF(OR($AD1064=TRUE(),$AD1064="TRUE"),0,1))</f>
        <v/>
      </c>
      <c r="AL1064">
        <f>IF($AI1064=1,IFERROR(IF(VALUE($C1064)&lt;100000000,VALUE($C1064),1000000000),IFERROR(IF(VALUE(MID($C1064,2,20))&lt;100000000,VALUE(MID($C1064,2,20)),1000000000),1000000000))+ROW()/100000,"")</f>
        <v/>
      </c>
    </row>
    <row r="1065">
      <c r="J1065" s="7" t="n"/>
      <c r="K1065" s="7" t="n"/>
      <c r="R1065" s="7">
        <f>IF($C1065="","",Q1065*AC1065/100)</f>
        <v/>
      </c>
      <c r="S1065" s="11" t="n"/>
      <c r="U1065" s="11" t="n"/>
      <c r="AA1065" s="7" t="n"/>
      <c r="AC1065" s="7" t="n"/>
      <c r="AE1065">
        <f>IF($C1065="","",IF($AK1065=1,Settings!$C$6,Settings!$C$7)*1)</f>
        <v/>
      </c>
      <c r="AF1065" s="7">
        <f>IF($C1065="","",AE1065*AC1065)</f>
        <v/>
      </c>
      <c r="AG1065" s="7">
        <f>IF($C1065="","",AC1065-AF1065)</f>
        <v/>
      </c>
      <c r="AH1065" s="7">
        <f>IF($C1065="","",AG1065-R1065)</f>
        <v/>
      </c>
      <c r="AI1065">
        <f>IF($C1065="","",IF(COUNTIF($C$2:$C1065,$C1065)=1,1,0))</f>
        <v/>
      </c>
      <c r="AJ1065">
        <f>IF($AI1065=1,SUMPRODUCT(--($AL$2:$AL$1501&lt;$AL1065))+1,"")</f>
        <v/>
      </c>
      <c r="AK1065">
        <f>IF($C1065="","",IF(OR($AD1065=TRUE(),$AD1065="TRUE"),0,1))</f>
        <v/>
      </c>
      <c r="AL1065">
        <f>IF($AI1065=1,IFERROR(IF(VALUE($C1065)&lt;100000000,VALUE($C1065),1000000000),IFERROR(IF(VALUE(MID($C1065,2,20))&lt;100000000,VALUE(MID($C1065,2,20)),1000000000),1000000000))+ROW()/100000,"")</f>
        <v/>
      </c>
    </row>
    <row r="1066">
      <c r="J1066" s="7" t="n"/>
      <c r="K1066" s="7" t="n"/>
      <c r="R1066" s="7">
        <f>IF($C1066="","",Q1066*AC1066/100)</f>
        <v/>
      </c>
      <c r="S1066" s="11" t="n"/>
      <c r="U1066" s="11" t="n"/>
      <c r="AA1066" s="7" t="n"/>
      <c r="AC1066" s="7" t="n"/>
      <c r="AE1066">
        <f>IF($C1066="","",IF($AK1066=1,Settings!$C$6,Settings!$C$7)*1)</f>
        <v/>
      </c>
      <c r="AF1066" s="7">
        <f>IF($C1066="","",AE1066*AC1066)</f>
        <v/>
      </c>
      <c r="AG1066" s="7">
        <f>IF($C1066="","",AC1066-AF1066)</f>
        <v/>
      </c>
      <c r="AH1066" s="7">
        <f>IF($C1066="","",AG1066-R1066)</f>
        <v/>
      </c>
      <c r="AI1066">
        <f>IF($C1066="","",IF(COUNTIF($C$2:$C1066,$C1066)=1,1,0))</f>
        <v/>
      </c>
      <c r="AJ1066">
        <f>IF($AI1066=1,SUMPRODUCT(--($AL$2:$AL$1501&lt;$AL1066))+1,"")</f>
        <v/>
      </c>
      <c r="AK1066">
        <f>IF($C1066="","",IF(OR($AD1066=TRUE(),$AD1066="TRUE"),0,1))</f>
        <v/>
      </c>
      <c r="AL1066">
        <f>IF($AI1066=1,IFERROR(IF(VALUE($C1066)&lt;100000000,VALUE($C1066),1000000000),IFERROR(IF(VALUE(MID($C1066,2,20))&lt;100000000,VALUE(MID($C1066,2,20)),1000000000),1000000000))+ROW()/100000,"")</f>
        <v/>
      </c>
    </row>
    <row r="1067">
      <c r="J1067" s="7" t="n"/>
      <c r="K1067" s="7" t="n"/>
      <c r="R1067" s="7">
        <f>IF($C1067="","",Q1067*AC1067/100)</f>
        <v/>
      </c>
      <c r="S1067" s="11" t="n"/>
      <c r="U1067" s="11" t="n"/>
      <c r="AA1067" s="7" t="n"/>
      <c r="AC1067" s="7" t="n"/>
      <c r="AE1067">
        <f>IF($C1067="","",IF($AK1067=1,Settings!$C$6,Settings!$C$7)*1)</f>
        <v/>
      </c>
      <c r="AF1067" s="7">
        <f>IF($C1067="","",AE1067*AC1067)</f>
        <v/>
      </c>
      <c r="AG1067" s="7">
        <f>IF($C1067="","",AC1067-AF1067)</f>
        <v/>
      </c>
      <c r="AH1067" s="7">
        <f>IF($C1067="","",AG1067-R1067)</f>
        <v/>
      </c>
      <c r="AI1067">
        <f>IF($C1067="","",IF(COUNTIF($C$2:$C1067,$C1067)=1,1,0))</f>
        <v/>
      </c>
      <c r="AJ1067">
        <f>IF($AI1067=1,SUMPRODUCT(--($AL$2:$AL$1501&lt;$AL1067))+1,"")</f>
        <v/>
      </c>
      <c r="AK1067">
        <f>IF($C1067="","",IF(OR($AD1067=TRUE(),$AD1067="TRUE"),0,1))</f>
        <v/>
      </c>
      <c r="AL1067">
        <f>IF($AI1067=1,IFERROR(IF(VALUE($C1067)&lt;100000000,VALUE($C1067),1000000000),IFERROR(IF(VALUE(MID($C1067,2,20))&lt;100000000,VALUE(MID($C1067,2,20)),1000000000),1000000000))+ROW()/100000,"")</f>
        <v/>
      </c>
    </row>
    <row r="1068">
      <c r="J1068" s="7" t="n"/>
      <c r="K1068" s="7" t="n"/>
      <c r="R1068" s="7">
        <f>IF($C1068="","",Q1068*AC1068/100)</f>
        <v/>
      </c>
      <c r="S1068" s="11" t="n"/>
      <c r="U1068" s="11" t="n"/>
      <c r="AA1068" s="7" t="n"/>
      <c r="AC1068" s="7" t="n"/>
      <c r="AE1068">
        <f>IF($C1068="","",IF($AK1068=1,Settings!$C$6,Settings!$C$7)*1)</f>
        <v/>
      </c>
      <c r="AF1068" s="7">
        <f>IF($C1068="","",AE1068*AC1068)</f>
        <v/>
      </c>
      <c r="AG1068" s="7">
        <f>IF($C1068="","",AC1068-AF1068)</f>
        <v/>
      </c>
      <c r="AH1068" s="7">
        <f>IF($C1068="","",AG1068-R1068)</f>
        <v/>
      </c>
      <c r="AI1068">
        <f>IF($C1068="","",IF(COUNTIF($C$2:$C1068,$C1068)=1,1,0))</f>
        <v/>
      </c>
      <c r="AJ1068">
        <f>IF($AI1068=1,SUMPRODUCT(--($AL$2:$AL$1501&lt;$AL1068))+1,"")</f>
        <v/>
      </c>
      <c r="AK1068">
        <f>IF($C1068="","",IF(OR($AD1068=TRUE(),$AD1068="TRUE"),0,1))</f>
        <v/>
      </c>
      <c r="AL1068">
        <f>IF($AI1068=1,IFERROR(IF(VALUE($C1068)&lt;100000000,VALUE($C1068),1000000000),IFERROR(IF(VALUE(MID($C1068,2,20))&lt;100000000,VALUE(MID($C1068,2,20)),1000000000),1000000000))+ROW()/100000,"")</f>
        <v/>
      </c>
    </row>
    <row r="1069">
      <c r="J1069" s="7" t="n"/>
      <c r="K1069" s="7" t="n"/>
      <c r="R1069" s="7">
        <f>IF($C1069="","",Q1069*AC1069/100)</f>
        <v/>
      </c>
      <c r="S1069" s="11" t="n"/>
      <c r="U1069" s="11" t="n"/>
      <c r="AA1069" s="7" t="n"/>
      <c r="AC1069" s="7" t="n"/>
      <c r="AE1069">
        <f>IF($C1069="","",IF($AK1069=1,Settings!$C$6,Settings!$C$7)*1)</f>
        <v/>
      </c>
      <c r="AF1069" s="7">
        <f>IF($C1069="","",AE1069*AC1069)</f>
        <v/>
      </c>
      <c r="AG1069" s="7">
        <f>IF($C1069="","",AC1069-AF1069)</f>
        <v/>
      </c>
      <c r="AH1069" s="7">
        <f>IF($C1069="","",AG1069-R1069)</f>
        <v/>
      </c>
      <c r="AI1069">
        <f>IF($C1069="","",IF(COUNTIF($C$2:$C1069,$C1069)=1,1,0))</f>
        <v/>
      </c>
      <c r="AJ1069">
        <f>IF($AI1069=1,SUMPRODUCT(--($AL$2:$AL$1501&lt;$AL1069))+1,"")</f>
        <v/>
      </c>
      <c r="AK1069">
        <f>IF($C1069="","",IF(OR($AD1069=TRUE(),$AD1069="TRUE"),0,1))</f>
        <v/>
      </c>
      <c r="AL1069">
        <f>IF($AI1069=1,IFERROR(IF(VALUE($C1069)&lt;100000000,VALUE($C1069),1000000000),IFERROR(IF(VALUE(MID($C1069,2,20))&lt;100000000,VALUE(MID($C1069,2,20)),1000000000),1000000000))+ROW()/100000,"")</f>
        <v/>
      </c>
    </row>
    <row r="1070">
      <c r="J1070" s="7" t="n"/>
      <c r="K1070" s="7" t="n"/>
      <c r="R1070" s="7">
        <f>IF($C1070="","",Q1070*AC1070/100)</f>
        <v/>
      </c>
      <c r="S1070" s="11" t="n"/>
      <c r="U1070" s="11" t="n"/>
      <c r="AA1070" s="7" t="n"/>
      <c r="AC1070" s="7" t="n"/>
      <c r="AE1070">
        <f>IF($C1070="","",IF($AK1070=1,Settings!$C$6,Settings!$C$7)*1)</f>
        <v/>
      </c>
      <c r="AF1070" s="7">
        <f>IF($C1070="","",AE1070*AC1070)</f>
        <v/>
      </c>
      <c r="AG1070" s="7">
        <f>IF($C1070="","",AC1070-AF1070)</f>
        <v/>
      </c>
      <c r="AH1070" s="7">
        <f>IF($C1070="","",AG1070-R1070)</f>
        <v/>
      </c>
      <c r="AI1070">
        <f>IF($C1070="","",IF(COUNTIF($C$2:$C1070,$C1070)=1,1,0))</f>
        <v/>
      </c>
      <c r="AJ1070">
        <f>IF($AI1070=1,SUMPRODUCT(--($AL$2:$AL$1501&lt;$AL1070))+1,"")</f>
        <v/>
      </c>
      <c r="AK1070">
        <f>IF($C1070="","",IF(OR($AD1070=TRUE(),$AD1070="TRUE"),0,1))</f>
        <v/>
      </c>
      <c r="AL1070">
        <f>IF($AI1070=1,IFERROR(IF(VALUE($C1070)&lt;100000000,VALUE($C1070),1000000000),IFERROR(IF(VALUE(MID($C1070,2,20))&lt;100000000,VALUE(MID($C1070,2,20)),1000000000),1000000000))+ROW()/100000,"")</f>
        <v/>
      </c>
    </row>
    <row r="1071">
      <c r="J1071" s="7" t="n"/>
      <c r="K1071" s="7" t="n"/>
      <c r="R1071" s="7">
        <f>IF($C1071="","",Q1071*AC1071/100)</f>
        <v/>
      </c>
      <c r="S1071" s="11" t="n"/>
      <c r="U1071" s="11" t="n"/>
      <c r="AA1071" s="7" t="n"/>
      <c r="AC1071" s="7" t="n"/>
      <c r="AE1071">
        <f>IF($C1071="","",IF($AK1071=1,Settings!$C$6,Settings!$C$7)*1)</f>
        <v/>
      </c>
      <c r="AF1071" s="7">
        <f>IF($C1071="","",AE1071*AC1071)</f>
        <v/>
      </c>
      <c r="AG1071" s="7">
        <f>IF($C1071="","",AC1071-AF1071)</f>
        <v/>
      </c>
      <c r="AH1071" s="7">
        <f>IF($C1071="","",AG1071-R1071)</f>
        <v/>
      </c>
      <c r="AI1071">
        <f>IF($C1071="","",IF(COUNTIF($C$2:$C1071,$C1071)=1,1,0))</f>
        <v/>
      </c>
      <c r="AJ1071">
        <f>IF($AI1071=1,SUMPRODUCT(--($AL$2:$AL$1501&lt;$AL1071))+1,"")</f>
        <v/>
      </c>
      <c r="AK1071">
        <f>IF($C1071="","",IF(OR($AD1071=TRUE(),$AD1071="TRUE"),0,1))</f>
        <v/>
      </c>
      <c r="AL1071">
        <f>IF($AI1071=1,IFERROR(IF(VALUE($C1071)&lt;100000000,VALUE($C1071),1000000000),IFERROR(IF(VALUE(MID($C1071,2,20))&lt;100000000,VALUE(MID($C1071,2,20)),1000000000),1000000000))+ROW()/100000,"")</f>
        <v/>
      </c>
    </row>
    <row r="1072">
      <c r="J1072" s="7" t="n"/>
      <c r="K1072" s="7" t="n"/>
      <c r="R1072" s="7">
        <f>IF($C1072="","",Q1072*AC1072/100)</f>
        <v/>
      </c>
      <c r="S1072" s="11" t="n"/>
      <c r="U1072" s="11" t="n"/>
      <c r="AA1072" s="7" t="n"/>
      <c r="AC1072" s="7" t="n"/>
      <c r="AE1072">
        <f>IF($C1072="","",IF($AK1072=1,Settings!$C$6,Settings!$C$7)*1)</f>
        <v/>
      </c>
      <c r="AF1072" s="7">
        <f>IF($C1072="","",AE1072*AC1072)</f>
        <v/>
      </c>
      <c r="AG1072" s="7">
        <f>IF($C1072="","",AC1072-AF1072)</f>
        <v/>
      </c>
      <c r="AH1072" s="7">
        <f>IF($C1072="","",AG1072-R1072)</f>
        <v/>
      </c>
      <c r="AI1072">
        <f>IF($C1072="","",IF(COUNTIF($C$2:$C1072,$C1072)=1,1,0))</f>
        <v/>
      </c>
      <c r="AJ1072">
        <f>IF($AI1072=1,SUMPRODUCT(--($AL$2:$AL$1501&lt;$AL1072))+1,"")</f>
        <v/>
      </c>
      <c r="AK1072">
        <f>IF($C1072="","",IF(OR($AD1072=TRUE(),$AD1072="TRUE"),0,1))</f>
        <v/>
      </c>
      <c r="AL1072">
        <f>IF($AI1072=1,IFERROR(IF(VALUE($C1072)&lt;100000000,VALUE($C1072),1000000000),IFERROR(IF(VALUE(MID($C1072,2,20))&lt;100000000,VALUE(MID($C1072,2,20)),1000000000),1000000000))+ROW()/100000,"")</f>
        <v/>
      </c>
    </row>
    <row r="1073">
      <c r="J1073" s="7" t="n"/>
      <c r="K1073" s="7" t="n"/>
      <c r="R1073" s="7">
        <f>IF($C1073="","",Q1073*AC1073/100)</f>
        <v/>
      </c>
      <c r="S1073" s="11" t="n"/>
      <c r="U1073" s="11" t="n"/>
      <c r="AA1073" s="7" t="n"/>
      <c r="AC1073" s="7" t="n"/>
      <c r="AE1073">
        <f>IF($C1073="","",IF($AK1073=1,Settings!$C$6,Settings!$C$7)*1)</f>
        <v/>
      </c>
      <c r="AF1073" s="7">
        <f>IF($C1073="","",AE1073*AC1073)</f>
        <v/>
      </c>
      <c r="AG1073" s="7">
        <f>IF($C1073="","",AC1073-AF1073)</f>
        <v/>
      </c>
      <c r="AH1073" s="7">
        <f>IF($C1073="","",AG1073-R1073)</f>
        <v/>
      </c>
      <c r="AI1073">
        <f>IF($C1073="","",IF(COUNTIF($C$2:$C1073,$C1073)=1,1,0))</f>
        <v/>
      </c>
      <c r="AJ1073">
        <f>IF($AI1073=1,SUMPRODUCT(--($AL$2:$AL$1501&lt;$AL1073))+1,"")</f>
        <v/>
      </c>
      <c r="AK1073">
        <f>IF($C1073="","",IF(OR($AD1073=TRUE(),$AD1073="TRUE"),0,1))</f>
        <v/>
      </c>
      <c r="AL1073">
        <f>IF($AI1073=1,IFERROR(IF(VALUE($C1073)&lt;100000000,VALUE($C1073),1000000000),IFERROR(IF(VALUE(MID($C1073,2,20))&lt;100000000,VALUE(MID($C1073,2,20)),1000000000),1000000000))+ROW()/100000,"")</f>
        <v/>
      </c>
    </row>
    <row r="1074">
      <c r="J1074" s="7" t="n"/>
      <c r="K1074" s="7" t="n"/>
      <c r="R1074" s="7">
        <f>IF($C1074="","",Q1074*AC1074/100)</f>
        <v/>
      </c>
      <c r="S1074" s="11" t="n"/>
      <c r="U1074" s="11" t="n"/>
      <c r="AA1074" s="7" t="n"/>
      <c r="AC1074" s="7" t="n"/>
      <c r="AE1074">
        <f>IF($C1074="","",IF($AK1074=1,Settings!$C$6,Settings!$C$7)*1)</f>
        <v/>
      </c>
      <c r="AF1074" s="7">
        <f>IF($C1074="","",AE1074*AC1074)</f>
        <v/>
      </c>
      <c r="AG1074" s="7">
        <f>IF($C1074="","",AC1074-AF1074)</f>
        <v/>
      </c>
      <c r="AH1074" s="7">
        <f>IF($C1074="","",AG1074-R1074)</f>
        <v/>
      </c>
      <c r="AI1074">
        <f>IF($C1074="","",IF(COUNTIF($C$2:$C1074,$C1074)=1,1,0))</f>
        <v/>
      </c>
      <c r="AJ1074">
        <f>IF($AI1074=1,SUMPRODUCT(--($AL$2:$AL$1501&lt;$AL1074))+1,"")</f>
        <v/>
      </c>
      <c r="AK1074">
        <f>IF($C1074="","",IF(OR($AD1074=TRUE(),$AD1074="TRUE"),0,1))</f>
        <v/>
      </c>
      <c r="AL1074">
        <f>IF($AI1074=1,IFERROR(IF(VALUE($C1074)&lt;100000000,VALUE($C1074),1000000000),IFERROR(IF(VALUE(MID($C1074,2,20))&lt;100000000,VALUE(MID($C1074,2,20)),1000000000),1000000000))+ROW()/100000,"")</f>
        <v/>
      </c>
    </row>
    <row r="1075">
      <c r="J1075" s="7" t="n"/>
      <c r="K1075" s="7" t="n"/>
      <c r="R1075" s="7">
        <f>IF($C1075="","",Q1075*AC1075/100)</f>
        <v/>
      </c>
      <c r="S1075" s="11" t="n"/>
      <c r="U1075" s="11" t="n"/>
      <c r="AA1075" s="7" t="n"/>
      <c r="AC1075" s="7" t="n"/>
      <c r="AE1075">
        <f>IF($C1075="","",IF($AK1075=1,Settings!$C$6,Settings!$C$7)*1)</f>
        <v/>
      </c>
      <c r="AF1075" s="7">
        <f>IF($C1075="","",AE1075*AC1075)</f>
        <v/>
      </c>
      <c r="AG1075" s="7">
        <f>IF($C1075="","",AC1075-AF1075)</f>
        <v/>
      </c>
      <c r="AH1075" s="7">
        <f>IF($C1075="","",AG1075-R1075)</f>
        <v/>
      </c>
      <c r="AI1075">
        <f>IF($C1075="","",IF(COUNTIF($C$2:$C1075,$C1075)=1,1,0))</f>
        <v/>
      </c>
      <c r="AJ1075">
        <f>IF($AI1075=1,SUMPRODUCT(--($AL$2:$AL$1501&lt;$AL1075))+1,"")</f>
        <v/>
      </c>
      <c r="AK1075">
        <f>IF($C1075="","",IF(OR($AD1075=TRUE(),$AD1075="TRUE"),0,1))</f>
        <v/>
      </c>
      <c r="AL1075">
        <f>IF($AI1075=1,IFERROR(IF(VALUE($C1075)&lt;100000000,VALUE($C1075),1000000000),IFERROR(IF(VALUE(MID($C1075,2,20))&lt;100000000,VALUE(MID($C1075,2,20)),1000000000),1000000000))+ROW()/100000,"")</f>
        <v/>
      </c>
    </row>
    <row r="1076">
      <c r="J1076" s="7" t="n"/>
      <c r="K1076" s="7" t="n"/>
      <c r="R1076" s="7">
        <f>IF($C1076="","",Q1076*AC1076/100)</f>
        <v/>
      </c>
      <c r="S1076" s="11" t="n"/>
      <c r="U1076" s="11" t="n"/>
      <c r="AA1076" s="7" t="n"/>
      <c r="AC1076" s="7" t="n"/>
      <c r="AE1076">
        <f>IF($C1076="","",IF($AK1076=1,Settings!$C$6,Settings!$C$7)*1)</f>
        <v/>
      </c>
      <c r="AF1076" s="7">
        <f>IF($C1076="","",AE1076*AC1076)</f>
        <v/>
      </c>
      <c r="AG1076" s="7">
        <f>IF($C1076="","",AC1076-AF1076)</f>
        <v/>
      </c>
      <c r="AH1076" s="7">
        <f>IF($C1076="","",AG1076-R1076)</f>
        <v/>
      </c>
      <c r="AI1076">
        <f>IF($C1076="","",IF(COUNTIF($C$2:$C1076,$C1076)=1,1,0))</f>
        <v/>
      </c>
      <c r="AJ1076">
        <f>IF($AI1076=1,SUMPRODUCT(--($AL$2:$AL$1501&lt;$AL1076))+1,"")</f>
        <v/>
      </c>
      <c r="AK1076">
        <f>IF($C1076="","",IF(OR($AD1076=TRUE(),$AD1076="TRUE"),0,1))</f>
        <v/>
      </c>
      <c r="AL1076">
        <f>IF($AI1076=1,IFERROR(IF(VALUE($C1076)&lt;100000000,VALUE($C1076),1000000000),IFERROR(IF(VALUE(MID($C1076,2,20))&lt;100000000,VALUE(MID($C1076,2,20)),1000000000),1000000000))+ROW()/100000,"")</f>
        <v/>
      </c>
    </row>
    <row r="1077">
      <c r="J1077" s="7" t="n"/>
      <c r="K1077" s="7" t="n"/>
      <c r="R1077" s="7">
        <f>IF($C1077="","",Q1077*AC1077/100)</f>
        <v/>
      </c>
      <c r="S1077" s="11" t="n"/>
      <c r="U1077" s="11" t="n"/>
      <c r="AA1077" s="7" t="n"/>
      <c r="AC1077" s="7" t="n"/>
      <c r="AE1077">
        <f>IF($C1077="","",IF($AK1077=1,Settings!$C$6,Settings!$C$7)*1)</f>
        <v/>
      </c>
      <c r="AF1077" s="7">
        <f>IF($C1077="","",AE1077*AC1077)</f>
        <v/>
      </c>
      <c r="AG1077" s="7">
        <f>IF($C1077="","",AC1077-AF1077)</f>
        <v/>
      </c>
      <c r="AH1077" s="7">
        <f>IF($C1077="","",AG1077-R1077)</f>
        <v/>
      </c>
      <c r="AI1077">
        <f>IF($C1077="","",IF(COUNTIF($C$2:$C1077,$C1077)=1,1,0))</f>
        <v/>
      </c>
      <c r="AJ1077">
        <f>IF($AI1077=1,SUMPRODUCT(--($AL$2:$AL$1501&lt;$AL1077))+1,"")</f>
        <v/>
      </c>
      <c r="AK1077">
        <f>IF($C1077="","",IF(OR($AD1077=TRUE(),$AD1077="TRUE"),0,1))</f>
        <v/>
      </c>
      <c r="AL1077">
        <f>IF($AI1077=1,IFERROR(IF(VALUE($C1077)&lt;100000000,VALUE($C1077),1000000000),IFERROR(IF(VALUE(MID($C1077,2,20))&lt;100000000,VALUE(MID($C1077,2,20)),1000000000),1000000000))+ROW()/100000,"")</f>
        <v/>
      </c>
    </row>
    <row r="1078">
      <c r="J1078" s="7" t="n"/>
      <c r="K1078" s="7" t="n"/>
      <c r="R1078" s="7">
        <f>IF($C1078="","",Q1078*AC1078/100)</f>
        <v/>
      </c>
      <c r="S1078" s="11" t="n"/>
      <c r="U1078" s="11" t="n"/>
      <c r="AA1078" s="7" t="n"/>
      <c r="AC1078" s="7" t="n"/>
      <c r="AE1078">
        <f>IF($C1078="","",IF($AK1078=1,Settings!$C$6,Settings!$C$7)*1)</f>
        <v/>
      </c>
      <c r="AF1078" s="7">
        <f>IF($C1078="","",AE1078*AC1078)</f>
        <v/>
      </c>
      <c r="AG1078" s="7">
        <f>IF($C1078="","",AC1078-AF1078)</f>
        <v/>
      </c>
      <c r="AH1078" s="7">
        <f>IF($C1078="","",AG1078-R1078)</f>
        <v/>
      </c>
      <c r="AI1078">
        <f>IF($C1078="","",IF(COUNTIF($C$2:$C1078,$C1078)=1,1,0))</f>
        <v/>
      </c>
      <c r="AJ1078">
        <f>IF($AI1078=1,SUMPRODUCT(--($AL$2:$AL$1501&lt;$AL1078))+1,"")</f>
        <v/>
      </c>
      <c r="AK1078">
        <f>IF($C1078="","",IF(OR($AD1078=TRUE(),$AD1078="TRUE"),0,1))</f>
        <v/>
      </c>
      <c r="AL1078">
        <f>IF($AI1078=1,IFERROR(IF(VALUE($C1078)&lt;100000000,VALUE($C1078),1000000000),IFERROR(IF(VALUE(MID($C1078,2,20))&lt;100000000,VALUE(MID($C1078,2,20)),1000000000),1000000000))+ROW()/100000,"")</f>
        <v/>
      </c>
    </row>
    <row r="1079">
      <c r="J1079" s="7" t="n"/>
      <c r="K1079" s="7" t="n"/>
      <c r="R1079" s="7">
        <f>IF($C1079="","",Q1079*AC1079/100)</f>
        <v/>
      </c>
      <c r="S1079" s="11" t="n"/>
      <c r="U1079" s="11" t="n"/>
      <c r="AA1079" s="7" t="n"/>
      <c r="AC1079" s="7" t="n"/>
      <c r="AE1079">
        <f>IF($C1079="","",IF($AK1079=1,Settings!$C$6,Settings!$C$7)*1)</f>
        <v/>
      </c>
      <c r="AF1079" s="7">
        <f>IF($C1079="","",AE1079*AC1079)</f>
        <v/>
      </c>
      <c r="AG1079" s="7">
        <f>IF($C1079="","",AC1079-AF1079)</f>
        <v/>
      </c>
      <c r="AH1079" s="7">
        <f>IF($C1079="","",AG1079-R1079)</f>
        <v/>
      </c>
      <c r="AI1079">
        <f>IF($C1079="","",IF(COUNTIF($C$2:$C1079,$C1079)=1,1,0))</f>
        <v/>
      </c>
      <c r="AJ1079">
        <f>IF($AI1079=1,SUMPRODUCT(--($AL$2:$AL$1501&lt;$AL1079))+1,"")</f>
        <v/>
      </c>
      <c r="AK1079">
        <f>IF($C1079="","",IF(OR($AD1079=TRUE(),$AD1079="TRUE"),0,1))</f>
        <v/>
      </c>
      <c r="AL1079">
        <f>IF($AI1079=1,IFERROR(IF(VALUE($C1079)&lt;100000000,VALUE($C1079),1000000000),IFERROR(IF(VALUE(MID($C1079,2,20))&lt;100000000,VALUE(MID($C1079,2,20)),1000000000),1000000000))+ROW()/100000,"")</f>
        <v/>
      </c>
    </row>
    <row r="1080">
      <c r="J1080" s="7" t="n"/>
      <c r="K1080" s="7" t="n"/>
      <c r="R1080" s="7">
        <f>IF($C1080="","",Q1080*AC1080/100)</f>
        <v/>
      </c>
      <c r="S1080" s="11" t="n"/>
      <c r="U1080" s="11" t="n"/>
      <c r="AA1080" s="7" t="n"/>
      <c r="AC1080" s="7" t="n"/>
      <c r="AE1080">
        <f>IF($C1080="","",IF($AK1080=1,Settings!$C$6,Settings!$C$7)*1)</f>
        <v/>
      </c>
      <c r="AF1080" s="7">
        <f>IF($C1080="","",AE1080*AC1080)</f>
        <v/>
      </c>
      <c r="AG1080" s="7">
        <f>IF($C1080="","",AC1080-AF1080)</f>
        <v/>
      </c>
      <c r="AH1080" s="7">
        <f>IF($C1080="","",AG1080-R1080)</f>
        <v/>
      </c>
      <c r="AI1080">
        <f>IF($C1080="","",IF(COUNTIF($C$2:$C1080,$C1080)=1,1,0))</f>
        <v/>
      </c>
      <c r="AJ1080">
        <f>IF($AI1080=1,SUMPRODUCT(--($AL$2:$AL$1501&lt;$AL1080))+1,"")</f>
        <v/>
      </c>
      <c r="AK1080">
        <f>IF($C1080="","",IF(OR($AD1080=TRUE(),$AD1080="TRUE"),0,1))</f>
        <v/>
      </c>
      <c r="AL1080">
        <f>IF($AI1080=1,IFERROR(IF(VALUE($C1080)&lt;100000000,VALUE($C1080),1000000000),IFERROR(IF(VALUE(MID($C1080,2,20))&lt;100000000,VALUE(MID($C1080,2,20)),1000000000),1000000000))+ROW()/100000,"")</f>
        <v/>
      </c>
    </row>
    <row r="1081">
      <c r="J1081" s="7" t="n"/>
      <c r="K1081" s="7" t="n"/>
      <c r="R1081" s="7">
        <f>IF($C1081="","",Q1081*AC1081/100)</f>
        <v/>
      </c>
      <c r="S1081" s="11" t="n"/>
      <c r="U1081" s="11" t="n"/>
      <c r="AA1081" s="7" t="n"/>
      <c r="AC1081" s="7" t="n"/>
      <c r="AE1081">
        <f>IF($C1081="","",IF($AK1081=1,Settings!$C$6,Settings!$C$7)*1)</f>
        <v/>
      </c>
      <c r="AF1081" s="7">
        <f>IF($C1081="","",AE1081*AC1081)</f>
        <v/>
      </c>
      <c r="AG1081" s="7">
        <f>IF($C1081="","",AC1081-AF1081)</f>
        <v/>
      </c>
      <c r="AH1081" s="7">
        <f>IF($C1081="","",AG1081-R1081)</f>
        <v/>
      </c>
      <c r="AI1081">
        <f>IF($C1081="","",IF(COUNTIF($C$2:$C1081,$C1081)=1,1,0))</f>
        <v/>
      </c>
      <c r="AJ1081">
        <f>IF($AI1081=1,SUMPRODUCT(--($AL$2:$AL$1501&lt;$AL1081))+1,"")</f>
        <v/>
      </c>
      <c r="AK1081">
        <f>IF($C1081="","",IF(OR($AD1081=TRUE(),$AD1081="TRUE"),0,1))</f>
        <v/>
      </c>
      <c r="AL1081">
        <f>IF($AI1081=1,IFERROR(IF(VALUE($C1081)&lt;100000000,VALUE($C1081),1000000000),IFERROR(IF(VALUE(MID($C1081,2,20))&lt;100000000,VALUE(MID($C1081,2,20)),1000000000),1000000000))+ROW()/100000,"")</f>
        <v/>
      </c>
    </row>
    <row r="1082">
      <c r="J1082" s="7" t="n"/>
      <c r="K1082" s="7" t="n"/>
      <c r="R1082" s="7">
        <f>IF($C1082="","",Q1082*AC1082/100)</f>
        <v/>
      </c>
      <c r="S1082" s="11" t="n"/>
      <c r="U1082" s="11" t="n"/>
      <c r="AA1082" s="7" t="n"/>
      <c r="AC1082" s="7" t="n"/>
      <c r="AE1082">
        <f>IF($C1082="","",IF($AK1082=1,Settings!$C$6,Settings!$C$7)*1)</f>
        <v/>
      </c>
      <c r="AF1082" s="7">
        <f>IF($C1082="","",AE1082*AC1082)</f>
        <v/>
      </c>
      <c r="AG1082" s="7">
        <f>IF($C1082="","",AC1082-AF1082)</f>
        <v/>
      </c>
      <c r="AH1082" s="7">
        <f>IF($C1082="","",AG1082-R1082)</f>
        <v/>
      </c>
      <c r="AI1082">
        <f>IF($C1082="","",IF(COUNTIF($C$2:$C1082,$C1082)=1,1,0))</f>
        <v/>
      </c>
      <c r="AJ1082">
        <f>IF($AI1082=1,SUMPRODUCT(--($AL$2:$AL$1501&lt;$AL1082))+1,"")</f>
        <v/>
      </c>
      <c r="AK1082">
        <f>IF($C1082="","",IF(OR($AD1082=TRUE(),$AD1082="TRUE"),0,1))</f>
        <v/>
      </c>
      <c r="AL1082">
        <f>IF($AI1082=1,IFERROR(IF(VALUE($C1082)&lt;100000000,VALUE($C1082),1000000000),IFERROR(IF(VALUE(MID($C1082,2,20))&lt;100000000,VALUE(MID($C1082,2,20)),1000000000),1000000000))+ROW()/100000,"")</f>
        <v/>
      </c>
    </row>
    <row r="1083">
      <c r="J1083" s="7" t="n"/>
      <c r="K1083" s="7" t="n"/>
      <c r="R1083" s="7">
        <f>IF($C1083="","",Q1083*AC1083/100)</f>
        <v/>
      </c>
      <c r="S1083" s="11" t="n"/>
      <c r="U1083" s="11" t="n"/>
      <c r="AA1083" s="7" t="n"/>
      <c r="AC1083" s="7" t="n"/>
      <c r="AE1083">
        <f>IF($C1083="","",IF($AK1083=1,Settings!$C$6,Settings!$C$7)*1)</f>
        <v/>
      </c>
      <c r="AF1083" s="7">
        <f>IF($C1083="","",AE1083*AC1083)</f>
        <v/>
      </c>
      <c r="AG1083" s="7">
        <f>IF($C1083="","",AC1083-AF1083)</f>
        <v/>
      </c>
      <c r="AH1083" s="7">
        <f>IF($C1083="","",AG1083-R1083)</f>
        <v/>
      </c>
      <c r="AI1083">
        <f>IF($C1083="","",IF(COUNTIF($C$2:$C1083,$C1083)=1,1,0))</f>
        <v/>
      </c>
      <c r="AJ1083">
        <f>IF($AI1083=1,SUMPRODUCT(--($AL$2:$AL$1501&lt;$AL1083))+1,"")</f>
        <v/>
      </c>
      <c r="AK1083">
        <f>IF($C1083="","",IF(OR($AD1083=TRUE(),$AD1083="TRUE"),0,1))</f>
        <v/>
      </c>
      <c r="AL1083">
        <f>IF($AI1083=1,IFERROR(IF(VALUE($C1083)&lt;100000000,VALUE($C1083),1000000000),IFERROR(IF(VALUE(MID($C1083,2,20))&lt;100000000,VALUE(MID($C1083,2,20)),1000000000),1000000000))+ROW()/100000,"")</f>
        <v/>
      </c>
    </row>
    <row r="1084">
      <c r="J1084" s="7" t="n"/>
      <c r="K1084" s="7" t="n"/>
      <c r="R1084" s="7">
        <f>IF($C1084="","",Q1084*AC1084/100)</f>
        <v/>
      </c>
      <c r="S1084" s="11" t="n"/>
      <c r="U1084" s="11" t="n"/>
      <c r="AA1084" s="7" t="n"/>
      <c r="AC1084" s="7" t="n"/>
      <c r="AE1084">
        <f>IF($C1084="","",IF($AK1084=1,Settings!$C$6,Settings!$C$7)*1)</f>
        <v/>
      </c>
      <c r="AF1084" s="7">
        <f>IF($C1084="","",AE1084*AC1084)</f>
        <v/>
      </c>
      <c r="AG1084" s="7">
        <f>IF($C1084="","",AC1084-AF1084)</f>
        <v/>
      </c>
      <c r="AH1084" s="7">
        <f>IF($C1084="","",AG1084-R1084)</f>
        <v/>
      </c>
      <c r="AI1084">
        <f>IF($C1084="","",IF(COUNTIF($C$2:$C1084,$C1084)=1,1,0))</f>
        <v/>
      </c>
      <c r="AJ1084">
        <f>IF($AI1084=1,SUMPRODUCT(--($AL$2:$AL$1501&lt;$AL1084))+1,"")</f>
        <v/>
      </c>
      <c r="AK1084">
        <f>IF($C1084="","",IF(OR($AD1084=TRUE(),$AD1084="TRUE"),0,1))</f>
        <v/>
      </c>
      <c r="AL1084">
        <f>IF($AI1084=1,IFERROR(IF(VALUE($C1084)&lt;100000000,VALUE($C1084),1000000000),IFERROR(IF(VALUE(MID($C1084,2,20))&lt;100000000,VALUE(MID($C1084,2,20)),1000000000),1000000000))+ROW()/100000,"")</f>
        <v/>
      </c>
    </row>
    <row r="1085">
      <c r="J1085" s="7" t="n"/>
      <c r="K1085" s="7" t="n"/>
      <c r="R1085" s="7">
        <f>IF($C1085="","",Q1085*AC1085/100)</f>
        <v/>
      </c>
      <c r="S1085" s="11" t="n"/>
      <c r="U1085" s="11" t="n"/>
      <c r="AA1085" s="7" t="n"/>
      <c r="AC1085" s="7" t="n"/>
      <c r="AE1085">
        <f>IF($C1085="","",IF($AK1085=1,Settings!$C$6,Settings!$C$7)*1)</f>
        <v/>
      </c>
      <c r="AF1085" s="7">
        <f>IF($C1085="","",AE1085*AC1085)</f>
        <v/>
      </c>
      <c r="AG1085" s="7">
        <f>IF($C1085="","",AC1085-AF1085)</f>
        <v/>
      </c>
      <c r="AH1085" s="7">
        <f>IF($C1085="","",AG1085-R1085)</f>
        <v/>
      </c>
      <c r="AI1085">
        <f>IF($C1085="","",IF(COUNTIF($C$2:$C1085,$C1085)=1,1,0))</f>
        <v/>
      </c>
      <c r="AJ1085">
        <f>IF($AI1085=1,SUMPRODUCT(--($AL$2:$AL$1501&lt;$AL1085))+1,"")</f>
        <v/>
      </c>
      <c r="AK1085">
        <f>IF($C1085="","",IF(OR($AD1085=TRUE(),$AD1085="TRUE"),0,1))</f>
        <v/>
      </c>
      <c r="AL1085">
        <f>IF($AI1085=1,IFERROR(IF(VALUE($C1085)&lt;100000000,VALUE($C1085),1000000000),IFERROR(IF(VALUE(MID($C1085,2,20))&lt;100000000,VALUE(MID($C1085,2,20)),1000000000),1000000000))+ROW()/100000,"")</f>
        <v/>
      </c>
    </row>
    <row r="1086">
      <c r="J1086" s="7" t="n"/>
      <c r="K1086" s="7" t="n"/>
      <c r="R1086" s="7">
        <f>IF($C1086="","",Q1086*AC1086/100)</f>
        <v/>
      </c>
      <c r="S1086" s="11" t="n"/>
      <c r="U1086" s="11" t="n"/>
      <c r="AA1086" s="7" t="n"/>
      <c r="AC1086" s="7" t="n"/>
      <c r="AE1086">
        <f>IF($C1086="","",IF($AK1086=1,Settings!$C$6,Settings!$C$7)*1)</f>
        <v/>
      </c>
      <c r="AF1086" s="7">
        <f>IF($C1086="","",AE1086*AC1086)</f>
        <v/>
      </c>
      <c r="AG1086" s="7">
        <f>IF($C1086="","",AC1086-AF1086)</f>
        <v/>
      </c>
      <c r="AH1086" s="7">
        <f>IF($C1086="","",AG1086-R1086)</f>
        <v/>
      </c>
      <c r="AI1086">
        <f>IF($C1086="","",IF(COUNTIF($C$2:$C1086,$C1086)=1,1,0))</f>
        <v/>
      </c>
      <c r="AJ1086">
        <f>IF($AI1086=1,SUMPRODUCT(--($AL$2:$AL$1501&lt;$AL1086))+1,"")</f>
        <v/>
      </c>
      <c r="AK1086">
        <f>IF($C1086="","",IF(OR($AD1086=TRUE(),$AD1086="TRUE"),0,1))</f>
        <v/>
      </c>
      <c r="AL1086">
        <f>IF($AI1086=1,IFERROR(IF(VALUE($C1086)&lt;100000000,VALUE($C1086),1000000000),IFERROR(IF(VALUE(MID($C1086,2,20))&lt;100000000,VALUE(MID($C1086,2,20)),1000000000),1000000000))+ROW()/100000,"")</f>
        <v/>
      </c>
    </row>
    <row r="1087">
      <c r="J1087" s="7" t="n"/>
      <c r="K1087" s="7" t="n"/>
      <c r="R1087" s="7">
        <f>IF($C1087="","",Q1087*AC1087/100)</f>
        <v/>
      </c>
      <c r="S1087" s="11" t="n"/>
      <c r="U1087" s="11" t="n"/>
      <c r="AA1087" s="7" t="n"/>
      <c r="AC1087" s="7" t="n"/>
      <c r="AE1087">
        <f>IF($C1087="","",IF($AK1087=1,Settings!$C$6,Settings!$C$7)*1)</f>
        <v/>
      </c>
      <c r="AF1087" s="7">
        <f>IF($C1087="","",AE1087*AC1087)</f>
        <v/>
      </c>
      <c r="AG1087" s="7">
        <f>IF($C1087="","",AC1087-AF1087)</f>
        <v/>
      </c>
      <c r="AH1087" s="7">
        <f>IF($C1087="","",AG1087-R1087)</f>
        <v/>
      </c>
      <c r="AI1087">
        <f>IF($C1087="","",IF(COUNTIF($C$2:$C1087,$C1087)=1,1,0))</f>
        <v/>
      </c>
      <c r="AJ1087">
        <f>IF($AI1087=1,SUMPRODUCT(--($AL$2:$AL$1501&lt;$AL1087))+1,"")</f>
        <v/>
      </c>
      <c r="AK1087">
        <f>IF($C1087="","",IF(OR($AD1087=TRUE(),$AD1087="TRUE"),0,1))</f>
        <v/>
      </c>
      <c r="AL1087">
        <f>IF($AI1087=1,IFERROR(IF(VALUE($C1087)&lt;100000000,VALUE($C1087),1000000000),IFERROR(IF(VALUE(MID($C1087,2,20))&lt;100000000,VALUE(MID($C1087,2,20)),1000000000),1000000000))+ROW()/100000,"")</f>
        <v/>
      </c>
    </row>
    <row r="1088">
      <c r="J1088" s="7" t="n"/>
      <c r="K1088" s="7" t="n"/>
      <c r="R1088" s="7">
        <f>IF($C1088="","",Q1088*AC1088/100)</f>
        <v/>
      </c>
      <c r="S1088" s="11" t="n"/>
      <c r="U1088" s="11" t="n"/>
      <c r="AA1088" s="7" t="n"/>
      <c r="AC1088" s="7" t="n"/>
      <c r="AE1088">
        <f>IF($C1088="","",IF($AK1088=1,Settings!$C$6,Settings!$C$7)*1)</f>
        <v/>
      </c>
      <c r="AF1088" s="7">
        <f>IF($C1088="","",AE1088*AC1088)</f>
        <v/>
      </c>
      <c r="AG1088" s="7">
        <f>IF($C1088="","",AC1088-AF1088)</f>
        <v/>
      </c>
      <c r="AH1088" s="7">
        <f>IF($C1088="","",AG1088-R1088)</f>
        <v/>
      </c>
      <c r="AI1088">
        <f>IF($C1088="","",IF(COUNTIF($C$2:$C1088,$C1088)=1,1,0))</f>
        <v/>
      </c>
      <c r="AJ1088">
        <f>IF($AI1088=1,SUMPRODUCT(--($AL$2:$AL$1501&lt;$AL1088))+1,"")</f>
        <v/>
      </c>
      <c r="AK1088">
        <f>IF($C1088="","",IF(OR($AD1088=TRUE(),$AD1088="TRUE"),0,1))</f>
        <v/>
      </c>
      <c r="AL1088">
        <f>IF($AI1088=1,IFERROR(IF(VALUE($C1088)&lt;100000000,VALUE($C1088),1000000000),IFERROR(IF(VALUE(MID($C1088,2,20))&lt;100000000,VALUE(MID($C1088,2,20)),1000000000),1000000000))+ROW()/100000,"")</f>
        <v/>
      </c>
    </row>
    <row r="1089">
      <c r="J1089" s="7" t="n"/>
      <c r="K1089" s="7" t="n"/>
      <c r="R1089" s="7">
        <f>IF($C1089="","",Q1089*AC1089/100)</f>
        <v/>
      </c>
      <c r="S1089" s="11" t="n"/>
      <c r="U1089" s="11" t="n"/>
      <c r="AA1089" s="7" t="n"/>
      <c r="AC1089" s="7" t="n"/>
      <c r="AE1089">
        <f>IF($C1089="","",IF($AK1089=1,Settings!$C$6,Settings!$C$7)*1)</f>
        <v/>
      </c>
      <c r="AF1089" s="7">
        <f>IF($C1089="","",AE1089*AC1089)</f>
        <v/>
      </c>
      <c r="AG1089" s="7">
        <f>IF($C1089="","",AC1089-AF1089)</f>
        <v/>
      </c>
      <c r="AH1089" s="7">
        <f>IF($C1089="","",AG1089-R1089)</f>
        <v/>
      </c>
      <c r="AI1089">
        <f>IF($C1089="","",IF(COUNTIF($C$2:$C1089,$C1089)=1,1,0))</f>
        <v/>
      </c>
      <c r="AJ1089">
        <f>IF($AI1089=1,SUMPRODUCT(--($AL$2:$AL$1501&lt;$AL1089))+1,"")</f>
        <v/>
      </c>
      <c r="AK1089">
        <f>IF($C1089="","",IF(OR($AD1089=TRUE(),$AD1089="TRUE"),0,1))</f>
        <v/>
      </c>
      <c r="AL1089">
        <f>IF($AI1089=1,IFERROR(IF(VALUE($C1089)&lt;100000000,VALUE($C1089),1000000000),IFERROR(IF(VALUE(MID($C1089,2,20))&lt;100000000,VALUE(MID($C1089,2,20)),1000000000),1000000000))+ROW()/100000,"")</f>
        <v/>
      </c>
    </row>
    <row r="1090">
      <c r="J1090" s="7" t="n"/>
      <c r="K1090" s="7" t="n"/>
      <c r="R1090" s="7">
        <f>IF($C1090="","",Q1090*AC1090/100)</f>
        <v/>
      </c>
      <c r="S1090" s="11" t="n"/>
      <c r="U1090" s="11" t="n"/>
      <c r="AA1090" s="7" t="n"/>
      <c r="AC1090" s="7" t="n"/>
      <c r="AE1090">
        <f>IF($C1090="","",IF($AK1090=1,Settings!$C$6,Settings!$C$7)*1)</f>
        <v/>
      </c>
      <c r="AF1090" s="7">
        <f>IF($C1090="","",AE1090*AC1090)</f>
        <v/>
      </c>
      <c r="AG1090" s="7">
        <f>IF($C1090="","",AC1090-AF1090)</f>
        <v/>
      </c>
      <c r="AH1090" s="7">
        <f>IF($C1090="","",AG1090-R1090)</f>
        <v/>
      </c>
      <c r="AI1090">
        <f>IF($C1090="","",IF(COUNTIF($C$2:$C1090,$C1090)=1,1,0))</f>
        <v/>
      </c>
      <c r="AJ1090">
        <f>IF($AI1090=1,SUMPRODUCT(--($AL$2:$AL$1501&lt;$AL1090))+1,"")</f>
        <v/>
      </c>
      <c r="AK1090">
        <f>IF($C1090="","",IF(OR($AD1090=TRUE(),$AD1090="TRUE"),0,1))</f>
        <v/>
      </c>
      <c r="AL1090">
        <f>IF($AI1090=1,IFERROR(IF(VALUE($C1090)&lt;100000000,VALUE($C1090),1000000000),IFERROR(IF(VALUE(MID($C1090,2,20))&lt;100000000,VALUE(MID($C1090,2,20)),1000000000),1000000000))+ROW()/100000,"")</f>
        <v/>
      </c>
    </row>
    <row r="1091">
      <c r="J1091" s="7" t="n"/>
      <c r="K1091" s="7" t="n"/>
      <c r="R1091" s="7">
        <f>IF($C1091="","",Q1091*AC1091/100)</f>
        <v/>
      </c>
      <c r="S1091" s="11" t="n"/>
      <c r="U1091" s="11" t="n"/>
      <c r="AA1091" s="7" t="n"/>
      <c r="AC1091" s="7" t="n"/>
      <c r="AE1091">
        <f>IF($C1091="","",IF($AK1091=1,Settings!$C$6,Settings!$C$7)*1)</f>
        <v/>
      </c>
      <c r="AF1091" s="7">
        <f>IF($C1091="","",AE1091*AC1091)</f>
        <v/>
      </c>
      <c r="AG1091" s="7">
        <f>IF($C1091="","",AC1091-AF1091)</f>
        <v/>
      </c>
      <c r="AH1091" s="7">
        <f>IF($C1091="","",AG1091-R1091)</f>
        <v/>
      </c>
      <c r="AI1091">
        <f>IF($C1091="","",IF(COUNTIF($C$2:$C1091,$C1091)=1,1,0))</f>
        <v/>
      </c>
      <c r="AJ1091">
        <f>IF($AI1091=1,SUMPRODUCT(--($AL$2:$AL$1501&lt;$AL1091))+1,"")</f>
        <v/>
      </c>
      <c r="AK1091">
        <f>IF($C1091="","",IF(OR($AD1091=TRUE(),$AD1091="TRUE"),0,1))</f>
        <v/>
      </c>
      <c r="AL1091">
        <f>IF($AI1091=1,IFERROR(IF(VALUE($C1091)&lt;100000000,VALUE($C1091),1000000000),IFERROR(IF(VALUE(MID($C1091,2,20))&lt;100000000,VALUE(MID($C1091,2,20)),1000000000),1000000000))+ROW()/100000,"")</f>
        <v/>
      </c>
    </row>
    <row r="1092">
      <c r="J1092" s="7" t="n"/>
      <c r="K1092" s="7" t="n"/>
      <c r="R1092" s="7">
        <f>IF($C1092="","",Q1092*AC1092/100)</f>
        <v/>
      </c>
      <c r="S1092" s="11" t="n"/>
      <c r="U1092" s="11" t="n"/>
      <c r="AA1092" s="7" t="n"/>
      <c r="AC1092" s="7" t="n"/>
      <c r="AE1092">
        <f>IF($C1092="","",IF($AK1092=1,Settings!$C$6,Settings!$C$7)*1)</f>
        <v/>
      </c>
      <c r="AF1092" s="7">
        <f>IF($C1092="","",AE1092*AC1092)</f>
        <v/>
      </c>
      <c r="AG1092" s="7">
        <f>IF($C1092="","",AC1092-AF1092)</f>
        <v/>
      </c>
      <c r="AH1092" s="7">
        <f>IF($C1092="","",AG1092-R1092)</f>
        <v/>
      </c>
      <c r="AI1092">
        <f>IF($C1092="","",IF(COUNTIF($C$2:$C1092,$C1092)=1,1,0))</f>
        <v/>
      </c>
      <c r="AJ1092">
        <f>IF($AI1092=1,SUMPRODUCT(--($AL$2:$AL$1501&lt;$AL1092))+1,"")</f>
        <v/>
      </c>
      <c r="AK1092">
        <f>IF($C1092="","",IF(OR($AD1092=TRUE(),$AD1092="TRUE"),0,1))</f>
        <v/>
      </c>
      <c r="AL1092">
        <f>IF($AI1092=1,IFERROR(IF(VALUE($C1092)&lt;100000000,VALUE($C1092),1000000000),IFERROR(IF(VALUE(MID($C1092,2,20))&lt;100000000,VALUE(MID($C1092,2,20)),1000000000),1000000000))+ROW()/100000,"")</f>
        <v/>
      </c>
    </row>
    <row r="1093">
      <c r="J1093" s="7" t="n"/>
      <c r="K1093" s="7" t="n"/>
      <c r="R1093" s="7">
        <f>IF($C1093="","",Q1093*AC1093/100)</f>
        <v/>
      </c>
      <c r="S1093" s="11" t="n"/>
      <c r="U1093" s="11" t="n"/>
      <c r="AA1093" s="7" t="n"/>
      <c r="AC1093" s="7" t="n"/>
      <c r="AE1093">
        <f>IF($C1093="","",IF($AK1093=1,Settings!$C$6,Settings!$C$7)*1)</f>
        <v/>
      </c>
      <c r="AF1093" s="7">
        <f>IF($C1093="","",AE1093*AC1093)</f>
        <v/>
      </c>
      <c r="AG1093" s="7">
        <f>IF($C1093="","",AC1093-AF1093)</f>
        <v/>
      </c>
      <c r="AH1093" s="7">
        <f>IF($C1093="","",AG1093-R1093)</f>
        <v/>
      </c>
      <c r="AI1093">
        <f>IF($C1093="","",IF(COUNTIF($C$2:$C1093,$C1093)=1,1,0))</f>
        <v/>
      </c>
      <c r="AJ1093">
        <f>IF($AI1093=1,SUMPRODUCT(--($AL$2:$AL$1501&lt;$AL1093))+1,"")</f>
        <v/>
      </c>
      <c r="AK1093">
        <f>IF($C1093="","",IF(OR($AD1093=TRUE(),$AD1093="TRUE"),0,1))</f>
        <v/>
      </c>
      <c r="AL1093">
        <f>IF($AI1093=1,IFERROR(IF(VALUE($C1093)&lt;100000000,VALUE($C1093),1000000000),IFERROR(IF(VALUE(MID($C1093,2,20))&lt;100000000,VALUE(MID($C1093,2,20)),1000000000),1000000000))+ROW()/100000,"")</f>
        <v/>
      </c>
    </row>
    <row r="1094">
      <c r="J1094" s="7" t="n"/>
      <c r="K1094" s="7" t="n"/>
      <c r="R1094" s="7">
        <f>IF($C1094="","",Q1094*AC1094/100)</f>
        <v/>
      </c>
      <c r="S1094" s="11" t="n"/>
      <c r="U1094" s="11" t="n"/>
      <c r="AA1094" s="7" t="n"/>
      <c r="AC1094" s="7" t="n"/>
      <c r="AE1094">
        <f>IF($C1094="","",IF($AK1094=1,Settings!$C$6,Settings!$C$7)*1)</f>
        <v/>
      </c>
      <c r="AF1094" s="7">
        <f>IF($C1094="","",AE1094*AC1094)</f>
        <v/>
      </c>
      <c r="AG1094" s="7">
        <f>IF($C1094="","",AC1094-AF1094)</f>
        <v/>
      </c>
      <c r="AH1094" s="7">
        <f>IF($C1094="","",AG1094-R1094)</f>
        <v/>
      </c>
      <c r="AI1094">
        <f>IF($C1094="","",IF(COUNTIF($C$2:$C1094,$C1094)=1,1,0))</f>
        <v/>
      </c>
      <c r="AJ1094">
        <f>IF($AI1094=1,SUMPRODUCT(--($AL$2:$AL$1501&lt;$AL1094))+1,"")</f>
        <v/>
      </c>
      <c r="AK1094">
        <f>IF($C1094="","",IF(OR($AD1094=TRUE(),$AD1094="TRUE"),0,1))</f>
        <v/>
      </c>
      <c r="AL1094">
        <f>IF($AI1094=1,IFERROR(IF(VALUE($C1094)&lt;100000000,VALUE($C1094),1000000000),IFERROR(IF(VALUE(MID($C1094,2,20))&lt;100000000,VALUE(MID($C1094,2,20)),1000000000),1000000000))+ROW()/100000,"")</f>
        <v/>
      </c>
    </row>
    <row r="1095">
      <c r="J1095" s="7" t="n"/>
      <c r="K1095" s="7" t="n"/>
      <c r="R1095" s="7">
        <f>IF($C1095="","",Q1095*AC1095/100)</f>
        <v/>
      </c>
      <c r="S1095" s="11" t="n"/>
      <c r="U1095" s="11" t="n"/>
      <c r="AA1095" s="7" t="n"/>
      <c r="AC1095" s="7" t="n"/>
      <c r="AE1095">
        <f>IF($C1095="","",IF($AK1095=1,Settings!$C$6,Settings!$C$7)*1)</f>
        <v/>
      </c>
      <c r="AF1095" s="7">
        <f>IF($C1095="","",AE1095*AC1095)</f>
        <v/>
      </c>
      <c r="AG1095" s="7">
        <f>IF($C1095="","",AC1095-AF1095)</f>
        <v/>
      </c>
      <c r="AH1095" s="7">
        <f>IF($C1095="","",AG1095-R1095)</f>
        <v/>
      </c>
      <c r="AI1095">
        <f>IF($C1095="","",IF(COUNTIF($C$2:$C1095,$C1095)=1,1,0))</f>
        <v/>
      </c>
      <c r="AJ1095">
        <f>IF($AI1095=1,SUMPRODUCT(--($AL$2:$AL$1501&lt;$AL1095))+1,"")</f>
        <v/>
      </c>
      <c r="AK1095">
        <f>IF($C1095="","",IF(OR($AD1095=TRUE(),$AD1095="TRUE"),0,1))</f>
        <v/>
      </c>
      <c r="AL1095">
        <f>IF($AI1095=1,IFERROR(IF(VALUE($C1095)&lt;100000000,VALUE($C1095),1000000000),IFERROR(IF(VALUE(MID($C1095,2,20))&lt;100000000,VALUE(MID($C1095,2,20)),1000000000),1000000000))+ROW()/100000,"")</f>
        <v/>
      </c>
    </row>
    <row r="1096">
      <c r="J1096" s="7" t="n"/>
      <c r="K1096" s="7" t="n"/>
      <c r="R1096" s="7">
        <f>IF($C1096="","",Q1096*AC1096/100)</f>
        <v/>
      </c>
      <c r="S1096" s="11" t="n"/>
      <c r="U1096" s="11" t="n"/>
      <c r="AA1096" s="7" t="n"/>
      <c r="AC1096" s="7" t="n"/>
      <c r="AE1096">
        <f>IF($C1096="","",IF($AK1096=1,Settings!$C$6,Settings!$C$7)*1)</f>
        <v/>
      </c>
      <c r="AF1096" s="7">
        <f>IF($C1096="","",AE1096*AC1096)</f>
        <v/>
      </c>
      <c r="AG1096" s="7">
        <f>IF($C1096="","",AC1096-AF1096)</f>
        <v/>
      </c>
      <c r="AH1096" s="7">
        <f>IF($C1096="","",AG1096-R1096)</f>
        <v/>
      </c>
      <c r="AI1096">
        <f>IF($C1096="","",IF(COUNTIF($C$2:$C1096,$C1096)=1,1,0))</f>
        <v/>
      </c>
      <c r="AJ1096">
        <f>IF($AI1096=1,SUMPRODUCT(--($AL$2:$AL$1501&lt;$AL1096))+1,"")</f>
        <v/>
      </c>
      <c r="AK1096">
        <f>IF($C1096="","",IF(OR($AD1096=TRUE(),$AD1096="TRUE"),0,1))</f>
        <v/>
      </c>
      <c r="AL1096">
        <f>IF($AI1096=1,IFERROR(IF(VALUE($C1096)&lt;100000000,VALUE($C1096),1000000000),IFERROR(IF(VALUE(MID($C1096,2,20))&lt;100000000,VALUE(MID($C1096,2,20)),1000000000),1000000000))+ROW()/100000,"")</f>
        <v/>
      </c>
    </row>
    <row r="1097">
      <c r="J1097" s="7" t="n"/>
      <c r="K1097" s="7" t="n"/>
      <c r="R1097" s="7">
        <f>IF($C1097="","",Q1097*AC1097/100)</f>
        <v/>
      </c>
      <c r="S1097" s="11" t="n"/>
      <c r="U1097" s="11" t="n"/>
      <c r="AA1097" s="7" t="n"/>
      <c r="AC1097" s="7" t="n"/>
      <c r="AE1097">
        <f>IF($C1097="","",IF($AK1097=1,Settings!$C$6,Settings!$C$7)*1)</f>
        <v/>
      </c>
      <c r="AF1097" s="7">
        <f>IF($C1097="","",AE1097*AC1097)</f>
        <v/>
      </c>
      <c r="AG1097" s="7">
        <f>IF($C1097="","",AC1097-AF1097)</f>
        <v/>
      </c>
      <c r="AH1097" s="7">
        <f>IF($C1097="","",AG1097-R1097)</f>
        <v/>
      </c>
      <c r="AI1097">
        <f>IF($C1097="","",IF(COUNTIF($C$2:$C1097,$C1097)=1,1,0))</f>
        <v/>
      </c>
      <c r="AJ1097">
        <f>IF($AI1097=1,SUMPRODUCT(--($AL$2:$AL$1501&lt;$AL1097))+1,"")</f>
        <v/>
      </c>
      <c r="AK1097">
        <f>IF($C1097="","",IF(OR($AD1097=TRUE(),$AD1097="TRUE"),0,1))</f>
        <v/>
      </c>
      <c r="AL1097">
        <f>IF($AI1097=1,IFERROR(IF(VALUE($C1097)&lt;100000000,VALUE($C1097),1000000000),IFERROR(IF(VALUE(MID($C1097,2,20))&lt;100000000,VALUE(MID($C1097,2,20)),1000000000),1000000000))+ROW()/100000,"")</f>
        <v/>
      </c>
    </row>
    <row r="1098">
      <c r="J1098" s="7" t="n"/>
      <c r="K1098" s="7" t="n"/>
      <c r="R1098" s="7">
        <f>IF($C1098="","",Q1098*AC1098/100)</f>
        <v/>
      </c>
      <c r="S1098" s="11" t="n"/>
      <c r="U1098" s="11" t="n"/>
      <c r="AA1098" s="7" t="n"/>
      <c r="AC1098" s="7" t="n"/>
      <c r="AE1098">
        <f>IF($C1098="","",IF($AK1098=1,Settings!$C$6,Settings!$C$7)*1)</f>
        <v/>
      </c>
      <c r="AF1098" s="7">
        <f>IF($C1098="","",AE1098*AC1098)</f>
        <v/>
      </c>
      <c r="AG1098" s="7">
        <f>IF($C1098="","",AC1098-AF1098)</f>
        <v/>
      </c>
      <c r="AH1098" s="7">
        <f>IF($C1098="","",AG1098-R1098)</f>
        <v/>
      </c>
      <c r="AI1098">
        <f>IF($C1098="","",IF(COUNTIF($C$2:$C1098,$C1098)=1,1,0))</f>
        <v/>
      </c>
      <c r="AJ1098">
        <f>IF($AI1098=1,SUMPRODUCT(--($AL$2:$AL$1501&lt;$AL1098))+1,"")</f>
        <v/>
      </c>
      <c r="AK1098">
        <f>IF($C1098="","",IF(OR($AD1098=TRUE(),$AD1098="TRUE"),0,1))</f>
        <v/>
      </c>
      <c r="AL1098">
        <f>IF($AI1098=1,IFERROR(IF(VALUE($C1098)&lt;100000000,VALUE($C1098),1000000000),IFERROR(IF(VALUE(MID($C1098,2,20))&lt;100000000,VALUE(MID($C1098,2,20)),1000000000),1000000000))+ROW()/100000,"")</f>
        <v/>
      </c>
    </row>
    <row r="1099">
      <c r="J1099" s="7" t="n"/>
      <c r="K1099" s="7" t="n"/>
      <c r="R1099" s="7">
        <f>IF($C1099="","",Q1099*AC1099/100)</f>
        <v/>
      </c>
      <c r="S1099" s="11" t="n"/>
      <c r="U1099" s="11" t="n"/>
      <c r="AA1099" s="7" t="n"/>
      <c r="AC1099" s="7" t="n"/>
      <c r="AE1099">
        <f>IF($C1099="","",IF($AK1099=1,Settings!$C$6,Settings!$C$7)*1)</f>
        <v/>
      </c>
      <c r="AF1099" s="7">
        <f>IF($C1099="","",AE1099*AC1099)</f>
        <v/>
      </c>
      <c r="AG1099" s="7">
        <f>IF($C1099="","",AC1099-AF1099)</f>
        <v/>
      </c>
      <c r="AH1099" s="7">
        <f>IF($C1099="","",AG1099-R1099)</f>
        <v/>
      </c>
      <c r="AI1099">
        <f>IF($C1099="","",IF(COUNTIF($C$2:$C1099,$C1099)=1,1,0))</f>
        <v/>
      </c>
      <c r="AJ1099">
        <f>IF($AI1099=1,SUMPRODUCT(--($AL$2:$AL$1501&lt;$AL1099))+1,"")</f>
        <v/>
      </c>
      <c r="AK1099">
        <f>IF($C1099="","",IF(OR($AD1099=TRUE(),$AD1099="TRUE"),0,1))</f>
        <v/>
      </c>
      <c r="AL1099">
        <f>IF($AI1099=1,IFERROR(IF(VALUE($C1099)&lt;100000000,VALUE($C1099),1000000000),IFERROR(IF(VALUE(MID($C1099,2,20))&lt;100000000,VALUE(MID($C1099,2,20)),1000000000),1000000000))+ROW()/100000,"")</f>
        <v/>
      </c>
    </row>
    <row r="1100">
      <c r="J1100" s="7" t="n"/>
      <c r="K1100" s="7" t="n"/>
      <c r="R1100" s="7">
        <f>IF($C1100="","",Q1100*AC1100/100)</f>
        <v/>
      </c>
      <c r="S1100" s="11" t="n"/>
      <c r="U1100" s="11" t="n"/>
      <c r="AA1100" s="7" t="n"/>
      <c r="AC1100" s="7" t="n"/>
      <c r="AE1100">
        <f>IF($C1100="","",IF($AK1100=1,Settings!$C$6,Settings!$C$7)*1)</f>
        <v/>
      </c>
      <c r="AF1100" s="7">
        <f>IF($C1100="","",AE1100*AC1100)</f>
        <v/>
      </c>
      <c r="AG1100" s="7">
        <f>IF($C1100="","",AC1100-AF1100)</f>
        <v/>
      </c>
      <c r="AH1100" s="7">
        <f>IF($C1100="","",AG1100-R1100)</f>
        <v/>
      </c>
      <c r="AI1100">
        <f>IF($C1100="","",IF(COUNTIF($C$2:$C1100,$C1100)=1,1,0))</f>
        <v/>
      </c>
      <c r="AJ1100">
        <f>IF($AI1100=1,SUMPRODUCT(--($AL$2:$AL$1501&lt;$AL1100))+1,"")</f>
        <v/>
      </c>
      <c r="AK1100">
        <f>IF($C1100="","",IF(OR($AD1100=TRUE(),$AD1100="TRUE"),0,1))</f>
        <v/>
      </c>
      <c r="AL1100">
        <f>IF($AI1100=1,IFERROR(IF(VALUE($C1100)&lt;100000000,VALUE($C1100),1000000000),IFERROR(IF(VALUE(MID($C1100,2,20))&lt;100000000,VALUE(MID($C1100,2,20)),1000000000),1000000000))+ROW()/100000,"")</f>
        <v/>
      </c>
    </row>
    <row r="1101">
      <c r="J1101" s="7" t="n"/>
      <c r="K1101" s="7" t="n"/>
      <c r="R1101" s="7">
        <f>IF($C1101="","",Q1101*AC1101/100)</f>
        <v/>
      </c>
      <c r="S1101" s="11" t="n"/>
      <c r="U1101" s="11" t="n"/>
      <c r="AA1101" s="7" t="n"/>
      <c r="AC1101" s="7" t="n"/>
      <c r="AE1101">
        <f>IF($C1101="","",IF($AK1101=1,Settings!$C$6,Settings!$C$7)*1)</f>
        <v/>
      </c>
      <c r="AF1101" s="7">
        <f>IF($C1101="","",AE1101*AC1101)</f>
        <v/>
      </c>
      <c r="AG1101" s="7">
        <f>IF($C1101="","",AC1101-AF1101)</f>
        <v/>
      </c>
      <c r="AH1101" s="7">
        <f>IF($C1101="","",AG1101-R1101)</f>
        <v/>
      </c>
      <c r="AI1101">
        <f>IF($C1101="","",IF(COUNTIF($C$2:$C1101,$C1101)=1,1,0))</f>
        <v/>
      </c>
      <c r="AJ1101">
        <f>IF($AI1101=1,SUMPRODUCT(--($AL$2:$AL$1501&lt;$AL1101))+1,"")</f>
        <v/>
      </c>
      <c r="AK1101">
        <f>IF($C1101="","",IF(OR($AD1101=TRUE(),$AD1101="TRUE"),0,1))</f>
        <v/>
      </c>
      <c r="AL1101">
        <f>IF($AI1101=1,IFERROR(IF(VALUE($C1101)&lt;100000000,VALUE($C1101),1000000000),IFERROR(IF(VALUE(MID($C1101,2,20))&lt;100000000,VALUE(MID($C1101,2,20)),1000000000),1000000000))+ROW()/100000,"")</f>
        <v/>
      </c>
    </row>
    <row r="1102">
      <c r="J1102" s="7" t="n"/>
      <c r="K1102" s="7" t="n"/>
      <c r="R1102" s="7">
        <f>IF($C1102="","",Q1102*AC1102/100)</f>
        <v/>
      </c>
      <c r="S1102" s="11" t="n"/>
      <c r="U1102" s="11" t="n"/>
      <c r="AA1102" s="7" t="n"/>
      <c r="AC1102" s="7" t="n"/>
      <c r="AE1102">
        <f>IF($C1102="","",IF($AK1102=1,Settings!$C$6,Settings!$C$7)*1)</f>
        <v/>
      </c>
      <c r="AF1102" s="7">
        <f>IF($C1102="","",AE1102*AC1102)</f>
        <v/>
      </c>
      <c r="AG1102" s="7">
        <f>IF($C1102="","",AC1102-AF1102)</f>
        <v/>
      </c>
      <c r="AH1102" s="7">
        <f>IF($C1102="","",AG1102-R1102)</f>
        <v/>
      </c>
      <c r="AI1102">
        <f>IF($C1102="","",IF(COUNTIF($C$2:$C1102,$C1102)=1,1,0))</f>
        <v/>
      </c>
      <c r="AJ1102">
        <f>IF($AI1102=1,SUMPRODUCT(--($AL$2:$AL$1501&lt;$AL1102))+1,"")</f>
        <v/>
      </c>
      <c r="AK1102">
        <f>IF($C1102="","",IF(OR($AD1102=TRUE(),$AD1102="TRUE"),0,1))</f>
        <v/>
      </c>
      <c r="AL1102">
        <f>IF($AI1102=1,IFERROR(IF(VALUE($C1102)&lt;100000000,VALUE($C1102),1000000000),IFERROR(IF(VALUE(MID($C1102,2,20))&lt;100000000,VALUE(MID($C1102,2,20)),1000000000),1000000000))+ROW()/100000,"")</f>
        <v/>
      </c>
    </row>
    <row r="1103">
      <c r="J1103" s="7" t="n"/>
      <c r="K1103" s="7" t="n"/>
      <c r="R1103" s="7">
        <f>IF($C1103="","",Q1103*AC1103/100)</f>
        <v/>
      </c>
      <c r="S1103" s="11" t="n"/>
      <c r="U1103" s="11" t="n"/>
      <c r="AA1103" s="7" t="n"/>
      <c r="AC1103" s="7" t="n"/>
      <c r="AE1103">
        <f>IF($C1103="","",IF($AK1103=1,Settings!$C$6,Settings!$C$7)*1)</f>
        <v/>
      </c>
      <c r="AF1103" s="7">
        <f>IF($C1103="","",AE1103*AC1103)</f>
        <v/>
      </c>
      <c r="AG1103" s="7">
        <f>IF($C1103="","",AC1103-AF1103)</f>
        <v/>
      </c>
      <c r="AH1103" s="7">
        <f>IF($C1103="","",AG1103-R1103)</f>
        <v/>
      </c>
      <c r="AI1103">
        <f>IF($C1103="","",IF(COUNTIF($C$2:$C1103,$C1103)=1,1,0))</f>
        <v/>
      </c>
      <c r="AJ1103">
        <f>IF($AI1103=1,SUMPRODUCT(--($AL$2:$AL$1501&lt;$AL1103))+1,"")</f>
        <v/>
      </c>
      <c r="AK1103">
        <f>IF($C1103="","",IF(OR($AD1103=TRUE(),$AD1103="TRUE"),0,1))</f>
        <v/>
      </c>
      <c r="AL1103">
        <f>IF($AI1103=1,IFERROR(IF(VALUE($C1103)&lt;100000000,VALUE($C1103),1000000000),IFERROR(IF(VALUE(MID($C1103,2,20))&lt;100000000,VALUE(MID($C1103,2,20)),1000000000),1000000000))+ROW()/100000,"")</f>
        <v/>
      </c>
    </row>
    <row r="1104">
      <c r="J1104" s="7" t="n"/>
      <c r="K1104" s="7" t="n"/>
      <c r="R1104" s="7">
        <f>IF($C1104="","",Q1104*AC1104/100)</f>
        <v/>
      </c>
      <c r="S1104" s="11" t="n"/>
      <c r="U1104" s="11" t="n"/>
      <c r="AA1104" s="7" t="n"/>
      <c r="AC1104" s="7" t="n"/>
      <c r="AE1104">
        <f>IF($C1104="","",IF($AK1104=1,Settings!$C$6,Settings!$C$7)*1)</f>
        <v/>
      </c>
      <c r="AF1104" s="7">
        <f>IF($C1104="","",AE1104*AC1104)</f>
        <v/>
      </c>
      <c r="AG1104" s="7">
        <f>IF($C1104="","",AC1104-AF1104)</f>
        <v/>
      </c>
      <c r="AH1104" s="7">
        <f>IF($C1104="","",AG1104-R1104)</f>
        <v/>
      </c>
      <c r="AI1104">
        <f>IF($C1104="","",IF(COUNTIF($C$2:$C1104,$C1104)=1,1,0))</f>
        <v/>
      </c>
      <c r="AJ1104">
        <f>IF($AI1104=1,SUMPRODUCT(--($AL$2:$AL$1501&lt;$AL1104))+1,"")</f>
        <v/>
      </c>
      <c r="AK1104">
        <f>IF($C1104="","",IF(OR($AD1104=TRUE(),$AD1104="TRUE"),0,1))</f>
        <v/>
      </c>
      <c r="AL1104">
        <f>IF($AI1104=1,IFERROR(IF(VALUE($C1104)&lt;100000000,VALUE($C1104),1000000000),IFERROR(IF(VALUE(MID($C1104,2,20))&lt;100000000,VALUE(MID($C1104,2,20)),1000000000),1000000000))+ROW()/100000,"")</f>
        <v/>
      </c>
    </row>
    <row r="1105">
      <c r="J1105" s="7" t="n"/>
      <c r="K1105" s="7" t="n"/>
      <c r="R1105" s="7">
        <f>IF($C1105="","",Q1105*AC1105/100)</f>
        <v/>
      </c>
      <c r="S1105" s="11" t="n"/>
      <c r="U1105" s="11" t="n"/>
      <c r="AA1105" s="7" t="n"/>
      <c r="AC1105" s="7" t="n"/>
      <c r="AE1105">
        <f>IF($C1105="","",IF($AK1105=1,Settings!$C$6,Settings!$C$7)*1)</f>
        <v/>
      </c>
      <c r="AF1105" s="7">
        <f>IF($C1105="","",AE1105*AC1105)</f>
        <v/>
      </c>
      <c r="AG1105" s="7">
        <f>IF($C1105="","",AC1105-AF1105)</f>
        <v/>
      </c>
      <c r="AH1105" s="7">
        <f>IF($C1105="","",AG1105-R1105)</f>
        <v/>
      </c>
      <c r="AI1105">
        <f>IF($C1105="","",IF(COUNTIF($C$2:$C1105,$C1105)=1,1,0))</f>
        <v/>
      </c>
      <c r="AJ1105">
        <f>IF($AI1105=1,SUMPRODUCT(--($AL$2:$AL$1501&lt;$AL1105))+1,"")</f>
        <v/>
      </c>
      <c r="AK1105">
        <f>IF($C1105="","",IF(OR($AD1105=TRUE(),$AD1105="TRUE"),0,1))</f>
        <v/>
      </c>
      <c r="AL1105">
        <f>IF($AI1105=1,IFERROR(IF(VALUE($C1105)&lt;100000000,VALUE($C1105),1000000000),IFERROR(IF(VALUE(MID($C1105,2,20))&lt;100000000,VALUE(MID($C1105,2,20)),1000000000),1000000000))+ROW()/100000,"")</f>
        <v/>
      </c>
    </row>
    <row r="1106">
      <c r="J1106" s="7" t="n"/>
      <c r="K1106" s="7" t="n"/>
      <c r="R1106" s="7">
        <f>IF($C1106="","",Q1106*AC1106/100)</f>
        <v/>
      </c>
      <c r="S1106" s="11" t="n"/>
      <c r="U1106" s="11" t="n"/>
      <c r="AA1106" s="7" t="n"/>
      <c r="AC1106" s="7" t="n"/>
      <c r="AE1106">
        <f>IF($C1106="","",IF($AK1106=1,Settings!$C$6,Settings!$C$7)*1)</f>
        <v/>
      </c>
      <c r="AF1106" s="7">
        <f>IF($C1106="","",AE1106*AC1106)</f>
        <v/>
      </c>
      <c r="AG1106" s="7">
        <f>IF($C1106="","",AC1106-AF1106)</f>
        <v/>
      </c>
      <c r="AH1106" s="7">
        <f>IF($C1106="","",AG1106-R1106)</f>
        <v/>
      </c>
      <c r="AI1106">
        <f>IF($C1106="","",IF(COUNTIF($C$2:$C1106,$C1106)=1,1,0))</f>
        <v/>
      </c>
      <c r="AJ1106">
        <f>IF($AI1106=1,SUMPRODUCT(--($AL$2:$AL$1501&lt;$AL1106))+1,"")</f>
        <v/>
      </c>
      <c r="AK1106">
        <f>IF($C1106="","",IF(OR($AD1106=TRUE(),$AD1106="TRUE"),0,1))</f>
        <v/>
      </c>
      <c r="AL1106">
        <f>IF($AI1106=1,IFERROR(IF(VALUE($C1106)&lt;100000000,VALUE($C1106),1000000000),IFERROR(IF(VALUE(MID($C1106,2,20))&lt;100000000,VALUE(MID($C1106,2,20)),1000000000),1000000000))+ROW()/100000,"")</f>
        <v/>
      </c>
    </row>
    <row r="1107">
      <c r="J1107" s="7" t="n"/>
      <c r="K1107" s="7" t="n"/>
      <c r="R1107" s="7">
        <f>IF($C1107="","",Q1107*AC1107/100)</f>
        <v/>
      </c>
      <c r="S1107" s="11" t="n"/>
      <c r="U1107" s="11" t="n"/>
      <c r="AA1107" s="7" t="n"/>
      <c r="AC1107" s="7" t="n"/>
      <c r="AE1107">
        <f>IF($C1107="","",IF($AK1107=1,Settings!$C$6,Settings!$C$7)*1)</f>
        <v/>
      </c>
      <c r="AF1107" s="7">
        <f>IF($C1107="","",AE1107*AC1107)</f>
        <v/>
      </c>
      <c r="AG1107" s="7">
        <f>IF($C1107="","",AC1107-AF1107)</f>
        <v/>
      </c>
      <c r="AH1107" s="7">
        <f>IF($C1107="","",AG1107-R1107)</f>
        <v/>
      </c>
      <c r="AI1107">
        <f>IF($C1107="","",IF(COUNTIF($C$2:$C1107,$C1107)=1,1,0))</f>
        <v/>
      </c>
      <c r="AJ1107">
        <f>IF($AI1107=1,SUMPRODUCT(--($AL$2:$AL$1501&lt;$AL1107))+1,"")</f>
        <v/>
      </c>
      <c r="AK1107">
        <f>IF($C1107="","",IF(OR($AD1107=TRUE(),$AD1107="TRUE"),0,1))</f>
        <v/>
      </c>
      <c r="AL1107">
        <f>IF($AI1107=1,IFERROR(IF(VALUE($C1107)&lt;100000000,VALUE($C1107),1000000000),IFERROR(IF(VALUE(MID($C1107,2,20))&lt;100000000,VALUE(MID($C1107,2,20)),1000000000),1000000000))+ROW()/100000,"")</f>
        <v/>
      </c>
    </row>
    <row r="1108">
      <c r="J1108" s="7" t="n"/>
      <c r="K1108" s="7" t="n"/>
      <c r="R1108" s="7">
        <f>IF($C1108="","",Q1108*AC1108/100)</f>
        <v/>
      </c>
      <c r="S1108" s="11" t="n"/>
      <c r="U1108" s="11" t="n"/>
      <c r="AA1108" s="7" t="n"/>
      <c r="AC1108" s="7" t="n"/>
      <c r="AE1108">
        <f>IF($C1108="","",IF($AK1108=1,Settings!$C$6,Settings!$C$7)*1)</f>
        <v/>
      </c>
      <c r="AF1108" s="7">
        <f>IF($C1108="","",AE1108*AC1108)</f>
        <v/>
      </c>
      <c r="AG1108" s="7">
        <f>IF($C1108="","",AC1108-AF1108)</f>
        <v/>
      </c>
      <c r="AH1108" s="7">
        <f>IF($C1108="","",AG1108-R1108)</f>
        <v/>
      </c>
      <c r="AI1108">
        <f>IF($C1108="","",IF(COUNTIF($C$2:$C1108,$C1108)=1,1,0))</f>
        <v/>
      </c>
      <c r="AJ1108">
        <f>IF($AI1108=1,SUMPRODUCT(--($AL$2:$AL$1501&lt;$AL1108))+1,"")</f>
        <v/>
      </c>
      <c r="AK1108">
        <f>IF($C1108="","",IF(OR($AD1108=TRUE(),$AD1108="TRUE"),0,1))</f>
        <v/>
      </c>
      <c r="AL1108">
        <f>IF($AI1108=1,IFERROR(IF(VALUE($C1108)&lt;100000000,VALUE($C1108),1000000000),IFERROR(IF(VALUE(MID($C1108,2,20))&lt;100000000,VALUE(MID($C1108,2,20)),1000000000),1000000000))+ROW()/100000,"")</f>
        <v/>
      </c>
    </row>
    <row r="1109">
      <c r="J1109" s="7" t="n"/>
      <c r="K1109" s="7" t="n"/>
      <c r="R1109" s="7">
        <f>IF($C1109="","",Q1109*AC1109/100)</f>
        <v/>
      </c>
      <c r="S1109" s="11" t="n"/>
      <c r="U1109" s="11" t="n"/>
      <c r="AA1109" s="7" t="n"/>
      <c r="AC1109" s="7" t="n"/>
      <c r="AE1109">
        <f>IF($C1109="","",IF($AK1109=1,Settings!$C$6,Settings!$C$7)*1)</f>
        <v/>
      </c>
      <c r="AF1109" s="7">
        <f>IF($C1109="","",AE1109*AC1109)</f>
        <v/>
      </c>
      <c r="AG1109" s="7">
        <f>IF($C1109="","",AC1109-AF1109)</f>
        <v/>
      </c>
      <c r="AH1109" s="7">
        <f>IF($C1109="","",AG1109-R1109)</f>
        <v/>
      </c>
      <c r="AI1109">
        <f>IF($C1109="","",IF(COUNTIF($C$2:$C1109,$C1109)=1,1,0))</f>
        <v/>
      </c>
      <c r="AJ1109">
        <f>IF($AI1109=1,SUMPRODUCT(--($AL$2:$AL$1501&lt;$AL1109))+1,"")</f>
        <v/>
      </c>
      <c r="AK1109">
        <f>IF($C1109="","",IF(OR($AD1109=TRUE(),$AD1109="TRUE"),0,1))</f>
        <v/>
      </c>
      <c r="AL1109">
        <f>IF($AI1109=1,IFERROR(IF(VALUE($C1109)&lt;100000000,VALUE($C1109),1000000000),IFERROR(IF(VALUE(MID($C1109,2,20))&lt;100000000,VALUE(MID($C1109,2,20)),1000000000),1000000000))+ROW()/100000,"")</f>
        <v/>
      </c>
    </row>
    <row r="1110">
      <c r="J1110" s="7" t="n"/>
      <c r="K1110" s="7" t="n"/>
      <c r="R1110" s="7">
        <f>IF($C1110="","",Q1110*AC1110/100)</f>
        <v/>
      </c>
      <c r="S1110" s="11" t="n"/>
      <c r="U1110" s="11" t="n"/>
      <c r="AA1110" s="7" t="n"/>
      <c r="AC1110" s="7" t="n"/>
      <c r="AE1110">
        <f>IF($C1110="","",IF($AK1110=1,Settings!$C$6,Settings!$C$7)*1)</f>
        <v/>
      </c>
      <c r="AF1110" s="7">
        <f>IF($C1110="","",AE1110*AC1110)</f>
        <v/>
      </c>
      <c r="AG1110" s="7">
        <f>IF($C1110="","",AC1110-AF1110)</f>
        <v/>
      </c>
      <c r="AH1110" s="7">
        <f>IF($C1110="","",AG1110-R1110)</f>
        <v/>
      </c>
      <c r="AI1110">
        <f>IF($C1110="","",IF(COUNTIF($C$2:$C1110,$C1110)=1,1,0))</f>
        <v/>
      </c>
      <c r="AJ1110">
        <f>IF($AI1110=1,SUMPRODUCT(--($AL$2:$AL$1501&lt;$AL1110))+1,"")</f>
        <v/>
      </c>
      <c r="AK1110">
        <f>IF($C1110="","",IF(OR($AD1110=TRUE(),$AD1110="TRUE"),0,1))</f>
        <v/>
      </c>
      <c r="AL1110">
        <f>IF($AI1110=1,IFERROR(IF(VALUE($C1110)&lt;100000000,VALUE($C1110),1000000000),IFERROR(IF(VALUE(MID($C1110,2,20))&lt;100000000,VALUE(MID($C1110,2,20)),1000000000),1000000000))+ROW()/100000,"")</f>
        <v/>
      </c>
    </row>
    <row r="1111">
      <c r="J1111" s="7" t="n"/>
      <c r="K1111" s="7" t="n"/>
      <c r="R1111" s="7">
        <f>IF($C1111="","",Q1111*AC1111/100)</f>
        <v/>
      </c>
      <c r="S1111" s="11" t="n"/>
      <c r="U1111" s="11" t="n"/>
      <c r="AA1111" s="7" t="n"/>
      <c r="AC1111" s="7" t="n"/>
      <c r="AE1111">
        <f>IF($C1111="","",IF($AK1111=1,Settings!$C$6,Settings!$C$7)*1)</f>
        <v/>
      </c>
      <c r="AF1111" s="7">
        <f>IF($C1111="","",AE1111*AC1111)</f>
        <v/>
      </c>
      <c r="AG1111" s="7">
        <f>IF($C1111="","",AC1111-AF1111)</f>
        <v/>
      </c>
      <c r="AH1111" s="7">
        <f>IF($C1111="","",AG1111-R1111)</f>
        <v/>
      </c>
      <c r="AI1111">
        <f>IF($C1111="","",IF(COUNTIF($C$2:$C1111,$C1111)=1,1,0))</f>
        <v/>
      </c>
      <c r="AJ1111">
        <f>IF($AI1111=1,SUMPRODUCT(--($AL$2:$AL$1501&lt;$AL1111))+1,"")</f>
        <v/>
      </c>
      <c r="AK1111">
        <f>IF($C1111="","",IF(OR($AD1111=TRUE(),$AD1111="TRUE"),0,1))</f>
        <v/>
      </c>
      <c r="AL1111">
        <f>IF($AI1111=1,IFERROR(IF(VALUE($C1111)&lt;100000000,VALUE($C1111),1000000000),IFERROR(IF(VALUE(MID($C1111,2,20))&lt;100000000,VALUE(MID($C1111,2,20)),1000000000),1000000000))+ROW()/100000,"")</f>
        <v/>
      </c>
    </row>
    <row r="1112">
      <c r="J1112" s="7" t="n"/>
      <c r="K1112" s="7" t="n"/>
      <c r="R1112" s="7">
        <f>IF($C1112="","",Q1112*AC1112/100)</f>
        <v/>
      </c>
      <c r="S1112" s="11" t="n"/>
      <c r="U1112" s="11" t="n"/>
      <c r="AA1112" s="7" t="n"/>
      <c r="AC1112" s="7" t="n"/>
      <c r="AE1112">
        <f>IF($C1112="","",IF($AK1112=1,Settings!$C$6,Settings!$C$7)*1)</f>
        <v/>
      </c>
      <c r="AF1112" s="7">
        <f>IF($C1112="","",AE1112*AC1112)</f>
        <v/>
      </c>
      <c r="AG1112" s="7">
        <f>IF($C1112="","",AC1112-AF1112)</f>
        <v/>
      </c>
      <c r="AH1112" s="7">
        <f>IF($C1112="","",AG1112-R1112)</f>
        <v/>
      </c>
      <c r="AI1112">
        <f>IF($C1112="","",IF(COUNTIF($C$2:$C1112,$C1112)=1,1,0))</f>
        <v/>
      </c>
      <c r="AJ1112">
        <f>IF($AI1112=1,SUMPRODUCT(--($AL$2:$AL$1501&lt;$AL1112))+1,"")</f>
        <v/>
      </c>
      <c r="AK1112">
        <f>IF($C1112="","",IF(OR($AD1112=TRUE(),$AD1112="TRUE"),0,1))</f>
        <v/>
      </c>
      <c r="AL1112">
        <f>IF($AI1112=1,IFERROR(IF(VALUE($C1112)&lt;100000000,VALUE($C1112),1000000000),IFERROR(IF(VALUE(MID($C1112,2,20))&lt;100000000,VALUE(MID($C1112,2,20)),1000000000),1000000000))+ROW()/100000,"")</f>
        <v/>
      </c>
    </row>
    <row r="1113">
      <c r="J1113" s="7" t="n"/>
      <c r="K1113" s="7" t="n"/>
      <c r="R1113" s="7">
        <f>IF($C1113="","",Q1113*AC1113/100)</f>
        <v/>
      </c>
      <c r="S1113" s="11" t="n"/>
      <c r="U1113" s="11" t="n"/>
      <c r="AA1113" s="7" t="n"/>
      <c r="AC1113" s="7" t="n"/>
      <c r="AE1113">
        <f>IF($C1113="","",IF($AK1113=1,Settings!$C$6,Settings!$C$7)*1)</f>
        <v/>
      </c>
      <c r="AF1113" s="7">
        <f>IF($C1113="","",AE1113*AC1113)</f>
        <v/>
      </c>
      <c r="AG1113" s="7">
        <f>IF($C1113="","",AC1113-AF1113)</f>
        <v/>
      </c>
      <c r="AH1113" s="7">
        <f>IF($C1113="","",AG1113-R1113)</f>
        <v/>
      </c>
      <c r="AI1113">
        <f>IF($C1113="","",IF(COUNTIF($C$2:$C1113,$C1113)=1,1,0))</f>
        <v/>
      </c>
      <c r="AJ1113">
        <f>IF($AI1113=1,SUMPRODUCT(--($AL$2:$AL$1501&lt;$AL1113))+1,"")</f>
        <v/>
      </c>
      <c r="AK1113">
        <f>IF($C1113="","",IF(OR($AD1113=TRUE(),$AD1113="TRUE"),0,1))</f>
        <v/>
      </c>
      <c r="AL1113">
        <f>IF($AI1113=1,IFERROR(IF(VALUE($C1113)&lt;100000000,VALUE($C1113),1000000000),IFERROR(IF(VALUE(MID($C1113,2,20))&lt;100000000,VALUE(MID($C1113,2,20)),1000000000),1000000000))+ROW()/100000,"")</f>
        <v/>
      </c>
    </row>
    <row r="1114">
      <c r="J1114" s="7" t="n"/>
      <c r="K1114" s="7" t="n"/>
      <c r="R1114" s="7">
        <f>IF($C1114="","",Q1114*AC1114/100)</f>
        <v/>
      </c>
      <c r="S1114" s="11" t="n"/>
      <c r="U1114" s="11" t="n"/>
      <c r="AA1114" s="7" t="n"/>
      <c r="AC1114" s="7" t="n"/>
      <c r="AE1114">
        <f>IF($C1114="","",IF($AK1114=1,Settings!$C$6,Settings!$C$7)*1)</f>
        <v/>
      </c>
      <c r="AF1114" s="7">
        <f>IF($C1114="","",AE1114*AC1114)</f>
        <v/>
      </c>
      <c r="AG1114" s="7">
        <f>IF($C1114="","",AC1114-AF1114)</f>
        <v/>
      </c>
      <c r="AH1114" s="7">
        <f>IF($C1114="","",AG1114-R1114)</f>
        <v/>
      </c>
      <c r="AI1114">
        <f>IF($C1114="","",IF(COUNTIF($C$2:$C1114,$C1114)=1,1,0))</f>
        <v/>
      </c>
      <c r="AJ1114">
        <f>IF($AI1114=1,SUMPRODUCT(--($AL$2:$AL$1501&lt;$AL1114))+1,"")</f>
        <v/>
      </c>
      <c r="AK1114">
        <f>IF($C1114="","",IF(OR($AD1114=TRUE(),$AD1114="TRUE"),0,1))</f>
        <v/>
      </c>
      <c r="AL1114">
        <f>IF($AI1114=1,IFERROR(IF(VALUE($C1114)&lt;100000000,VALUE($C1114),1000000000),IFERROR(IF(VALUE(MID($C1114,2,20))&lt;100000000,VALUE(MID($C1114,2,20)),1000000000),1000000000))+ROW()/100000,"")</f>
        <v/>
      </c>
    </row>
    <row r="1115">
      <c r="J1115" s="7" t="n"/>
      <c r="K1115" s="7" t="n"/>
      <c r="R1115" s="7">
        <f>IF($C1115="","",Q1115*AC1115/100)</f>
        <v/>
      </c>
      <c r="S1115" s="11" t="n"/>
      <c r="U1115" s="11" t="n"/>
      <c r="AA1115" s="7" t="n"/>
      <c r="AC1115" s="7" t="n"/>
      <c r="AE1115">
        <f>IF($C1115="","",IF($AK1115=1,Settings!$C$6,Settings!$C$7)*1)</f>
        <v/>
      </c>
      <c r="AF1115" s="7">
        <f>IF($C1115="","",AE1115*AC1115)</f>
        <v/>
      </c>
      <c r="AG1115" s="7">
        <f>IF($C1115="","",AC1115-AF1115)</f>
        <v/>
      </c>
      <c r="AH1115" s="7">
        <f>IF($C1115="","",AG1115-R1115)</f>
        <v/>
      </c>
      <c r="AI1115">
        <f>IF($C1115="","",IF(COUNTIF($C$2:$C1115,$C1115)=1,1,0))</f>
        <v/>
      </c>
      <c r="AJ1115">
        <f>IF($AI1115=1,SUMPRODUCT(--($AL$2:$AL$1501&lt;$AL1115))+1,"")</f>
        <v/>
      </c>
      <c r="AK1115">
        <f>IF($C1115="","",IF(OR($AD1115=TRUE(),$AD1115="TRUE"),0,1))</f>
        <v/>
      </c>
      <c r="AL1115">
        <f>IF($AI1115=1,IFERROR(IF(VALUE($C1115)&lt;100000000,VALUE($C1115),1000000000),IFERROR(IF(VALUE(MID($C1115,2,20))&lt;100000000,VALUE(MID($C1115,2,20)),1000000000),1000000000))+ROW()/100000,"")</f>
        <v/>
      </c>
    </row>
    <row r="1116">
      <c r="J1116" s="7" t="n"/>
      <c r="K1116" s="7" t="n"/>
      <c r="R1116" s="7">
        <f>IF($C1116="","",Q1116*AC1116/100)</f>
        <v/>
      </c>
      <c r="S1116" s="11" t="n"/>
      <c r="U1116" s="11" t="n"/>
      <c r="AA1116" s="7" t="n"/>
      <c r="AC1116" s="7" t="n"/>
      <c r="AE1116">
        <f>IF($C1116="","",IF($AK1116=1,Settings!$C$6,Settings!$C$7)*1)</f>
        <v/>
      </c>
      <c r="AF1116" s="7">
        <f>IF($C1116="","",AE1116*AC1116)</f>
        <v/>
      </c>
      <c r="AG1116" s="7">
        <f>IF($C1116="","",AC1116-AF1116)</f>
        <v/>
      </c>
      <c r="AH1116" s="7">
        <f>IF($C1116="","",AG1116-R1116)</f>
        <v/>
      </c>
      <c r="AI1116">
        <f>IF($C1116="","",IF(COUNTIF($C$2:$C1116,$C1116)=1,1,0))</f>
        <v/>
      </c>
      <c r="AJ1116">
        <f>IF($AI1116=1,SUMPRODUCT(--($AL$2:$AL$1501&lt;$AL1116))+1,"")</f>
        <v/>
      </c>
      <c r="AK1116">
        <f>IF($C1116="","",IF(OR($AD1116=TRUE(),$AD1116="TRUE"),0,1))</f>
        <v/>
      </c>
      <c r="AL1116">
        <f>IF($AI1116=1,IFERROR(IF(VALUE($C1116)&lt;100000000,VALUE($C1116),1000000000),IFERROR(IF(VALUE(MID($C1116,2,20))&lt;100000000,VALUE(MID($C1116,2,20)),1000000000),1000000000))+ROW()/100000,"")</f>
        <v/>
      </c>
    </row>
    <row r="1117">
      <c r="J1117" s="7" t="n"/>
      <c r="K1117" s="7" t="n"/>
      <c r="R1117" s="7">
        <f>IF($C1117="","",Q1117*AC1117/100)</f>
        <v/>
      </c>
      <c r="S1117" s="11" t="n"/>
      <c r="U1117" s="11" t="n"/>
      <c r="AA1117" s="7" t="n"/>
      <c r="AC1117" s="7" t="n"/>
      <c r="AE1117">
        <f>IF($C1117="","",IF($AK1117=1,Settings!$C$6,Settings!$C$7)*1)</f>
        <v/>
      </c>
      <c r="AF1117" s="7">
        <f>IF($C1117="","",AE1117*AC1117)</f>
        <v/>
      </c>
      <c r="AG1117" s="7">
        <f>IF($C1117="","",AC1117-AF1117)</f>
        <v/>
      </c>
      <c r="AH1117" s="7">
        <f>IF($C1117="","",AG1117-R1117)</f>
        <v/>
      </c>
      <c r="AI1117">
        <f>IF($C1117="","",IF(COUNTIF($C$2:$C1117,$C1117)=1,1,0))</f>
        <v/>
      </c>
      <c r="AJ1117">
        <f>IF($AI1117=1,SUMPRODUCT(--($AL$2:$AL$1501&lt;$AL1117))+1,"")</f>
        <v/>
      </c>
      <c r="AK1117">
        <f>IF($C1117="","",IF(OR($AD1117=TRUE(),$AD1117="TRUE"),0,1))</f>
        <v/>
      </c>
      <c r="AL1117">
        <f>IF($AI1117=1,IFERROR(IF(VALUE($C1117)&lt;100000000,VALUE($C1117),1000000000),IFERROR(IF(VALUE(MID($C1117,2,20))&lt;100000000,VALUE(MID($C1117,2,20)),1000000000),1000000000))+ROW()/100000,"")</f>
        <v/>
      </c>
    </row>
    <row r="1118">
      <c r="J1118" s="7" t="n"/>
      <c r="K1118" s="7" t="n"/>
      <c r="R1118" s="7">
        <f>IF($C1118="","",Q1118*AC1118/100)</f>
        <v/>
      </c>
      <c r="S1118" s="11" t="n"/>
      <c r="U1118" s="11" t="n"/>
      <c r="AA1118" s="7" t="n"/>
      <c r="AC1118" s="7" t="n"/>
      <c r="AE1118">
        <f>IF($C1118="","",IF($AK1118=1,Settings!$C$6,Settings!$C$7)*1)</f>
        <v/>
      </c>
      <c r="AF1118" s="7">
        <f>IF($C1118="","",AE1118*AC1118)</f>
        <v/>
      </c>
      <c r="AG1118" s="7">
        <f>IF($C1118="","",AC1118-AF1118)</f>
        <v/>
      </c>
      <c r="AH1118" s="7">
        <f>IF($C1118="","",AG1118-R1118)</f>
        <v/>
      </c>
      <c r="AI1118">
        <f>IF($C1118="","",IF(COUNTIF($C$2:$C1118,$C1118)=1,1,0))</f>
        <v/>
      </c>
      <c r="AJ1118">
        <f>IF($AI1118=1,SUMPRODUCT(--($AL$2:$AL$1501&lt;$AL1118))+1,"")</f>
        <v/>
      </c>
      <c r="AK1118">
        <f>IF($C1118="","",IF(OR($AD1118=TRUE(),$AD1118="TRUE"),0,1))</f>
        <v/>
      </c>
      <c r="AL1118">
        <f>IF($AI1118=1,IFERROR(IF(VALUE($C1118)&lt;100000000,VALUE($C1118),1000000000),IFERROR(IF(VALUE(MID($C1118,2,20))&lt;100000000,VALUE(MID($C1118,2,20)),1000000000),1000000000))+ROW()/100000,"")</f>
        <v/>
      </c>
    </row>
    <row r="1119">
      <c r="J1119" s="7" t="n"/>
      <c r="K1119" s="7" t="n"/>
      <c r="R1119" s="7">
        <f>IF($C1119="","",Q1119*AC1119/100)</f>
        <v/>
      </c>
      <c r="S1119" s="11" t="n"/>
      <c r="U1119" s="11" t="n"/>
      <c r="AA1119" s="7" t="n"/>
      <c r="AC1119" s="7" t="n"/>
      <c r="AE1119">
        <f>IF($C1119="","",IF($AK1119=1,Settings!$C$6,Settings!$C$7)*1)</f>
        <v/>
      </c>
      <c r="AF1119" s="7">
        <f>IF($C1119="","",AE1119*AC1119)</f>
        <v/>
      </c>
      <c r="AG1119" s="7">
        <f>IF($C1119="","",AC1119-AF1119)</f>
        <v/>
      </c>
      <c r="AH1119" s="7">
        <f>IF($C1119="","",AG1119-R1119)</f>
        <v/>
      </c>
      <c r="AI1119">
        <f>IF($C1119="","",IF(COUNTIF($C$2:$C1119,$C1119)=1,1,0))</f>
        <v/>
      </c>
      <c r="AJ1119">
        <f>IF($AI1119=1,SUMPRODUCT(--($AL$2:$AL$1501&lt;$AL1119))+1,"")</f>
        <v/>
      </c>
      <c r="AK1119">
        <f>IF($C1119="","",IF(OR($AD1119=TRUE(),$AD1119="TRUE"),0,1))</f>
        <v/>
      </c>
      <c r="AL1119">
        <f>IF($AI1119=1,IFERROR(IF(VALUE($C1119)&lt;100000000,VALUE($C1119),1000000000),IFERROR(IF(VALUE(MID($C1119,2,20))&lt;100000000,VALUE(MID($C1119,2,20)),1000000000),1000000000))+ROW()/100000,"")</f>
        <v/>
      </c>
    </row>
    <row r="1120">
      <c r="J1120" s="7" t="n"/>
      <c r="K1120" s="7" t="n"/>
      <c r="R1120" s="7">
        <f>IF($C1120="","",Q1120*AC1120/100)</f>
        <v/>
      </c>
      <c r="S1120" s="11" t="n"/>
      <c r="U1120" s="11" t="n"/>
      <c r="AA1120" s="7" t="n"/>
      <c r="AC1120" s="7" t="n"/>
      <c r="AE1120">
        <f>IF($C1120="","",IF($AK1120=1,Settings!$C$6,Settings!$C$7)*1)</f>
        <v/>
      </c>
      <c r="AF1120" s="7">
        <f>IF($C1120="","",AE1120*AC1120)</f>
        <v/>
      </c>
      <c r="AG1120" s="7">
        <f>IF($C1120="","",AC1120-AF1120)</f>
        <v/>
      </c>
      <c r="AH1120" s="7">
        <f>IF($C1120="","",AG1120-R1120)</f>
        <v/>
      </c>
      <c r="AI1120">
        <f>IF($C1120="","",IF(COUNTIF($C$2:$C1120,$C1120)=1,1,0))</f>
        <v/>
      </c>
      <c r="AJ1120">
        <f>IF($AI1120=1,SUMPRODUCT(--($AL$2:$AL$1501&lt;$AL1120))+1,"")</f>
        <v/>
      </c>
      <c r="AK1120">
        <f>IF($C1120="","",IF(OR($AD1120=TRUE(),$AD1120="TRUE"),0,1))</f>
        <v/>
      </c>
      <c r="AL1120">
        <f>IF($AI1120=1,IFERROR(IF(VALUE($C1120)&lt;100000000,VALUE($C1120),1000000000),IFERROR(IF(VALUE(MID($C1120,2,20))&lt;100000000,VALUE(MID($C1120,2,20)),1000000000),1000000000))+ROW()/100000,"")</f>
        <v/>
      </c>
    </row>
    <row r="1121">
      <c r="J1121" s="7" t="n"/>
      <c r="K1121" s="7" t="n"/>
      <c r="R1121" s="7">
        <f>IF($C1121="","",Q1121*AC1121/100)</f>
        <v/>
      </c>
      <c r="S1121" s="11" t="n"/>
      <c r="U1121" s="11" t="n"/>
      <c r="AA1121" s="7" t="n"/>
      <c r="AC1121" s="7" t="n"/>
      <c r="AE1121">
        <f>IF($C1121="","",IF($AK1121=1,Settings!$C$6,Settings!$C$7)*1)</f>
        <v/>
      </c>
      <c r="AF1121" s="7">
        <f>IF($C1121="","",AE1121*AC1121)</f>
        <v/>
      </c>
      <c r="AG1121" s="7">
        <f>IF($C1121="","",AC1121-AF1121)</f>
        <v/>
      </c>
      <c r="AH1121" s="7">
        <f>IF($C1121="","",AG1121-R1121)</f>
        <v/>
      </c>
      <c r="AI1121">
        <f>IF($C1121="","",IF(COUNTIF($C$2:$C1121,$C1121)=1,1,0))</f>
        <v/>
      </c>
      <c r="AJ1121">
        <f>IF($AI1121=1,SUMPRODUCT(--($AL$2:$AL$1501&lt;$AL1121))+1,"")</f>
        <v/>
      </c>
      <c r="AK1121">
        <f>IF($C1121="","",IF(OR($AD1121=TRUE(),$AD1121="TRUE"),0,1))</f>
        <v/>
      </c>
      <c r="AL1121">
        <f>IF($AI1121=1,IFERROR(IF(VALUE($C1121)&lt;100000000,VALUE($C1121),1000000000),IFERROR(IF(VALUE(MID($C1121,2,20))&lt;100000000,VALUE(MID($C1121,2,20)),1000000000),1000000000))+ROW()/100000,"")</f>
        <v/>
      </c>
    </row>
    <row r="1122">
      <c r="J1122" s="7" t="n"/>
      <c r="K1122" s="7" t="n"/>
      <c r="R1122" s="7">
        <f>IF($C1122="","",Q1122*AC1122/100)</f>
        <v/>
      </c>
      <c r="S1122" s="11" t="n"/>
      <c r="U1122" s="11" t="n"/>
      <c r="AA1122" s="7" t="n"/>
      <c r="AC1122" s="7" t="n"/>
      <c r="AE1122">
        <f>IF($C1122="","",IF($AK1122=1,Settings!$C$6,Settings!$C$7)*1)</f>
        <v/>
      </c>
      <c r="AF1122" s="7">
        <f>IF($C1122="","",AE1122*AC1122)</f>
        <v/>
      </c>
      <c r="AG1122" s="7">
        <f>IF($C1122="","",AC1122-AF1122)</f>
        <v/>
      </c>
      <c r="AH1122" s="7">
        <f>IF($C1122="","",AG1122-R1122)</f>
        <v/>
      </c>
      <c r="AI1122">
        <f>IF($C1122="","",IF(COUNTIF($C$2:$C1122,$C1122)=1,1,0))</f>
        <v/>
      </c>
      <c r="AJ1122">
        <f>IF($AI1122=1,SUMPRODUCT(--($AL$2:$AL$1501&lt;$AL1122))+1,"")</f>
        <v/>
      </c>
      <c r="AK1122">
        <f>IF($C1122="","",IF(OR($AD1122=TRUE(),$AD1122="TRUE"),0,1))</f>
        <v/>
      </c>
      <c r="AL1122">
        <f>IF($AI1122=1,IFERROR(IF(VALUE($C1122)&lt;100000000,VALUE($C1122),1000000000),IFERROR(IF(VALUE(MID($C1122,2,20))&lt;100000000,VALUE(MID($C1122,2,20)),1000000000),1000000000))+ROW()/100000,"")</f>
        <v/>
      </c>
    </row>
    <row r="1123">
      <c r="J1123" s="7" t="n"/>
      <c r="K1123" s="7" t="n"/>
      <c r="R1123" s="7">
        <f>IF($C1123="","",Q1123*AC1123/100)</f>
        <v/>
      </c>
      <c r="S1123" s="11" t="n"/>
      <c r="U1123" s="11" t="n"/>
      <c r="AA1123" s="7" t="n"/>
      <c r="AC1123" s="7" t="n"/>
      <c r="AE1123">
        <f>IF($C1123="","",IF($AK1123=1,Settings!$C$6,Settings!$C$7)*1)</f>
        <v/>
      </c>
      <c r="AF1123" s="7">
        <f>IF($C1123="","",AE1123*AC1123)</f>
        <v/>
      </c>
      <c r="AG1123" s="7">
        <f>IF($C1123="","",AC1123-AF1123)</f>
        <v/>
      </c>
      <c r="AH1123" s="7">
        <f>IF($C1123="","",AG1123-R1123)</f>
        <v/>
      </c>
      <c r="AI1123">
        <f>IF($C1123="","",IF(COUNTIF($C$2:$C1123,$C1123)=1,1,0))</f>
        <v/>
      </c>
      <c r="AJ1123">
        <f>IF($AI1123=1,SUMPRODUCT(--($AL$2:$AL$1501&lt;$AL1123))+1,"")</f>
        <v/>
      </c>
      <c r="AK1123">
        <f>IF($C1123="","",IF(OR($AD1123=TRUE(),$AD1123="TRUE"),0,1))</f>
        <v/>
      </c>
      <c r="AL1123">
        <f>IF($AI1123=1,IFERROR(IF(VALUE($C1123)&lt;100000000,VALUE($C1123),1000000000),IFERROR(IF(VALUE(MID($C1123,2,20))&lt;100000000,VALUE(MID($C1123,2,20)),1000000000),1000000000))+ROW()/100000,"")</f>
        <v/>
      </c>
    </row>
    <row r="1124">
      <c r="J1124" s="7" t="n"/>
      <c r="K1124" s="7" t="n"/>
      <c r="R1124" s="7">
        <f>IF($C1124="","",Q1124*AC1124/100)</f>
        <v/>
      </c>
      <c r="S1124" s="11" t="n"/>
      <c r="U1124" s="11" t="n"/>
      <c r="AA1124" s="7" t="n"/>
      <c r="AC1124" s="7" t="n"/>
      <c r="AE1124">
        <f>IF($C1124="","",IF($AK1124=1,Settings!$C$6,Settings!$C$7)*1)</f>
        <v/>
      </c>
      <c r="AF1124" s="7">
        <f>IF($C1124="","",AE1124*AC1124)</f>
        <v/>
      </c>
      <c r="AG1124" s="7">
        <f>IF($C1124="","",AC1124-AF1124)</f>
        <v/>
      </c>
      <c r="AH1124" s="7">
        <f>IF($C1124="","",AG1124-R1124)</f>
        <v/>
      </c>
      <c r="AI1124">
        <f>IF($C1124="","",IF(COUNTIF($C$2:$C1124,$C1124)=1,1,0))</f>
        <v/>
      </c>
      <c r="AJ1124">
        <f>IF($AI1124=1,SUMPRODUCT(--($AL$2:$AL$1501&lt;$AL1124))+1,"")</f>
        <v/>
      </c>
      <c r="AK1124">
        <f>IF($C1124="","",IF(OR($AD1124=TRUE(),$AD1124="TRUE"),0,1))</f>
        <v/>
      </c>
      <c r="AL1124">
        <f>IF($AI1124=1,IFERROR(IF(VALUE($C1124)&lt;100000000,VALUE($C1124),1000000000),IFERROR(IF(VALUE(MID($C1124,2,20))&lt;100000000,VALUE(MID($C1124,2,20)),1000000000),1000000000))+ROW()/100000,"")</f>
        <v/>
      </c>
    </row>
    <row r="1125">
      <c r="J1125" s="7" t="n"/>
      <c r="K1125" s="7" t="n"/>
      <c r="R1125" s="7">
        <f>IF($C1125="","",Q1125*AC1125/100)</f>
        <v/>
      </c>
      <c r="S1125" s="11" t="n"/>
      <c r="U1125" s="11" t="n"/>
      <c r="AA1125" s="7" t="n"/>
      <c r="AC1125" s="7" t="n"/>
      <c r="AE1125">
        <f>IF($C1125="","",IF($AK1125=1,Settings!$C$6,Settings!$C$7)*1)</f>
        <v/>
      </c>
      <c r="AF1125" s="7">
        <f>IF($C1125="","",AE1125*AC1125)</f>
        <v/>
      </c>
      <c r="AG1125" s="7">
        <f>IF($C1125="","",AC1125-AF1125)</f>
        <v/>
      </c>
      <c r="AH1125" s="7">
        <f>IF($C1125="","",AG1125-R1125)</f>
        <v/>
      </c>
      <c r="AI1125">
        <f>IF($C1125="","",IF(COUNTIF($C$2:$C1125,$C1125)=1,1,0))</f>
        <v/>
      </c>
      <c r="AJ1125">
        <f>IF($AI1125=1,SUMPRODUCT(--($AL$2:$AL$1501&lt;$AL1125))+1,"")</f>
        <v/>
      </c>
      <c r="AK1125">
        <f>IF($C1125="","",IF(OR($AD1125=TRUE(),$AD1125="TRUE"),0,1))</f>
        <v/>
      </c>
      <c r="AL1125">
        <f>IF($AI1125=1,IFERROR(IF(VALUE($C1125)&lt;100000000,VALUE($C1125),1000000000),IFERROR(IF(VALUE(MID($C1125,2,20))&lt;100000000,VALUE(MID($C1125,2,20)),1000000000),1000000000))+ROW()/100000,"")</f>
        <v/>
      </c>
    </row>
    <row r="1126">
      <c r="J1126" s="7" t="n"/>
      <c r="K1126" s="7" t="n"/>
      <c r="R1126" s="7">
        <f>IF($C1126="","",Q1126*AC1126/100)</f>
        <v/>
      </c>
      <c r="S1126" s="11" t="n"/>
      <c r="U1126" s="11" t="n"/>
      <c r="AA1126" s="7" t="n"/>
      <c r="AC1126" s="7" t="n"/>
      <c r="AE1126">
        <f>IF($C1126="","",IF($AK1126=1,Settings!$C$6,Settings!$C$7)*1)</f>
        <v/>
      </c>
      <c r="AF1126" s="7">
        <f>IF($C1126="","",AE1126*AC1126)</f>
        <v/>
      </c>
      <c r="AG1126" s="7">
        <f>IF($C1126="","",AC1126-AF1126)</f>
        <v/>
      </c>
      <c r="AH1126" s="7">
        <f>IF($C1126="","",AG1126-R1126)</f>
        <v/>
      </c>
      <c r="AI1126">
        <f>IF($C1126="","",IF(COUNTIF($C$2:$C1126,$C1126)=1,1,0))</f>
        <v/>
      </c>
      <c r="AJ1126">
        <f>IF($AI1126=1,SUMPRODUCT(--($AL$2:$AL$1501&lt;$AL1126))+1,"")</f>
        <v/>
      </c>
      <c r="AK1126">
        <f>IF($C1126="","",IF(OR($AD1126=TRUE(),$AD1126="TRUE"),0,1))</f>
        <v/>
      </c>
      <c r="AL1126">
        <f>IF($AI1126=1,IFERROR(IF(VALUE($C1126)&lt;100000000,VALUE($C1126),1000000000),IFERROR(IF(VALUE(MID($C1126,2,20))&lt;100000000,VALUE(MID($C1126,2,20)),1000000000),1000000000))+ROW()/100000,"")</f>
        <v/>
      </c>
    </row>
    <row r="1127">
      <c r="J1127" s="7" t="n"/>
      <c r="K1127" s="7" t="n"/>
      <c r="R1127" s="7">
        <f>IF($C1127="","",Q1127*AC1127/100)</f>
        <v/>
      </c>
      <c r="S1127" s="11" t="n"/>
      <c r="U1127" s="11" t="n"/>
      <c r="AA1127" s="7" t="n"/>
      <c r="AC1127" s="7" t="n"/>
      <c r="AE1127">
        <f>IF($C1127="","",IF($AK1127=1,Settings!$C$6,Settings!$C$7)*1)</f>
        <v/>
      </c>
      <c r="AF1127" s="7">
        <f>IF($C1127="","",AE1127*AC1127)</f>
        <v/>
      </c>
      <c r="AG1127" s="7">
        <f>IF($C1127="","",AC1127-AF1127)</f>
        <v/>
      </c>
      <c r="AH1127" s="7">
        <f>IF($C1127="","",AG1127-R1127)</f>
        <v/>
      </c>
      <c r="AI1127">
        <f>IF($C1127="","",IF(COUNTIF($C$2:$C1127,$C1127)=1,1,0))</f>
        <v/>
      </c>
      <c r="AJ1127">
        <f>IF($AI1127=1,SUMPRODUCT(--($AL$2:$AL$1501&lt;$AL1127))+1,"")</f>
        <v/>
      </c>
      <c r="AK1127">
        <f>IF($C1127="","",IF(OR($AD1127=TRUE(),$AD1127="TRUE"),0,1))</f>
        <v/>
      </c>
      <c r="AL1127">
        <f>IF($AI1127=1,IFERROR(IF(VALUE($C1127)&lt;100000000,VALUE($C1127),1000000000),IFERROR(IF(VALUE(MID($C1127,2,20))&lt;100000000,VALUE(MID($C1127,2,20)),1000000000),1000000000))+ROW()/100000,"")</f>
        <v/>
      </c>
    </row>
    <row r="1128">
      <c r="J1128" s="7" t="n"/>
      <c r="K1128" s="7" t="n"/>
      <c r="R1128" s="7">
        <f>IF($C1128="","",Q1128*AC1128/100)</f>
        <v/>
      </c>
      <c r="S1128" s="11" t="n"/>
      <c r="U1128" s="11" t="n"/>
      <c r="AA1128" s="7" t="n"/>
      <c r="AC1128" s="7" t="n"/>
      <c r="AE1128">
        <f>IF($C1128="","",IF($AK1128=1,Settings!$C$6,Settings!$C$7)*1)</f>
        <v/>
      </c>
      <c r="AF1128" s="7">
        <f>IF($C1128="","",AE1128*AC1128)</f>
        <v/>
      </c>
      <c r="AG1128" s="7">
        <f>IF($C1128="","",AC1128-AF1128)</f>
        <v/>
      </c>
      <c r="AH1128" s="7">
        <f>IF($C1128="","",AG1128-R1128)</f>
        <v/>
      </c>
      <c r="AI1128">
        <f>IF($C1128="","",IF(COUNTIF($C$2:$C1128,$C1128)=1,1,0))</f>
        <v/>
      </c>
      <c r="AJ1128">
        <f>IF($AI1128=1,SUMPRODUCT(--($AL$2:$AL$1501&lt;$AL1128))+1,"")</f>
        <v/>
      </c>
      <c r="AK1128">
        <f>IF($C1128="","",IF(OR($AD1128=TRUE(),$AD1128="TRUE"),0,1))</f>
        <v/>
      </c>
      <c r="AL1128">
        <f>IF($AI1128=1,IFERROR(IF(VALUE($C1128)&lt;100000000,VALUE($C1128),1000000000),IFERROR(IF(VALUE(MID($C1128,2,20))&lt;100000000,VALUE(MID($C1128,2,20)),1000000000),1000000000))+ROW()/100000,"")</f>
        <v/>
      </c>
    </row>
    <row r="1129">
      <c r="J1129" s="7" t="n"/>
      <c r="K1129" s="7" t="n"/>
      <c r="R1129" s="7">
        <f>IF($C1129="","",Q1129*AC1129/100)</f>
        <v/>
      </c>
      <c r="S1129" s="11" t="n"/>
      <c r="U1129" s="11" t="n"/>
      <c r="AA1129" s="7" t="n"/>
      <c r="AC1129" s="7" t="n"/>
      <c r="AE1129">
        <f>IF($C1129="","",IF($AK1129=1,Settings!$C$6,Settings!$C$7)*1)</f>
        <v/>
      </c>
      <c r="AF1129" s="7">
        <f>IF($C1129="","",AE1129*AC1129)</f>
        <v/>
      </c>
      <c r="AG1129" s="7">
        <f>IF($C1129="","",AC1129-AF1129)</f>
        <v/>
      </c>
      <c r="AH1129" s="7">
        <f>IF($C1129="","",AG1129-R1129)</f>
        <v/>
      </c>
      <c r="AI1129">
        <f>IF($C1129="","",IF(COUNTIF($C$2:$C1129,$C1129)=1,1,0))</f>
        <v/>
      </c>
      <c r="AJ1129">
        <f>IF($AI1129=1,SUMPRODUCT(--($AL$2:$AL$1501&lt;$AL1129))+1,"")</f>
        <v/>
      </c>
      <c r="AK1129">
        <f>IF($C1129="","",IF(OR($AD1129=TRUE(),$AD1129="TRUE"),0,1))</f>
        <v/>
      </c>
      <c r="AL1129">
        <f>IF($AI1129=1,IFERROR(IF(VALUE($C1129)&lt;100000000,VALUE($C1129),1000000000),IFERROR(IF(VALUE(MID($C1129,2,20))&lt;100000000,VALUE(MID($C1129,2,20)),1000000000),1000000000))+ROW()/100000,"")</f>
        <v/>
      </c>
    </row>
    <row r="1130">
      <c r="J1130" s="7" t="n"/>
      <c r="K1130" s="7" t="n"/>
      <c r="R1130" s="7">
        <f>IF($C1130="","",Q1130*AC1130/100)</f>
        <v/>
      </c>
      <c r="S1130" s="11" t="n"/>
      <c r="U1130" s="11" t="n"/>
      <c r="AA1130" s="7" t="n"/>
      <c r="AC1130" s="7" t="n"/>
      <c r="AE1130">
        <f>IF($C1130="","",IF($AK1130=1,Settings!$C$6,Settings!$C$7)*1)</f>
        <v/>
      </c>
      <c r="AF1130" s="7">
        <f>IF($C1130="","",AE1130*AC1130)</f>
        <v/>
      </c>
      <c r="AG1130" s="7">
        <f>IF($C1130="","",AC1130-AF1130)</f>
        <v/>
      </c>
      <c r="AH1130" s="7">
        <f>IF($C1130="","",AG1130-R1130)</f>
        <v/>
      </c>
      <c r="AI1130">
        <f>IF($C1130="","",IF(COUNTIF($C$2:$C1130,$C1130)=1,1,0))</f>
        <v/>
      </c>
      <c r="AJ1130">
        <f>IF($AI1130=1,SUMPRODUCT(--($AL$2:$AL$1501&lt;$AL1130))+1,"")</f>
        <v/>
      </c>
      <c r="AK1130">
        <f>IF($C1130="","",IF(OR($AD1130=TRUE(),$AD1130="TRUE"),0,1))</f>
        <v/>
      </c>
      <c r="AL1130">
        <f>IF($AI1130=1,IFERROR(IF(VALUE($C1130)&lt;100000000,VALUE($C1130),1000000000),IFERROR(IF(VALUE(MID($C1130,2,20))&lt;100000000,VALUE(MID($C1130,2,20)),1000000000),1000000000))+ROW()/100000,"")</f>
        <v/>
      </c>
    </row>
    <row r="1131">
      <c r="J1131" s="7" t="n"/>
      <c r="K1131" s="7" t="n"/>
      <c r="R1131" s="7">
        <f>IF($C1131="","",Q1131*AC1131/100)</f>
        <v/>
      </c>
      <c r="S1131" s="11" t="n"/>
      <c r="U1131" s="11" t="n"/>
      <c r="AA1131" s="7" t="n"/>
      <c r="AC1131" s="7" t="n"/>
      <c r="AE1131">
        <f>IF($C1131="","",IF($AK1131=1,Settings!$C$6,Settings!$C$7)*1)</f>
        <v/>
      </c>
      <c r="AF1131" s="7">
        <f>IF($C1131="","",AE1131*AC1131)</f>
        <v/>
      </c>
      <c r="AG1131" s="7">
        <f>IF($C1131="","",AC1131-AF1131)</f>
        <v/>
      </c>
      <c r="AH1131" s="7">
        <f>IF($C1131="","",AG1131-R1131)</f>
        <v/>
      </c>
      <c r="AI1131">
        <f>IF($C1131="","",IF(COUNTIF($C$2:$C1131,$C1131)=1,1,0))</f>
        <v/>
      </c>
      <c r="AJ1131">
        <f>IF($AI1131=1,SUMPRODUCT(--($AL$2:$AL$1501&lt;$AL1131))+1,"")</f>
        <v/>
      </c>
      <c r="AK1131">
        <f>IF($C1131="","",IF(OR($AD1131=TRUE(),$AD1131="TRUE"),0,1))</f>
        <v/>
      </c>
      <c r="AL1131">
        <f>IF($AI1131=1,IFERROR(IF(VALUE($C1131)&lt;100000000,VALUE($C1131),1000000000),IFERROR(IF(VALUE(MID($C1131,2,20))&lt;100000000,VALUE(MID($C1131,2,20)),1000000000),1000000000))+ROW()/100000,"")</f>
        <v/>
      </c>
    </row>
    <row r="1132">
      <c r="J1132" s="7" t="n"/>
      <c r="K1132" s="7" t="n"/>
      <c r="R1132" s="7">
        <f>IF($C1132="","",Q1132*AC1132/100)</f>
        <v/>
      </c>
      <c r="S1132" s="11" t="n"/>
      <c r="U1132" s="11" t="n"/>
      <c r="AA1132" s="7" t="n"/>
      <c r="AC1132" s="7" t="n"/>
      <c r="AE1132">
        <f>IF($C1132="","",IF($AK1132=1,Settings!$C$6,Settings!$C$7)*1)</f>
        <v/>
      </c>
      <c r="AF1132" s="7">
        <f>IF($C1132="","",AE1132*AC1132)</f>
        <v/>
      </c>
      <c r="AG1132" s="7">
        <f>IF($C1132="","",AC1132-AF1132)</f>
        <v/>
      </c>
      <c r="AH1132" s="7">
        <f>IF($C1132="","",AG1132-R1132)</f>
        <v/>
      </c>
      <c r="AI1132">
        <f>IF($C1132="","",IF(COUNTIF($C$2:$C1132,$C1132)=1,1,0))</f>
        <v/>
      </c>
      <c r="AJ1132">
        <f>IF($AI1132=1,SUMPRODUCT(--($AL$2:$AL$1501&lt;$AL1132))+1,"")</f>
        <v/>
      </c>
      <c r="AK1132">
        <f>IF($C1132="","",IF(OR($AD1132=TRUE(),$AD1132="TRUE"),0,1))</f>
        <v/>
      </c>
      <c r="AL1132">
        <f>IF($AI1132=1,IFERROR(IF(VALUE($C1132)&lt;100000000,VALUE($C1132),1000000000),IFERROR(IF(VALUE(MID($C1132,2,20))&lt;100000000,VALUE(MID($C1132,2,20)),1000000000),1000000000))+ROW()/100000,"")</f>
        <v/>
      </c>
    </row>
    <row r="1133">
      <c r="J1133" s="7" t="n"/>
      <c r="K1133" s="7" t="n"/>
      <c r="R1133" s="7">
        <f>IF($C1133="","",Q1133*AC1133/100)</f>
        <v/>
      </c>
      <c r="S1133" s="11" t="n"/>
      <c r="U1133" s="11" t="n"/>
      <c r="AA1133" s="7" t="n"/>
      <c r="AC1133" s="7" t="n"/>
      <c r="AE1133">
        <f>IF($C1133="","",IF($AK1133=1,Settings!$C$6,Settings!$C$7)*1)</f>
        <v/>
      </c>
      <c r="AF1133" s="7">
        <f>IF($C1133="","",AE1133*AC1133)</f>
        <v/>
      </c>
      <c r="AG1133" s="7">
        <f>IF($C1133="","",AC1133-AF1133)</f>
        <v/>
      </c>
      <c r="AH1133" s="7">
        <f>IF($C1133="","",AG1133-R1133)</f>
        <v/>
      </c>
      <c r="AI1133">
        <f>IF($C1133="","",IF(COUNTIF($C$2:$C1133,$C1133)=1,1,0))</f>
        <v/>
      </c>
      <c r="AJ1133">
        <f>IF($AI1133=1,SUMPRODUCT(--($AL$2:$AL$1501&lt;$AL1133))+1,"")</f>
        <v/>
      </c>
      <c r="AK1133">
        <f>IF($C1133="","",IF(OR($AD1133=TRUE(),$AD1133="TRUE"),0,1))</f>
        <v/>
      </c>
      <c r="AL1133">
        <f>IF($AI1133=1,IFERROR(IF(VALUE($C1133)&lt;100000000,VALUE($C1133),1000000000),IFERROR(IF(VALUE(MID($C1133,2,20))&lt;100000000,VALUE(MID($C1133,2,20)),1000000000),1000000000))+ROW()/100000,"")</f>
        <v/>
      </c>
    </row>
    <row r="1134">
      <c r="J1134" s="7" t="n"/>
      <c r="K1134" s="7" t="n"/>
      <c r="R1134" s="7">
        <f>IF($C1134="","",Q1134*AC1134/100)</f>
        <v/>
      </c>
      <c r="S1134" s="11" t="n"/>
      <c r="U1134" s="11" t="n"/>
      <c r="AA1134" s="7" t="n"/>
      <c r="AC1134" s="7" t="n"/>
      <c r="AE1134">
        <f>IF($C1134="","",IF($AK1134=1,Settings!$C$6,Settings!$C$7)*1)</f>
        <v/>
      </c>
      <c r="AF1134" s="7">
        <f>IF($C1134="","",AE1134*AC1134)</f>
        <v/>
      </c>
      <c r="AG1134" s="7">
        <f>IF($C1134="","",AC1134-AF1134)</f>
        <v/>
      </c>
      <c r="AH1134" s="7">
        <f>IF($C1134="","",AG1134-R1134)</f>
        <v/>
      </c>
      <c r="AI1134">
        <f>IF($C1134="","",IF(COUNTIF($C$2:$C1134,$C1134)=1,1,0))</f>
        <v/>
      </c>
      <c r="AJ1134">
        <f>IF($AI1134=1,SUMPRODUCT(--($AL$2:$AL$1501&lt;$AL1134))+1,"")</f>
        <v/>
      </c>
      <c r="AK1134">
        <f>IF($C1134="","",IF(OR($AD1134=TRUE(),$AD1134="TRUE"),0,1))</f>
        <v/>
      </c>
      <c r="AL1134">
        <f>IF($AI1134=1,IFERROR(IF(VALUE($C1134)&lt;100000000,VALUE($C1134),1000000000),IFERROR(IF(VALUE(MID($C1134,2,20))&lt;100000000,VALUE(MID($C1134,2,20)),1000000000),1000000000))+ROW()/100000,"")</f>
        <v/>
      </c>
    </row>
    <row r="1135">
      <c r="J1135" s="7" t="n"/>
      <c r="K1135" s="7" t="n"/>
      <c r="R1135" s="7">
        <f>IF($C1135="","",Q1135*AC1135/100)</f>
        <v/>
      </c>
      <c r="S1135" s="11" t="n"/>
      <c r="U1135" s="11" t="n"/>
      <c r="AA1135" s="7" t="n"/>
      <c r="AC1135" s="7" t="n"/>
      <c r="AE1135">
        <f>IF($C1135="","",IF($AK1135=1,Settings!$C$6,Settings!$C$7)*1)</f>
        <v/>
      </c>
      <c r="AF1135" s="7">
        <f>IF($C1135="","",AE1135*AC1135)</f>
        <v/>
      </c>
      <c r="AG1135" s="7">
        <f>IF($C1135="","",AC1135-AF1135)</f>
        <v/>
      </c>
      <c r="AH1135" s="7">
        <f>IF($C1135="","",AG1135-R1135)</f>
        <v/>
      </c>
      <c r="AI1135">
        <f>IF($C1135="","",IF(COUNTIF($C$2:$C1135,$C1135)=1,1,0))</f>
        <v/>
      </c>
      <c r="AJ1135">
        <f>IF($AI1135=1,SUMPRODUCT(--($AL$2:$AL$1501&lt;$AL1135))+1,"")</f>
        <v/>
      </c>
      <c r="AK1135">
        <f>IF($C1135="","",IF(OR($AD1135=TRUE(),$AD1135="TRUE"),0,1))</f>
        <v/>
      </c>
      <c r="AL1135">
        <f>IF($AI1135=1,IFERROR(IF(VALUE($C1135)&lt;100000000,VALUE($C1135),1000000000),IFERROR(IF(VALUE(MID($C1135,2,20))&lt;100000000,VALUE(MID($C1135,2,20)),1000000000),1000000000))+ROW()/100000,"")</f>
        <v/>
      </c>
    </row>
    <row r="1136">
      <c r="J1136" s="7" t="n"/>
      <c r="K1136" s="7" t="n"/>
      <c r="R1136" s="7">
        <f>IF($C1136="","",Q1136*AC1136/100)</f>
        <v/>
      </c>
      <c r="S1136" s="11" t="n"/>
      <c r="U1136" s="11" t="n"/>
      <c r="AA1136" s="7" t="n"/>
      <c r="AC1136" s="7" t="n"/>
      <c r="AE1136">
        <f>IF($C1136="","",IF($AK1136=1,Settings!$C$6,Settings!$C$7)*1)</f>
        <v/>
      </c>
      <c r="AF1136" s="7">
        <f>IF($C1136="","",AE1136*AC1136)</f>
        <v/>
      </c>
      <c r="AG1136" s="7">
        <f>IF($C1136="","",AC1136-AF1136)</f>
        <v/>
      </c>
      <c r="AH1136" s="7">
        <f>IF($C1136="","",AG1136-R1136)</f>
        <v/>
      </c>
      <c r="AI1136">
        <f>IF($C1136="","",IF(COUNTIF($C$2:$C1136,$C1136)=1,1,0))</f>
        <v/>
      </c>
      <c r="AJ1136">
        <f>IF($AI1136=1,SUMPRODUCT(--($AL$2:$AL$1501&lt;$AL1136))+1,"")</f>
        <v/>
      </c>
      <c r="AK1136">
        <f>IF($C1136="","",IF(OR($AD1136=TRUE(),$AD1136="TRUE"),0,1))</f>
        <v/>
      </c>
      <c r="AL1136">
        <f>IF($AI1136=1,IFERROR(IF(VALUE($C1136)&lt;100000000,VALUE($C1136),1000000000),IFERROR(IF(VALUE(MID($C1136,2,20))&lt;100000000,VALUE(MID($C1136,2,20)),1000000000),1000000000))+ROW()/100000,"")</f>
        <v/>
      </c>
    </row>
    <row r="1137">
      <c r="J1137" s="7" t="n"/>
      <c r="K1137" s="7" t="n"/>
      <c r="R1137" s="7">
        <f>IF($C1137="","",Q1137*AC1137/100)</f>
        <v/>
      </c>
      <c r="S1137" s="11" t="n"/>
      <c r="U1137" s="11" t="n"/>
      <c r="AA1137" s="7" t="n"/>
      <c r="AC1137" s="7" t="n"/>
      <c r="AE1137">
        <f>IF($C1137="","",IF($AK1137=1,Settings!$C$6,Settings!$C$7)*1)</f>
        <v/>
      </c>
      <c r="AF1137" s="7">
        <f>IF($C1137="","",AE1137*AC1137)</f>
        <v/>
      </c>
      <c r="AG1137" s="7">
        <f>IF($C1137="","",AC1137-AF1137)</f>
        <v/>
      </c>
      <c r="AH1137" s="7">
        <f>IF($C1137="","",AG1137-R1137)</f>
        <v/>
      </c>
      <c r="AI1137">
        <f>IF($C1137="","",IF(COUNTIF($C$2:$C1137,$C1137)=1,1,0))</f>
        <v/>
      </c>
      <c r="AJ1137">
        <f>IF($AI1137=1,SUMPRODUCT(--($AL$2:$AL$1501&lt;$AL1137))+1,"")</f>
        <v/>
      </c>
      <c r="AK1137">
        <f>IF($C1137="","",IF(OR($AD1137=TRUE(),$AD1137="TRUE"),0,1))</f>
        <v/>
      </c>
      <c r="AL1137">
        <f>IF($AI1137=1,IFERROR(IF(VALUE($C1137)&lt;100000000,VALUE($C1137),1000000000),IFERROR(IF(VALUE(MID($C1137,2,20))&lt;100000000,VALUE(MID($C1137,2,20)),1000000000),1000000000))+ROW()/100000,"")</f>
        <v/>
      </c>
    </row>
    <row r="1138">
      <c r="J1138" s="7" t="n"/>
      <c r="K1138" s="7" t="n"/>
      <c r="R1138" s="7">
        <f>IF($C1138="","",Q1138*AC1138/100)</f>
        <v/>
      </c>
      <c r="S1138" s="11" t="n"/>
      <c r="U1138" s="11" t="n"/>
      <c r="AA1138" s="7" t="n"/>
      <c r="AC1138" s="7" t="n"/>
      <c r="AE1138">
        <f>IF($C1138="","",IF($AK1138=1,Settings!$C$6,Settings!$C$7)*1)</f>
        <v/>
      </c>
      <c r="AF1138" s="7">
        <f>IF($C1138="","",AE1138*AC1138)</f>
        <v/>
      </c>
      <c r="AG1138" s="7">
        <f>IF($C1138="","",AC1138-AF1138)</f>
        <v/>
      </c>
      <c r="AH1138" s="7">
        <f>IF($C1138="","",AG1138-R1138)</f>
        <v/>
      </c>
      <c r="AI1138">
        <f>IF($C1138="","",IF(COUNTIF($C$2:$C1138,$C1138)=1,1,0))</f>
        <v/>
      </c>
      <c r="AJ1138">
        <f>IF($AI1138=1,SUMPRODUCT(--($AL$2:$AL$1501&lt;$AL1138))+1,"")</f>
        <v/>
      </c>
      <c r="AK1138">
        <f>IF($C1138="","",IF(OR($AD1138=TRUE(),$AD1138="TRUE"),0,1))</f>
        <v/>
      </c>
      <c r="AL1138">
        <f>IF($AI1138=1,IFERROR(IF(VALUE($C1138)&lt;100000000,VALUE($C1138),1000000000),IFERROR(IF(VALUE(MID($C1138,2,20))&lt;100000000,VALUE(MID($C1138,2,20)),1000000000),1000000000))+ROW()/100000,"")</f>
        <v/>
      </c>
    </row>
    <row r="1139">
      <c r="J1139" s="7" t="n"/>
      <c r="K1139" s="7" t="n"/>
      <c r="R1139" s="7">
        <f>IF($C1139="","",Q1139*AC1139/100)</f>
        <v/>
      </c>
      <c r="S1139" s="11" t="n"/>
      <c r="U1139" s="11" t="n"/>
      <c r="AA1139" s="7" t="n"/>
      <c r="AC1139" s="7" t="n"/>
      <c r="AE1139">
        <f>IF($C1139="","",IF($AK1139=1,Settings!$C$6,Settings!$C$7)*1)</f>
        <v/>
      </c>
      <c r="AF1139" s="7">
        <f>IF($C1139="","",AE1139*AC1139)</f>
        <v/>
      </c>
      <c r="AG1139" s="7">
        <f>IF($C1139="","",AC1139-AF1139)</f>
        <v/>
      </c>
      <c r="AH1139" s="7">
        <f>IF($C1139="","",AG1139-R1139)</f>
        <v/>
      </c>
      <c r="AI1139">
        <f>IF($C1139="","",IF(COUNTIF($C$2:$C1139,$C1139)=1,1,0))</f>
        <v/>
      </c>
      <c r="AJ1139">
        <f>IF($AI1139=1,SUMPRODUCT(--($AL$2:$AL$1501&lt;$AL1139))+1,"")</f>
        <v/>
      </c>
      <c r="AK1139">
        <f>IF($C1139="","",IF(OR($AD1139=TRUE(),$AD1139="TRUE"),0,1))</f>
        <v/>
      </c>
      <c r="AL1139">
        <f>IF($AI1139=1,IFERROR(IF(VALUE($C1139)&lt;100000000,VALUE($C1139),1000000000),IFERROR(IF(VALUE(MID($C1139,2,20))&lt;100000000,VALUE(MID($C1139,2,20)),1000000000),1000000000))+ROW()/100000,"")</f>
        <v/>
      </c>
    </row>
    <row r="1140">
      <c r="J1140" s="7" t="n"/>
      <c r="K1140" s="7" t="n"/>
      <c r="R1140" s="7">
        <f>IF($C1140="","",Q1140*AC1140/100)</f>
        <v/>
      </c>
      <c r="S1140" s="11" t="n"/>
      <c r="U1140" s="11" t="n"/>
      <c r="AA1140" s="7" t="n"/>
      <c r="AC1140" s="7" t="n"/>
      <c r="AE1140">
        <f>IF($C1140="","",IF($AK1140=1,Settings!$C$6,Settings!$C$7)*1)</f>
        <v/>
      </c>
      <c r="AF1140" s="7">
        <f>IF($C1140="","",AE1140*AC1140)</f>
        <v/>
      </c>
      <c r="AG1140" s="7">
        <f>IF($C1140="","",AC1140-AF1140)</f>
        <v/>
      </c>
      <c r="AH1140" s="7">
        <f>IF($C1140="","",AG1140-R1140)</f>
        <v/>
      </c>
      <c r="AI1140">
        <f>IF($C1140="","",IF(COUNTIF($C$2:$C1140,$C1140)=1,1,0))</f>
        <v/>
      </c>
      <c r="AJ1140">
        <f>IF($AI1140=1,SUMPRODUCT(--($AL$2:$AL$1501&lt;$AL1140))+1,"")</f>
        <v/>
      </c>
      <c r="AK1140">
        <f>IF($C1140="","",IF(OR($AD1140=TRUE(),$AD1140="TRUE"),0,1))</f>
        <v/>
      </c>
      <c r="AL1140">
        <f>IF($AI1140=1,IFERROR(IF(VALUE($C1140)&lt;100000000,VALUE($C1140),1000000000),IFERROR(IF(VALUE(MID($C1140,2,20))&lt;100000000,VALUE(MID($C1140,2,20)),1000000000),1000000000))+ROW()/100000,"")</f>
        <v/>
      </c>
    </row>
    <row r="1141">
      <c r="J1141" s="7" t="n"/>
      <c r="K1141" s="7" t="n"/>
      <c r="R1141" s="7">
        <f>IF($C1141="","",Q1141*AC1141/100)</f>
        <v/>
      </c>
      <c r="S1141" s="11" t="n"/>
      <c r="U1141" s="11" t="n"/>
      <c r="AA1141" s="7" t="n"/>
      <c r="AC1141" s="7" t="n"/>
      <c r="AE1141">
        <f>IF($C1141="","",IF($AK1141=1,Settings!$C$6,Settings!$C$7)*1)</f>
        <v/>
      </c>
      <c r="AF1141" s="7">
        <f>IF($C1141="","",AE1141*AC1141)</f>
        <v/>
      </c>
      <c r="AG1141" s="7">
        <f>IF($C1141="","",AC1141-AF1141)</f>
        <v/>
      </c>
      <c r="AH1141" s="7">
        <f>IF($C1141="","",AG1141-R1141)</f>
        <v/>
      </c>
      <c r="AI1141">
        <f>IF($C1141="","",IF(COUNTIF($C$2:$C1141,$C1141)=1,1,0))</f>
        <v/>
      </c>
      <c r="AJ1141">
        <f>IF($AI1141=1,SUMPRODUCT(--($AL$2:$AL$1501&lt;$AL1141))+1,"")</f>
        <v/>
      </c>
      <c r="AK1141">
        <f>IF($C1141="","",IF(OR($AD1141=TRUE(),$AD1141="TRUE"),0,1))</f>
        <v/>
      </c>
      <c r="AL1141">
        <f>IF($AI1141=1,IFERROR(IF(VALUE($C1141)&lt;100000000,VALUE($C1141),1000000000),IFERROR(IF(VALUE(MID($C1141,2,20))&lt;100000000,VALUE(MID($C1141,2,20)),1000000000),1000000000))+ROW()/100000,"")</f>
        <v/>
      </c>
    </row>
    <row r="1142">
      <c r="J1142" s="7" t="n"/>
      <c r="K1142" s="7" t="n"/>
      <c r="R1142" s="7">
        <f>IF($C1142="","",Q1142*AC1142/100)</f>
        <v/>
      </c>
      <c r="S1142" s="11" t="n"/>
      <c r="U1142" s="11" t="n"/>
      <c r="AA1142" s="7" t="n"/>
      <c r="AC1142" s="7" t="n"/>
      <c r="AE1142">
        <f>IF($C1142="","",IF($AK1142=1,Settings!$C$6,Settings!$C$7)*1)</f>
        <v/>
      </c>
      <c r="AF1142" s="7">
        <f>IF($C1142="","",AE1142*AC1142)</f>
        <v/>
      </c>
      <c r="AG1142" s="7">
        <f>IF($C1142="","",AC1142-AF1142)</f>
        <v/>
      </c>
      <c r="AH1142" s="7">
        <f>IF($C1142="","",AG1142-R1142)</f>
        <v/>
      </c>
      <c r="AI1142">
        <f>IF($C1142="","",IF(COUNTIF($C$2:$C1142,$C1142)=1,1,0))</f>
        <v/>
      </c>
      <c r="AJ1142">
        <f>IF($AI1142=1,SUMPRODUCT(--($AL$2:$AL$1501&lt;$AL1142))+1,"")</f>
        <v/>
      </c>
      <c r="AK1142">
        <f>IF($C1142="","",IF(OR($AD1142=TRUE(),$AD1142="TRUE"),0,1))</f>
        <v/>
      </c>
      <c r="AL1142">
        <f>IF($AI1142=1,IFERROR(IF(VALUE($C1142)&lt;100000000,VALUE($C1142),1000000000),IFERROR(IF(VALUE(MID($C1142,2,20))&lt;100000000,VALUE(MID($C1142,2,20)),1000000000),1000000000))+ROW()/100000,"")</f>
        <v/>
      </c>
    </row>
    <row r="1143">
      <c r="J1143" s="7" t="n"/>
      <c r="K1143" s="7" t="n"/>
      <c r="R1143" s="7">
        <f>IF($C1143="","",Q1143*AC1143/100)</f>
        <v/>
      </c>
      <c r="S1143" s="11" t="n"/>
      <c r="U1143" s="11" t="n"/>
      <c r="AA1143" s="7" t="n"/>
      <c r="AC1143" s="7" t="n"/>
      <c r="AE1143">
        <f>IF($C1143="","",IF($AK1143=1,Settings!$C$6,Settings!$C$7)*1)</f>
        <v/>
      </c>
      <c r="AF1143" s="7">
        <f>IF($C1143="","",AE1143*AC1143)</f>
        <v/>
      </c>
      <c r="AG1143" s="7">
        <f>IF($C1143="","",AC1143-AF1143)</f>
        <v/>
      </c>
      <c r="AH1143" s="7">
        <f>IF($C1143="","",AG1143-R1143)</f>
        <v/>
      </c>
      <c r="AI1143">
        <f>IF($C1143="","",IF(COUNTIF($C$2:$C1143,$C1143)=1,1,0))</f>
        <v/>
      </c>
      <c r="AJ1143">
        <f>IF($AI1143=1,SUMPRODUCT(--($AL$2:$AL$1501&lt;$AL1143))+1,"")</f>
        <v/>
      </c>
      <c r="AK1143">
        <f>IF($C1143="","",IF(OR($AD1143=TRUE(),$AD1143="TRUE"),0,1))</f>
        <v/>
      </c>
      <c r="AL1143">
        <f>IF($AI1143=1,IFERROR(IF(VALUE($C1143)&lt;100000000,VALUE($C1143),1000000000),IFERROR(IF(VALUE(MID($C1143,2,20))&lt;100000000,VALUE(MID($C1143,2,20)),1000000000),1000000000))+ROW()/100000,"")</f>
        <v/>
      </c>
    </row>
    <row r="1144">
      <c r="J1144" s="7" t="n"/>
      <c r="K1144" s="7" t="n"/>
      <c r="R1144" s="7">
        <f>IF($C1144="","",Q1144*AC1144/100)</f>
        <v/>
      </c>
      <c r="S1144" s="11" t="n"/>
      <c r="U1144" s="11" t="n"/>
      <c r="AA1144" s="7" t="n"/>
      <c r="AC1144" s="7" t="n"/>
      <c r="AE1144">
        <f>IF($C1144="","",IF($AK1144=1,Settings!$C$6,Settings!$C$7)*1)</f>
        <v/>
      </c>
      <c r="AF1144" s="7">
        <f>IF($C1144="","",AE1144*AC1144)</f>
        <v/>
      </c>
      <c r="AG1144" s="7">
        <f>IF($C1144="","",AC1144-AF1144)</f>
        <v/>
      </c>
      <c r="AH1144" s="7">
        <f>IF($C1144="","",AG1144-R1144)</f>
        <v/>
      </c>
      <c r="AI1144">
        <f>IF($C1144="","",IF(COUNTIF($C$2:$C1144,$C1144)=1,1,0))</f>
        <v/>
      </c>
      <c r="AJ1144">
        <f>IF($AI1144=1,SUMPRODUCT(--($AL$2:$AL$1501&lt;$AL1144))+1,"")</f>
        <v/>
      </c>
      <c r="AK1144">
        <f>IF($C1144="","",IF(OR($AD1144=TRUE(),$AD1144="TRUE"),0,1))</f>
        <v/>
      </c>
      <c r="AL1144">
        <f>IF($AI1144=1,IFERROR(IF(VALUE($C1144)&lt;100000000,VALUE($C1144),1000000000),IFERROR(IF(VALUE(MID($C1144,2,20))&lt;100000000,VALUE(MID($C1144,2,20)),1000000000),1000000000))+ROW()/100000,"")</f>
        <v/>
      </c>
    </row>
    <row r="1145">
      <c r="J1145" s="7" t="n"/>
      <c r="K1145" s="7" t="n"/>
      <c r="R1145" s="7">
        <f>IF($C1145="","",Q1145*AC1145/100)</f>
        <v/>
      </c>
      <c r="S1145" s="11" t="n"/>
      <c r="U1145" s="11" t="n"/>
      <c r="AA1145" s="7" t="n"/>
      <c r="AC1145" s="7" t="n"/>
      <c r="AE1145">
        <f>IF($C1145="","",IF($AK1145=1,Settings!$C$6,Settings!$C$7)*1)</f>
        <v/>
      </c>
      <c r="AF1145" s="7">
        <f>IF($C1145="","",AE1145*AC1145)</f>
        <v/>
      </c>
      <c r="AG1145" s="7">
        <f>IF($C1145="","",AC1145-AF1145)</f>
        <v/>
      </c>
      <c r="AH1145" s="7">
        <f>IF($C1145="","",AG1145-R1145)</f>
        <v/>
      </c>
      <c r="AI1145">
        <f>IF($C1145="","",IF(COUNTIF($C$2:$C1145,$C1145)=1,1,0))</f>
        <v/>
      </c>
      <c r="AJ1145">
        <f>IF($AI1145=1,SUMPRODUCT(--($AL$2:$AL$1501&lt;$AL1145))+1,"")</f>
        <v/>
      </c>
      <c r="AK1145">
        <f>IF($C1145="","",IF(OR($AD1145=TRUE(),$AD1145="TRUE"),0,1))</f>
        <v/>
      </c>
      <c r="AL1145">
        <f>IF($AI1145=1,IFERROR(IF(VALUE($C1145)&lt;100000000,VALUE($C1145),1000000000),IFERROR(IF(VALUE(MID($C1145,2,20))&lt;100000000,VALUE(MID($C1145,2,20)),1000000000),1000000000))+ROW()/100000,"")</f>
        <v/>
      </c>
    </row>
    <row r="1146">
      <c r="J1146" s="7" t="n"/>
      <c r="K1146" s="7" t="n"/>
      <c r="R1146" s="7">
        <f>IF($C1146="","",Q1146*AC1146/100)</f>
        <v/>
      </c>
      <c r="S1146" s="11" t="n"/>
      <c r="U1146" s="11" t="n"/>
      <c r="AA1146" s="7" t="n"/>
      <c r="AC1146" s="7" t="n"/>
      <c r="AE1146">
        <f>IF($C1146="","",IF($AK1146=1,Settings!$C$6,Settings!$C$7)*1)</f>
        <v/>
      </c>
      <c r="AF1146" s="7">
        <f>IF($C1146="","",AE1146*AC1146)</f>
        <v/>
      </c>
      <c r="AG1146" s="7">
        <f>IF($C1146="","",AC1146-AF1146)</f>
        <v/>
      </c>
      <c r="AH1146" s="7">
        <f>IF($C1146="","",AG1146-R1146)</f>
        <v/>
      </c>
      <c r="AI1146">
        <f>IF($C1146="","",IF(COUNTIF($C$2:$C1146,$C1146)=1,1,0))</f>
        <v/>
      </c>
      <c r="AJ1146">
        <f>IF($AI1146=1,SUMPRODUCT(--($AL$2:$AL$1501&lt;$AL1146))+1,"")</f>
        <v/>
      </c>
      <c r="AK1146">
        <f>IF($C1146="","",IF(OR($AD1146=TRUE(),$AD1146="TRUE"),0,1))</f>
        <v/>
      </c>
      <c r="AL1146">
        <f>IF($AI1146=1,IFERROR(IF(VALUE($C1146)&lt;100000000,VALUE($C1146),1000000000),IFERROR(IF(VALUE(MID($C1146,2,20))&lt;100000000,VALUE(MID($C1146,2,20)),1000000000),1000000000))+ROW()/100000,"")</f>
        <v/>
      </c>
    </row>
    <row r="1147">
      <c r="J1147" s="7" t="n"/>
      <c r="K1147" s="7" t="n"/>
      <c r="R1147" s="7">
        <f>IF($C1147="","",Q1147*AC1147/100)</f>
        <v/>
      </c>
      <c r="S1147" s="11" t="n"/>
      <c r="U1147" s="11" t="n"/>
      <c r="AA1147" s="7" t="n"/>
      <c r="AC1147" s="7" t="n"/>
      <c r="AE1147">
        <f>IF($C1147="","",IF($AK1147=1,Settings!$C$6,Settings!$C$7)*1)</f>
        <v/>
      </c>
      <c r="AF1147" s="7">
        <f>IF($C1147="","",AE1147*AC1147)</f>
        <v/>
      </c>
      <c r="AG1147" s="7">
        <f>IF($C1147="","",AC1147-AF1147)</f>
        <v/>
      </c>
      <c r="AH1147" s="7">
        <f>IF($C1147="","",AG1147-R1147)</f>
        <v/>
      </c>
      <c r="AI1147">
        <f>IF($C1147="","",IF(COUNTIF($C$2:$C1147,$C1147)=1,1,0))</f>
        <v/>
      </c>
      <c r="AJ1147">
        <f>IF($AI1147=1,SUMPRODUCT(--($AL$2:$AL$1501&lt;$AL1147))+1,"")</f>
        <v/>
      </c>
      <c r="AK1147">
        <f>IF($C1147="","",IF(OR($AD1147=TRUE(),$AD1147="TRUE"),0,1))</f>
        <v/>
      </c>
      <c r="AL1147">
        <f>IF($AI1147=1,IFERROR(IF(VALUE($C1147)&lt;100000000,VALUE($C1147),1000000000),IFERROR(IF(VALUE(MID($C1147,2,20))&lt;100000000,VALUE(MID($C1147,2,20)),1000000000),1000000000))+ROW()/100000,"")</f>
        <v/>
      </c>
    </row>
    <row r="1148">
      <c r="J1148" s="7" t="n"/>
      <c r="K1148" s="7" t="n"/>
      <c r="R1148" s="7">
        <f>IF($C1148="","",Q1148*AC1148/100)</f>
        <v/>
      </c>
      <c r="S1148" s="11" t="n"/>
      <c r="U1148" s="11" t="n"/>
      <c r="AA1148" s="7" t="n"/>
      <c r="AC1148" s="7" t="n"/>
      <c r="AE1148">
        <f>IF($C1148="","",IF($AK1148=1,Settings!$C$6,Settings!$C$7)*1)</f>
        <v/>
      </c>
      <c r="AF1148" s="7">
        <f>IF($C1148="","",AE1148*AC1148)</f>
        <v/>
      </c>
      <c r="AG1148" s="7">
        <f>IF($C1148="","",AC1148-AF1148)</f>
        <v/>
      </c>
      <c r="AH1148" s="7">
        <f>IF($C1148="","",AG1148-R1148)</f>
        <v/>
      </c>
      <c r="AI1148">
        <f>IF($C1148="","",IF(COUNTIF($C$2:$C1148,$C1148)=1,1,0))</f>
        <v/>
      </c>
      <c r="AJ1148">
        <f>IF($AI1148=1,SUMPRODUCT(--($AL$2:$AL$1501&lt;$AL1148))+1,"")</f>
        <v/>
      </c>
      <c r="AK1148">
        <f>IF($C1148="","",IF(OR($AD1148=TRUE(),$AD1148="TRUE"),0,1))</f>
        <v/>
      </c>
      <c r="AL1148">
        <f>IF($AI1148=1,IFERROR(IF(VALUE($C1148)&lt;100000000,VALUE($C1148),1000000000),IFERROR(IF(VALUE(MID($C1148,2,20))&lt;100000000,VALUE(MID($C1148,2,20)),1000000000),1000000000))+ROW()/100000,"")</f>
        <v/>
      </c>
    </row>
    <row r="1149">
      <c r="J1149" s="7" t="n"/>
      <c r="K1149" s="7" t="n"/>
      <c r="R1149" s="7">
        <f>IF($C1149="","",Q1149*AC1149/100)</f>
        <v/>
      </c>
      <c r="S1149" s="11" t="n"/>
      <c r="U1149" s="11" t="n"/>
      <c r="AA1149" s="7" t="n"/>
      <c r="AC1149" s="7" t="n"/>
      <c r="AE1149">
        <f>IF($C1149="","",IF($AK1149=1,Settings!$C$6,Settings!$C$7)*1)</f>
        <v/>
      </c>
      <c r="AF1149" s="7">
        <f>IF($C1149="","",AE1149*AC1149)</f>
        <v/>
      </c>
      <c r="AG1149" s="7">
        <f>IF($C1149="","",AC1149-AF1149)</f>
        <v/>
      </c>
      <c r="AH1149" s="7">
        <f>IF($C1149="","",AG1149-R1149)</f>
        <v/>
      </c>
      <c r="AI1149">
        <f>IF($C1149="","",IF(COUNTIF($C$2:$C1149,$C1149)=1,1,0))</f>
        <v/>
      </c>
      <c r="AJ1149">
        <f>IF($AI1149=1,SUMPRODUCT(--($AL$2:$AL$1501&lt;$AL1149))+1,"")</f>
        <v/>
      </c>
      <c r="AK1149">
        <f>IF($C1149="","",IF(OR($AD1149=TRUE(),$AD1149="TRUE"),0,1))</f>
        <v/>
      </c>
      <c r="AL1149">
        <f>IF($AI1149=1,IFERROR(IF(VALUE($C1149)&lt;100000000,VALUE($C1149),1000000000),IFERROR(IF(VALUE(MID($C1149,2,20))&lt;100000000,VALUE(MID($C1149,2,20)),1000000000),1000000000))+ROW()/100000,"")</f>
        <v/>
      </c>
    </row>
    <row r="1150">
      <c r="J1150" s="7" t="n"/>
      <c r="K1150" s="7" t="n"/>
      <c r="R1150" s="7">
        <f>IF($C1150="","",Q1150*AC1150/100)</f>
        <v/>
      </c>
      <c r="S1150" s="11" t="n"/>
      <c r="U1150" s="11" t="n"/>
      <c r="AA1150" s="7" t="n"/>
      <c r="AC1150" s="7" t="n"/>
      <c r="AE1150">
        <f>IF($C1150="","",IF($AK1150=1,Settings!$C$6,Settings!$C$7)*1)</f>
        <v/>
      </c>
      <c r="AF1150" s="7">
        <f>IF($C1150="","",AE1150*AC1150)</f>
        <v/>
      </c>
      <c r="AG1150" s="7">
        <f>IF($C1150="","",AC1150-AF1150)</f>
        <v/>
      </c>
      <c r="AH1150" s="7">
        <f>IF($C1150="","",AG1150-R1150)</f>
        <v/>
      </c>
      <c r="AI1150">
        <f>IF($C1150="","",IF(COUNTIF($C$2:$C1150,$C1150)=1,1,0))</f>
        <v/>
      </c>
      <c r="AJ1150">
        <f>IF($AI1150=1,SUMPRODUCT(--($AL$2:$AL$1501&lt;$AL1150))+1,"")</f>
        <v/>
      </c>
      <c r="AK1150">
        <f>IF($C1150="","",IF(OR($AD1150=TRUE(),$AD1150="TRUE"),0,1))</f>
        <v/>
      </c>
      <c r="AL1150">
        <f>IF($AI1150=1,IFERROR(IF(VALUE($C1150)&lt;100000000,VALUE($C1150),1000000000),IFERROR(IF(VALUE(MID($C1150,2,20))&lt;100000000,VALUE(MID($C1150,2,20)),1000000000),1000000000))+ROW()/100000,"")</f>
        <v/>
      </c>
    </row>
    <row r="1151">
      <c r="J1151" s="7" t="n"/>
      <c r="K1151" s="7" t="n"/>
      <c r="R1151" s="7">
        <f>IF($C1151="","",Q1151*AC1151/100)</f>
        <v/>
      </c>
      <c r="S1151" s="11" t="n"/>
      <c r="U1151" s="11" t="n"/>
      <c r="AA1151" s="7" t="n"/>
      <c r="AC1151" s="7" t="n"/>
      <c r="AE1151">
        <f>IF($C1151="","",IF($AK1151=1,Settings!$C$6,Settings!$C$7)*1)</f>
        <v/>
      </c>
      <c r="AF1151" s="7">
        <f>IF($C1151="","",AE1151*AC1151)</f>
        <v/>
      </c>
      <c r="AG1151" s="7">
        <f>IF($C1151="","",AC1151-AF1151)</f>
        <v/>
      </c>
      <c r="AH1151" s="7">
        <f>IF($C1151="","",AG1151-R1151)</f>
        <v/>
      </c>
      <c r="AI1151">
        <f>IF($C1151="","",IF(COUNTIF($C$2:$C1151,$C1151)=1,1,0))</f>
        <v/>
      </c>
      <c r="AJ1151">
        <f>IF($AI1151=1,SUMPRODUCT(--($AL$2:$AL$1501&lt;$AL1151))+1,"")</f>
        <v/>
      </c>
      <c r="AK1151">
        <f>IF($C1151="","",IF(OR($AD1151=TRUE(),$AD1151="TRUE"),0,1))</f>
        <v/>
      </c>
      <c r="AL1151">
        <f>IF($AI1151=1,IFERROR(IF(VALUE($C1151)&lt;100000000,VALUE($C1151),1000000000),IFERROR(IF(VALUE(MID($C1151,2,20))&lt;100000000,VALUE(MID($C1151,2,20)),1000000000),1000000000))+ROW()/100000,"")</f>
        <v/>
      </c>
    </row>
    <row r="1152">
      <c r="J1152" s="7" t="n"/>
      <c r="K1152" s="7" t="n"/>
      <c r="R1152" s="7">
        <f>IF($C1152="","",Q1152*AC1152/100)</f>
        <v/>
      </c>
      <c r="S1152" s="11" t="n"/>
      <c r="U1152" s="11" t="n"/>
      <c r="AA1152" s="7" t="n"/>
      <c r="AC1152" s="7" t="n"/>
      <c r="AE1152">
        <f>IF($C1152="","",IF($AK1152=1,Settings!$C$6,Settings!$C$7)*1)</f>
        <v/>
      </c>
      <c r="AF1152" s="7">
        <f>IF($C1152="","",AE1152*AC1152)</f>
        <v/>
      </c>
      <c r="AG1152" s="7">
        <f>IF($C1152="","",AC1152-AF1152)</f>
        <v/>
      </c>
      <c r="AH1152" s="7">
        <f>IF($C1152="","",AG1152-R1152)</f>
        <v/>
      </c>
      <c r="AI1152">
        <f>IF($C1152="","",IF(COUNTIF($C$2:$C1152,$C1152)=1,1,0))</f>
        <v/>
      </c>
      <c r="AJ1152">
        <f>IF($AI1152=1,SUMPRODUCT(--($AL$2:$AL$1501&lt;$AL1152))+1,"")</f>
        <v/>
      </c>
      <c r="AK1152">
        <f>IF($C1152="","",IF(OR($AD1152=TRUE(),$AD1152="TRUE"),0,1))</f>
        <v/>
      </c>
      <c r="AL1152">
        <f>IF($AI1152=1,IFERROR(IF(VALUE($C1152)&lt;100000000,VALUE($C1152),1000000000),IFERROR(IF(VALUE(MID($C1152,2,20))&lt;100000000,VALUE(MID($C1152,2,20)),1000000000),1000000000))+ROW()/100000,"")</f>
        <v/>
      </c>
    </row>
    <row r="1153">
      <c r="J1153" s="7" t="n"/>
      <c r="K1153" s="7" t="n"/>
      <c r="R1153" s="7">
        <f>IF($C1153="","",Q1153*AC1153/100)</f>
        <v/>
      </c>
      <c r="S1153" s="11" t="n"/>
      <c r="U1153" s="11" t="n"/>
      <c r="AA1153" s="7" t="n"/>
      <c r="AC1153" s="7" t="n"/>
      <c r="AE1153">
        <f>IF($C1153="","",IF($AK1153=1,Settings!$C$6,Settings!$C$7)*1)</f>
        <v/>
      </c>
      <c r="AF1153" s="7">
        <f>IF($C1153="","",AE1153*AC1153)</f>
        <v/>
      </c>
      <c r="AG1153" s="7">
        <f>IF($C1153="","",AC1153-AF1153)</f>
        <v/>
      </c>
      <c r="AH1153" s="7">
        <f>IF($C1153="","",AG1153-R1153)</f>
        <v/>
      </c>
      <c r="AI1153">
        <f>IF($C1153="","",IF(COUNTIF($C$2:$C1153,$C1153)=1,1,0))</f>
        <v/>
      </c>
      <c r="AJ1153">
        <f>IF($AI1153=1,SUMPRODUCT(--($AL$2:$AL$1501&lt;$AL1153))+1,"")</f>
        <v/>
      </c>
      <c r="AK1153">
        <f>IF($C1153="","",IF(OR($AD1153=TRUE(),$AD1153="TRUE"),0,1))</f>
        <v/>
      </c>
      <c r="AL1153">
        <f>IF($AI1153=1,IFERROR(IF(VALUE($C1153)&lt;100000000,VALUE($C1153),1000000000),IFERROR(IF(VALUE(MID($C1153,2,20))&lt;100000000,VALUE(MID($C1153,2,20)),1000000000),1000000000))+ROW()/100000,"")</f>
        <v/>
      </c>
    </row>
    <row r="1154">
      <c r="J1154" s="7" t="n"/>
      <c r="K1154" s="7" t="n"/>
      <c r="R1154" s="7">
        <f>IF($C1154="","",Q1154*AC1154/100)</f>
        <v/>
      </c>
      <c r="S1154" s="11" t="n"/>
      <c r="U1154" s="11" t="n"/>
      <c r="AA1154" s="7" t="n"/>
      <c r="AC1154" s="7" t="n"/>
      <c r="AE1154">
        <f>IF($C1154="","",IF($AK1154=1,Settings!$C$6,Settings!$C$7)*1)</f>
        <v/>
      </c>
      <c r="AF1154" s="7">
        <f>IF($C1154="","",AE1154*AC1154)</f>
        <v/>
      </c>
      <c r="AG1154" s="7">
        <f>IF($C1154="","",AC1154-AF1154)</f>
        <v/>
      </c>
      <c r="AH1154" s="7">
        <f>IF($C1154="","",AG1154-R1154)</f>
        <v/>
      </c>
      <c r="AI1154">
        <f>IF($C1154="","",IF(COUNTIF($C$2:$C1154,$C1154)=1,1,0))</f>
        <v/>
      </c>
      <c r="AJ1154">
        <f>IF($AI1154=1,SUMPRODUCT(--($AL$2:$AL$1501&lt;$AL1154))+1,"")</f>
        <v/>
      </c>
      <c r="AK1154">
        <f>IF($C1154="","",IF(OR($AD1154=TRUE(),$AD1154="TRUE"),0,1))</f>
        <v/>
      </c>
      <c r="AL1154">
        <f>IF($AI1154=1,IFERROR(IF(VALUE($C1154)&lt;100000000,VALUE($C1154),1000000000),IFERROR(IF(VALUE(MID($C1154,2,20))&lt;100000000,VALUE(MID($C1154,2,20)),1000000000),1000000000))+ROW()/100000,"")</f>
        <v/>
      </c>
    </row>
    <row r="1155">
      <c r="J1155" s="7" t="n"/>
      <c r="K1155" s="7" t="n"/>
      <c r="R1155" s="7">
        <f>IF($C1155="","",Q1155*AC1155/100)</f>
        <v/>
      </c>
      <c r="S1155" s="11" t="n"/>
      <c r="U1155" s="11" t="n"/>
      <c r="AA1155" s="7" t="n"/>
      <c r="AC1155" s="7" t="n"/>
      <c r="AE1155">
        <f>IF($C1155="","",IF($AK1155=1,Settings!$C$6,Settings!$C$7)*1)</f>
        <v/>
      </c>
      <c r="AF1155" s="7">
        <f>IF($C1155="","",AE1155*AC1155)</f>
        <v/>
      </c>
      <c r="AG1155" s="7">
        <f>IF($C1155="","",AC1155-AF1155)</f>
        <v/>
      </c>
      <c r="AH1155" s="7">
        <f>IF($C1155="","",AG1155-R1155)</f>
        <v/>
      </c>
      <c r="AI1155">
        <f>IF($C1155="","",IF(COUNTIF($C$2:$C1155,$C1155)=1,1,0))</f>
        <v/>
      </c>
      <c r="AJ1155">
        <f>IF($AI1155=1,SUMPRODUCT(--($AL$2:$AL$1501&lt;$AL1155))+1,"")</f>
        <v/>
      </c>
      <c r="AK1155">
        <f>IF($C1155="","",IF(OR($AD1155=TRUE(),$AD1155="TRUE"),0,1))</f>
        <v/>
      </c>
      <c r="AL1155">
        <f>IF($AI1155=1,IFERROR(IF(VALUE($C1155)&lt;100000000,VALUE($C1155),1000000000),IFERROR(IF(VALUE(MID($C1155,2,20))&lt;100000000,VALUE(MID($C1155,2,20)),1000000000),1000000000))+ROW()/100000,"")</f>
        <v/>
      </c>
    </row>
    <row r="1156">
      <c r="J1156" s="7" t="n"/>
      <c r="K1156" s="7" t="n"/>
      <c r="R1156" s="7">
        <f>IF($C1156="","",Q1156*AC1156/100)</f>
        <v/>
      </c>
      <c r="S1156" s="11" t="n"/>
      <c r="U1156" s="11" t="n"/>
      <c r="AA1156" s="7" t="n"/>
      <c r="AC1156" s="7" t="n"/>
      <c r="AE1156">
        <f>IF($C1156="","",IF($AK1156=1,Settings!$C$6,Settings!$C$7)*1)</f>
        <v/>
      </c>
      <c r="AF1156" s="7">
        <f>IF($C1156="","",AE1156*AC1156)</f>
        <v/>
      </c>
      <c r="AG1156" s="7">
        <f>IF($C1156="","",AC1156-AF1156)</f>
        <v/>
      </c>
      <c r="AH1156" s="7">
        <f>IF($C1156="","",AG1156-R1156)</f>
        <v/>
      </c>
      <c r="AI1156">
        <f>IF($C1156="","",IF(COUNTIF($C$2:$C1156,$C1156)=1,1,0))</f>
        <v/>
      </c>
      <c r="AJ1156">
        <f>IF($AI1156=1,SUMPRODUCT(--($AL$2:$AL$1501&lt;$AL1156))+1,"")</f>
        <v/>
      </c>
      <c r="AK1156">
        <f>IF($C1156="","",IF(OR($AD1156=TRUE(),$AD1156="TRUE"),0,1))</f>
        <v/>
      </c>
      <c r="AL1156">
        <f>IF($AI1156=1,IFERROR(IF(VALUE($C1156)&lt;100000000,VALUE($C1156),1000000000),IFERROR(IF(VALUE(MID($C1156,2,20))&lt;100000000,VALUE(MID($C1156,2,20)),1000000000),1000000000))+ROW()/100000,"")</f>
        <v/>
      </c>
    </row>
    <row r="1157">
      <c r="J1157" s="7" t="n"/>
      <c r="K1157" s="7" t="n"/>
      <c r="R1157" s="7">
        <f>IF($C1157="","",Q1157*AC1157/100)</f>
        <v/>
      </c>
      <c r="S1157" s="11" t="n"/>
      <c r="U1157" s="11" t="n"/>
      <c r="AA1157" s="7" t="n"/>
      <c r="AC1157" s="7" t="n"/>
      <c r="AE1157">
        <f>IF($C1157="","",IF($AK1157=1,Settings!$C$6,Settings!$C$7)*1)</f>
        <v/>
      </c>
      <c r="AF1157" s="7">
        <f>IF($C1157="","",AE1157*AC1157)</f>
        <v/>
      </c>
      <c r="AG1157" s="7">
        <f>IF($C1157="","",AC1157-AF1157)</f>
        <v/>
      </c>
      <c r="AH1157" s="7">
        <f>IF($C1157="","",AG1157-R1157)</f>
        <v/>
      </c>
      <c r="AI1157">
        <f>IF($C1157="","",IF(COUNTIF($C$2:$C1157,$C1157)=1,1,0))</f>
        <v/>
      </c>
      <c r="AJ1157">
        <f>IF($AI1157=1,SUMPRODUCT(--($AL$2:$AL$1501&lt;$AL1157))+1,"")</f>
        <v/>
      </c>
      <c r="AK1157">
        <f>IF($C1157="","",IF(OR($AD1157=TRUE(),$AD1157="TRUE"),0,1))</f>
        <v/>
      </c>
      <c r="AL1157">
        <f>IF($AI1157=1,IFERROR(IF(VALUE($C1157)&lt;100000000,VALUE($C1157),1000000000),IFERROR(IF(VALUE(MID($C1157,2,20))&lt;100000000,VALUE(MID($C1157,2,20)),1000000000),1000000000))+ROW()/100000,"")</f>
        <v/>
      </c>
    </row>
    <row r="1158">
      <c r="J1158" s="7" t="n"/>
      <c r="K1158" s="7" t="n"/>
      <c r="R1158" s="7">
        <f>IF($C1158="","",Q1158*AC1158/100)</f>
        <v/>
      </c>
      <c r="S1158" s="11" t="n"/>
      <c r="U1158" s="11" t="n"/>
      <c r="AA1158" s="7" t="n"/>
      <c r="AC1158" s="7" t="n"/>
      <c r="AE1158">
        <f>IF($C1158="","",IF($AK1158=1,Settings!$C$6,Settings!$C$7)*1)</f>
        <v/>
      </c>
      <c r="AF1158" s="7">
        <f>IF($C1158="","",AE1158*AC1158)</f>
        <v/>
      </c>
      <c r="AG1158" s="7">
        <f>IF($C1158="","",AC1158-AF1158)</f>
        <v/>
      </c>
      <c r="AH1158" s="7">
        <f>IF($C1158="","",AG1158-R1158)</f>
        <v/>
      </c>
      <c r="AI1158">
        <f>IF($C1158="","",IF(COUNTIF($C$2:$C1158,$C1158)=1,1,0))</f>
        <v/>
      </c>
      <c r="AJ1158">
        <f>IF($AI1158=1,SUMPRODUCT(--($AL$2:$AL$1501&lt;$AL1158))+1,"")</f>
        <v/>
      </c>
      <c r="AK1158">
        <f>IF($C1158="","",IF(OR($AD1158=TRUE(),$AD1158="TRUE"),0,1))</f>
        <v/>
      </c>
      <c r="AL1158">
        <f>IF($AI1158=1,IFERROR(IF(VALUE($C1158)&lt;100000000,VALUE($C1158),1000000000),IFERROR(IF(VALUE(MID($C1158,2,20))&lt;100000000,VALUE(MID($C1158,2,20)),1000000000),1000000000))+ROW()/100000,"")</f>
        <v/>
      </c>
    </row>
    <row r="1159">
      <c r="J1159" s="7" t="n"/>
      <c r="K1159" s="7" t="n"/>
      <c r="R1159" s="7">
        <f>IF($C1159="","",Q1159*AC1159/100)</f>
        <v/>
      </c>
      <c r="S1159" s="11" t="n"/>
      <c r="U1159" s="11" t="n"/>
      <c r="AA1159" s="7" t="n"/>
      <c r="AC1159" s="7" t="n"/>
      <c r="AE1159">
        <f>IF($C1159="","",IF($AK1159=1,Settings!$C$6,Settings!$C$7)*1)</f>
        <v/>
      </c>
      <c r="AF1159" s="7">
        <f>IF($C1159="","",AE1159*AC1159)</f>
        <v/>
      </c>
      <c r="AG1159" s="7">
        <f>IF($C1159="","",AC1159-AF1159)</f>
        <v/>
      </c>
      <c r="AH1159" s="7">
        <f>IF($C1159="","",AG1159-R1159)</f>
        <v/>
      </c>
      <c r="AI1159">
        <f>IF($C1159="","",IF(COUNTIF($C$2:$C1159,$C1159)=1,1,0))</f>
        <v/>
      </c>
      <c r="AJ1159">
        <f>IF($AI1159=1,SUMPRODUCT(--($AL$2:$AL$1501&lt;$AL1159))+1,"")</f>
        <v/>
      </c>
      <c r="AK1159">
        <f>IF($C1159="","",IF(OR($AD1159=TRUE(),$AD1159="TRUE"),0,1))</f>
        <v/>
      </c>
      <c r="AL1159">
        <f>IF($AI1159=1,IFERROR(IF(VALUE($C1159)&lt;100000000,VALUE($C1159),1000000000),IFERROR(IF(VALUE(MID($C1159,2,20))&lt;100000000,VALUE(MID($C1159,2,20)),1000000000),1000000000))+ROW()/100000,"")</f>
        <v/>
      </c>
    </row>
    <row r="1160">
      <c r="J1160" s="7" t="n"/>
      <c r="K1160" s="7" t="n"/>
      <c r="R1160" s="7">
        <f>IF($C1160="","",Q1160*AC1160/100)</f>
        <v/>
      </c>
      <c r="S1160" s="11" t="n"/>
      <c r="U1160" s="11" t="n"/>
      <c r="AA1160" s="7" t="n"/>
      <c r="AC1160" s="7" t="n"/>
      <c r="AE1160">
        <f>IF($C1160="","",IF($AK1160=1,Settings!$C$6,Settings!$C$7)*1)</f>
        <v/>
      </c>
      <c r="AF1160" s="7">
        <f>IF($C1160="","",AE1160*AC1160)</f>
        <v/>
      </c>
      <c r="AG1160" s="7">
        <f>IF($C1160="","",AC1160-AF1160)</f>
        <v/>
      </c>
      <c r="AH1160" s="7">
        <f>IF($C1160="","",AG1160-R1160)</f>
        <v/>
      </c>
      <c r="AI1160">
        <f>IF($C1160="","",IF(COUNTIF($C$2:$C1160,$C1160)=1,1,0))</f>
        <v/>
      </c>
      <c r="AJ1160">
        <f>IF($AI1160=1,SUMPRODUCT(--($AL$2:$AL$1501&lt;$AL1160))+1,"")</f>
        <v/>
      </c>
      <c r="AK1160">
        <f>IF($C1160="","",IF(OR($AD1160=TRUE(),$AD1160="TRUE"),0,1))</f>
        <v/>
      </c>
      <c r="AL1160">
        <f>IF($AI1160=1,IFERROR(IF(VALUE($C1160)&lt;100000000,VALUE($C1160),1000000000),IFERROR(IF(VALUE(MID($C1160,2,20))&lt;100000000,VALUE(MID($C1160,2,20)),1000000000),1000000000))+ROW()/100000,"")</f>
        <v/>
      </c>
    </row>
    <row r="1161">
      <c r="J1161" s="7" t="n"/>
      <c r="K1161" s="7" t="n"/>
      <c r="R1161" s="7">
        <f>IF($C1161="","",Q1161*AC1161/100)</f>
        <v/>
      </c>
      <c r="S1161" s="11" t="n"/>
      <c r="U1161" s="11" t="n"/>
      <c r="AA1161" s="7" t="n"/>
      <c r="AC1161" s="7" t="n"/>
      <c r="AE1161">
        <f>IF($C1161="","",IF($AK1161=1,Settings!$C$6,Settings!$C$7)*1)</f>
        <v/>
      </c>
      <c r="AF1161" s="7">
        <f>IF($C1161="","",AE1161*AC1161)</f>
        <v/>
      </c>
      <c r="AG1161" s="7">
        <f>IF($C1161="","",AC1161-AF1161)</f>
        <v/>
      </c>
      <c r="AH1161" s="7">
        <f>IF($C1161="","",AG1161-R1161)</f>
        <v/>
      </c>
      <c r="AI1161">
        <f>IF($C1161="","",IF(COUNTIF($C$2:$C1161,$C1161)=1,1,0))</f>
        <v/>
      </c>
      <c r="AJ1161">
        <f>IF($AI1161=1,SUMPRODUCT(--($AL$2:$AL$1501&lt;$AL1161))+1,"")</f>
        <v/>
      </c>
      <c r="AK1161">
        <f>IF($C1161="","",IF(OR($AD1161=TRUE(),$AD1161="TRUE"),0,1))</f>
        <v/>
      </c>
      <c r="AL1161">
        <f>IF($AI1161=1,IFERROR(IF(VALUE($C1161)&lt;100000000,VALUE($C1161),1000000000),IFERROR(IF(VALUE(MID($C1161,2,20))&lt;100000000,VALUE(MID($C1161,2,20)),1000000000),1000000000))+ROW()/100000,"")</f>
        <v/>
      </c>
    </row>
    <row r="1162">
      <c r="J1162" s="7" t="n"/>
      <c r="K1162" s="7" t="n"/>
      <c r="R1162" s="7">
        <f>IF($C1162="","",Q1162*AC1162/100)</f>
        <v/>
      </c>
      <c r="S1162" s="11" t="n"/>
      <c r="U1162" s="11" t="n"/>
      <c r="AA1162" s="7" t="n"/>
      <c r="AC1162" s="7" t="n"/>
      <c r="AE1162">
        <f>IF($C1162="","",IF($AK1162=1,Settings!$C$6,Settings!$C$7)*1)</f>
        <v/>
      </c>
      <c r="AF1162" s="7">
        <f>IF($C1162="","",AE1162*AC1162)</f>
        <v/>
      </c>
      <c r="AG1162" s="7">
        <f>IF($C1162="","",AC1162-AF1162)</f>
        <v/>
      </c>
      <c r="AH1162" s="7">
        <f>IF($C1162="","",AG1162-R1162)</f>
        <v/>
      </c>
      <c r="AI1162">
        <f>IF($C1162="","",IF(COUNTIF($C$2:$C1162,$C1162)=1,1,0))</f>
        <v/>
      </c>
      <c r="AJ1162">
        <f>IF($AI1162=1,SUMPRODUCT(--($AL$2:$AL$1501&lt;$AL1162))+1,"")</f>
        <v/>
      </c>
      <c r="AK1162">
        <f>IF($C1162="","",IF(OR($AD1162=TRUE(),$AD1162="TRUE"),0,1))</f>
        <v/>
      </c>
      <c r="AL1162">
        <f>IF($AI1162=1,IFERROR(IF(VALUE($C1162)&lt;100000000,VALUE($C1162),1000000000),IFERROR(IF(VALUE(MID($C1162,2,20))&lt;100000000,VALUE(MID($C1162,2,20)),1000000000),1000000000))+ROW()/100000,"")</f>
        <v/>
      </c>
    </row>
    <row r="1163">
      <c r="J1163" s="7" t="n"/>
      <c r="K1163" s="7" t="n"/>
      <c r="R1163" s="7">
        <f>IF($C1163="","",Q1163*AC1163/100)</f>
        <v/>
      </c>
      <c r="S1163" s="11" t="n"/>
      <c r="U1163" s="11" t="n"/>
      <c r="AA1163" s="7" t="n"/>
      <c r="AC1163" s="7" t="n"/>
      <c r="AE1163">
        <f>IF($C1163="","",IF($AK1163=1,Settings!$C$6,Settings!$C$7)*1)</f>
        <v/>
      </c>
      <c r="AF1163" s="7">
        <f>IF($C1163="","",AE1163*AC1163)</f>
        <v/>
      </c>
      <c r="AG1163" s="7">
        <f>IF($C1163="","",AC1163-AF1163)</f>
        <v/>
      </c>
      <c r="AH1163" s="7">
        <f>IF($C1163="","",AG1163-R1163)</f>
        <v/>
      </c>
      <c r="AI1163">
        <f>IF($C1163="","",IF(COUNTIF($C$2:$C1163,$C1163)=1,1,0))</f>
        <v/>
      </c>
      <c r="AJ1163">
        <f>IF($AI1163=1,SUMPRODUCT(--($AL$2:$AL$1501&lt;$AL1163))+1,"")</f>
        <v/>
      </c>
      <c r="AK1163">
        <f>IF($C1163="","",IF(OR($AD1163=TRUE(),$AD1163="TRUE"),0,1))</f>
        <v/>
      </c>
      <c r="AL1163">
        <f>IF($AI1163=1,IFERROR(IF(VALUE($C1163)&lt;100000000,VALUE($C1163),1000000000),IFERROR(IF(VALUE(MID($C1163,2,20))&lt;100000000,VALUE(MID($C1163,2,20)),1000000000),1000000000))+ROW()/100000,"")</f>
        <v/>
      </c>
    </row>
    <row r="1164">
      <c r="J1164" s="7" t="n"/>
      <c r="K1164" s="7" t="n"/>
      <c r="R1164" s="7">
        <f>IF($C1164="","",Q1164*AC1164/100)</f>
        <v/>
      </c>
      <c r="S1164" s="11" t="n"/>
      <c r="U1164" s="11" t="n"/>
      <c r="AA1164" s="7" t="n"/>
      <c r="AC1164" s="7" t="n"/>
      <c r="AE1164">
        <f>IF($C1164="","",IF($AK1164=1,Settings!$C$6,Settings!$C$7)*1)</f>
        <v/>
      </c>
      <c r="AF1164" s="7">
        <f>IF($C1164="","",AE1164*AC1164)</f>
        <v/>
      </c>
      <c r="AG1164" s="7">
        <f>IF($C1164="","",AC1164-AF1164)</f>
        <v/>
      </c>
      <c r="AH1164" s="7">
        <f>IF($C1164="","",AG1164-R1164)</f>
        <v/>
      </c>
      <c r="AI1164">
        <f>IF($C1164="","",IF(COUNTIF($C$2:$C1164,$C1164)=1,1,0))</f>
        <v/>
      </c>
      <c r="AJ1164">
        <f>IF($AI1164=1,SUMPRODUCT(--($AL$2:$AL$1501&lt;$AL1164))+1,"")</f>
        <v/>
      </c>
      <c r="AK1164">
        <f>IF($C1164="","",IF(OR($AD1164=TRUE(),$AD1164="TRUE"),0,1))</f>
        <v/>
      </c>
      <c r="AL1164">
        <f>IF($AI1164=1,IFERROR(IF(VALUE($C1164)&lt;100000000,VALUE($C1164),1000000000),IFERROR(IF(VALUE(MID($C1164,2,20))&lt;100000000,VALUE(MID($C1164,2,20)),1000000000),1000000000))+ROW()/100000,"")</f>
        <v/>
      </c>
    </row>
    <row r="1165">
      <c r="J1165" s="7" t="n"/>
      <c r="K1165" s="7" t="n"/>
      <c r="R1165" s="7">
        <f>IF($C1165="","",Q1165*AC1165/100)</f>
        <v/>
      </c>
      <c r="S1165" s="11" t="n"/>
      <c r="U1165" s="11" t="n"/>
      <c r="AA1165" s="7" t="n"/>
      <c r="AC1165" s="7" t="n"/>
      <c r="AE1165">
        <f>IF($C1165="","",IF($AK1165=1,Settings!$C$6,Settings!$C$7)*1)</f>
        <v/>
      </c>
      <c r="AF1165" s="7">
        <f>IF($C1165="","",AE1165*AC1165)</f>
        <v/>
      </c>
      <c r="AG1165" s="7">
        <f>IF($C1165="","",AC1165-AF1165)</f>
        <v/>
      </c>
      <c r="AH1165" s="7">
        <f>IF($C1165="","",AG1165-R1165)</f>
        <v/>
      </c>
      <c r="AI1165">
        <f>IF($C1165="","",IF(COUNTIF($C$2:$C1165,$C1165)=1,1,0))</f>
        <v/>
      </c>
      <c r="AJ1165">
        <f>IF($AI1165=1,SUMPRODUCT(--($AL$2:$AL$1501&lt;$AL1165))+1,"")</f>
        <v/>
      </c>
      <c r="AK1165">
        <f>IF($C1165="","",IF(OR($AD1165=TRUE(),$AD1165="TRUE"),0,1))</f>
        <v/>
      </c>
      <c r="AL1165">
        <f>IF($AI1165=1,IFERROR(IF(VALUE($C1165)&lt;100000000,VALUE($C1165),1000000000),IFERROR(IF(VALUE(MID($C1165,2,20))&lt;100000000,VALUE(MID($C1165,2,20)),1000000000),1000000000))+ROW()/100000,"")</f>
        <v/>
      </c>
    </row>
    <row r="1166">
      <c r="J1166" s="7" t="n"/>
      <c r="K1166" s="7" t="n"/>
      <c r="R1166" s="7">
        <f>IF($C1166="","",Q1166*AC1166/100)</f>
        <v/>
      </c>
      <c r="S1166" s="11" t="n"/>
      <c r="U1166" s="11" t="n"/>
      <c r="AA1166" s="7" t="n"/>
      <c r="AC1166" s="7" t="n"/>
      <c r="AE1166">
        <f>IF($C1166="","",IF($AK1166=1,Settings!$C$6,Settings!$C$7)*1)</f>
        <v/>
      </c>
      <c r="AF1166" s="7">
        <f>IF($C1166="","",AE1166*AC1166)</f>
        <v/>
      </c>
      <c r="AG1166" s="7">
        <f>IF($C1166="","",AC1166-AF1166)</f>
        <v/>
      </c>
      <c r="AH1166" s="7">
        <f>IF($C1166="","",AG1166-R1166)</f>
        <v/>
      </c>
      <c r="AI1166">
        <f>IF($C1166="","",IF(COUNTIF($C$2:$C1166,$C1166)=1,1,0))</f>
        <v/>
      </c>
      <c r="AJ1166">
        <f>IF($AI1166=1,SUMPRODUCT(--($AL$2:$AL$1501&lt;$AL1166))+1,"")</f>
        <v/>
      </c>
      <c r="AK1166">
        <f>IF($C1166="","",IF(OR($AD1166=TRUE(),$AD1166="TRUE"),0,1))</f>
        <v/>
      </c>
      <c r="AL1166">
        <f>IF($AI1166=1,IFERROR(IF(VALUE($C1166)&lt;100000000,VALUE($C1166),1000000000),IFERROR(IF(VALUE(MID($C1166,2,20))&lt;100000000,VALUE(MID($C1166,2,20)),1000000000),1000000000))+ROW()/100000,"")</f>
        <v/>
      </c>
    </row>
    <row r="1167">
      <c r="J1167" s="7" t="n"/>
      <c r="K1167" s="7" t="n"/>
      <c r="R1167" s="7">
        <f>IF($C1167="","",Q1167*AC1167/100)</f>
        <v/>
      </c>
      <c r="S1167" s="11" t="n"/>
      <c r="U1167" s="11" t="n"/>
      <c r="AA1167" s="7" t="n"/>
      <c r="AC1167" s="7" t="n"/>
      <c r="AE1167">
        <f>IF($C1167="","",IF($AK1167=1,Settings!$C$6,Settings!$C$7)*1)</f>
        <v/>
      </c>
      <c r="AF1167" s="7">
        <f>IF($C1167="","",AE1167*AC1167)</f>
        <v/>
      </c>
      <c r="AG1167" s="7">
        <f>IF($C1167="","",AC1167-AF1167)</f>
        <v/>
      </c>
      <c r="AH1167" s="7">
        <f>IF($C1167="","",AG1167-R1167)</f>
        <v/>
      </c>
      <c r="AI1167">
        <f>IF($C1167="","",IF(COUNTIF($C$2:$C1167,$C1167)=1,1,0))</f>
        <v/>
      </c>
      <c r="AJ1167">
        <f>IF($AI1167=1,SUMPRODUCT(--($AL$2:$AL$1501&lt;$AL1167))+1,"")</f>
        <v/>
      </c>
      <c r="AK1167">
        <f>IF($C1167="","",IF(OR($AD1167=TRUE(),$AD1167="TRUE"),0,1))</f>
        <v/>
      </c>
      <c r="AL1167">
        <f>IF($AI1167=1,IFERROR(IF(VALUE($C1167)&lt;100000000,VALUE($C1167),1000000000),IFERROR(IF(VALUE(MID($C1167,2,20))&lt;100000000,VALUE(MID($C1167,2,20)),1000000000),1000000000))+ROW()/100000,"")</f>
        <v/>
      </c>
    </row>
    <row r="1168">
      <c r="J1168" s="7" t="n"/>
      <c r="K1168" s="7" t="n"/>
      <c r="R1168" s="7">
        <f>IF($C1168="","",Q1168*AC1168/100)</f>
        <v/>
      </c>
      <c r="S1168" s="11" t="n"/>
      <c r="U1168" s="11" t="n"/>
      <c r="AA1168" s="7" t="n"/>
      <c r="AC1168" s="7" t="n"/>
      <c r="AE1168">
        <f>IF($C1168="","",IF($AK1168=1,Settings!$C$6,Settings!$C$7)*1)</f>
        <v/>
      </c>
      <c r="AF1168" s="7">
        <f>IF($C1168="","",AE1168*AC1168)</f>
        <v/>
      </c>
      <c r="AG1168" s="7">
        <f>IF($C1168="","",AC1168-AF1168)</f>
        <v/>
      </c>
      <c r="AH1168" s="7">
        <f>IF($C1168="","",AG1168-R1168)</f>
        <v/>
      </c>
      <c r="AI1168">
        <f>IF($C1168="","",IF(COUNTIF($C$2:$C1168,$C1168)=1,1,0))</f>
        <v/>
      </c>
      <c r="AJ1168">
        <f>IF($AI1168=1,SUMPRODUCT(--($AL$2:$AL$1501&lt;$AL1168))+1,"")</f>
        <v/>
      </c>
      <c r="AK1168">
        <f>IF($C1168="","",IF(OR($AD1168=TRUE(),$AD1168="TRUE"),0,1))</f>
        <v/>
      </c>
      <c r="AL1168">
        <f>IF($AI1168=1,IFERROR(IF(VALUE($C1168)&lt;100000000,VALUE($C1168),1000000000),IFERROR(IF(VALUE(MID($C1168,2,20))&lt;100000000,VALUE(MID($C1168,2,20)),1000000000),1000000000))+ROW()/100000,"")</f>
        <v/>
      </c>
    </row>
    <row r="1169">
      <c r="J1169" s="7" t="n"/>
      <c r="K1169" s="7" t="n"/>
      <c r="R1169" s="7">
        <f>IF($C1169="","",Q1169*AC1169/100)</f>
        <v/>
      </c>
      <c r="S1169" s="11" t="n"/>
      <c r="U1169" s="11" t="n"/>
      <c r="AA1169" s="7" t="n"/>
      <c r="AC1169" s="7" t="n"/>
      <c r="AE1169">
        <f>IF($C1169="","",IF($AK1169=1,Settings!$C$6,Settings!$C$7)*1)</f>
        <v/>
      </c>
      <c r="AF1169" s="7">
        <f>IF($C1169="","",AE1169*AC1169)</f>
        <v/>
      </c>
      <c r="AG1169" s="7">
        <f>IF($C1169="","",AC1169-AF1169)</f>
        <v/>
      </c>
      <c r="AH1169" s="7">
        <f>IF($C1169="","",AG1169-R1169)</f>
        <v/>
      </c>
      <c r="AI1169">
        <f>IF($C1169="","",IF(COUNTIF($C$2:$C1169,$C1169)=1,1,0))</f>
        <v/>
      </c>
      <c r="AJ1169">
        <f>IF($AI1169=1,SUMPRODUCT(--($AL$2:$AL$1501&lt;$AL1169))+1,"")</f>
        <v/>
      </c>
      <c r="AK1169">
        <f>IF($C1169="","",IF(OR($AD1169=TRUE(),$AD1169="TRUE"),0,1))</f>
        <v/>
      </c>
      <c r="AL1169">
        <f>IF($AI1169=1,IFERROR(IF(VALUE($C1169)&lt;100000000,VALUE($C1169),1000000000),IFERROR(IF(VALUE(MID($C1169,2,20))&lt;100000000,VALUE(MID($C1169,2,20)),1000000000),1000000000))+ROW()/100000,"")</f>
        <v/>
      </c>
    </row>
    <row r="1170">
      <c r="J1170" s="7" t="n"/>
      <c r="K1170" s="7" t="n"/>
      <c r="R1170" s="7">
        <f>IF($C1170="","",Q1170*AC1170/100)</f>
        <v/>
      </c>
      <c r="S1170" s="11" t="n"/>
      <c r="U1170" s="11" t="n"/>
      <c r="AA1170" s="7" t="n"/>
      <c r="AC1170" s="7" t="n"/>
      <c r="AE1170">
        <f>IF($C1170="","",IF($AK1170=1,Settings!$C$6,Settings!$C$7)*1)</f>
        <v/>
      </c>
      <c r="AF1170" s="7">
        <f>IF($C1170="","",AE1170*AC1170)</f>
        <v/>
      </c>
      <c r="AG1170" s="7">
        <f>IF($C1170="","",AC1170-AF1170)</f>
        <v/>
      </c>
      <c r="AH1170" s="7">
        <f>IF($C1170="","",AG1170-R1170)</f>
        <v/>
      </c>
      <c r="AI1170">
        <f>IF($C1170="","",IF(COUNTIF($C$2:$C1170,$C1170)=1,1,0))</f>
        <v/>
      </c>
      <c r="AJ1170">
        <f>IF($AI1170=1,SUMPRODUCT(--($AL$2:$AL$1501&lt;$AL1170))+1,"")</f>
        <v/>
      </c>
      <c r="AK1170">
        <f>IF($C1170="","",IF(OR($AD1170=TRUE(),$AD1170="TRUE"),0,1))</f>
        <v/>
      </c>
      <c r="AL1170">
        <f>IF($AI1170=1,IFERROR(IF(VALUE($C1170)&lt;100000000,VALUE($C1170),1000000000),IFERROR(IF(VALUE(MID($C1170,2,20))&lt;100000000,VALUE(MID($C1170,2,20)),1000000000),1000000000))+ROW()/100000,"")</f>
        <v/>
      </c>
    </row>
    <row r="1171">
      <c r="J1171" s="7" t="n"/>
      <c r="K1171" s="7" t="n"/>
      <c r="R1171" s="7">
        <f>IF($C1171="","",Q1171*AC1171/100)</f>
        <v/>
      </c>
      <c r="S1171" s="11" t="n"/>
      <c r="U1171" s="11" t="n"/>
      <c r="AA1171" s="7" t="n"/>
      <c r="AC1171" s="7" t="n"/>
      <c r="AE1171">
        <f>IF($C1171="","",IF($AK1171=1,Settings!$C$6,Settings!$C$7)*1)</f>
        <v/>
      </c>
      <c r="AF1171" s="7">
        <f>IF($C1171="","",AE1171*AC1171)</f>
        <v/>
      </c>
      <c r="AG1171" s="7">
        <f>IF($C1171="","",AC1171-AF1171)</f>
        <v/>
      </c>
      <c r="AH1171" s="7">
        <f>IF($C1171="","",AG1171-R1171)</f>
        <v/>
      </c>
      <c r="AI1171">
        <f>IF($C1171="","",IF(COUNTIF($C$2:$C1171,$C1171)=1,1,0))</f>
        <v/>
      </c>
      <c r="AJ1171">
        <f>IF($AI1171=1,SUMPRODUCT(--($AL$2:$AL$1501&lt;$AL1171))+1,"")</f>
        <v/>
      </c>
      <c r="AK1171">
        <f>IF($C1171="","",IF(OR($AD1171=TRUE(),$AD1171="TRUE"),0,1))</f>
        <v/>
      </c>
      <c r="AL1171">
        <f>IF($AI1171=1,IFERROR(IF(VALUE($C1171)&lt;100000000,VALUE($C1171),1000000000),IFERROR(IF(VALUE(MID($C1171,2,20))&lt;100000000,VALUE(MID($C1171,2,20)),1000000000),1000000000))+ROW()/100000,"")</f>
        <v/>
      </c>
    </row>
    <row r="1172">
      <c r="J1172" s="7" t="n"/>
      <c r="K1172" s="7" t="n"/>
      <c r="R1172" s="7">
        <f>IF($C1172="","",Q1172*AC1172/100)</f>
        <v/>
      </c>
      <c r="S1172" s="11" t="n"/>
      <c r="U1172" s="11" t="n"/>
      <c r="AA1172" s="7" t="n"/>
      <c r="AC1172" s="7" t="n"/>
      <c r="AE1172">
        <f>IF($C1172="","",IF($AK1172=1,Settings!$C$6,Settings!$C$7)*1)</f>
        <v/>
      </c>
      <c r="AF1172" s="7">
        <f>IF($C1172="","",AE1172*AC1172)</f>
        <v/>
      </c>
      <c r="AG1172" s="7">
        <f>IF($C1172="","",AC1172-AF1172)</f>
        <v/>
      </c>
      <c r="AH1172" s="7">
        <f>IF($C1172="","",AG1172-R1172)</f>
        <v/>
      </c>
      <c r="AI1172">
        <f>IF($C1172="","",IF(COUNTIF($C$2:$C1172,$C1172)=1,1,0))</f>
        <v/>
      </c>
      <c r="AJ1172">
        <f>IF($AI1172=1,SUMPRODUCT(--($AL$2:$AL$1501&lt;$AL1172))+1,"")</f>
        <v/>
      </c>
      <c r="AK1172">
        <f>IF($C1172="","",IF(OR($AD1172=TRUE(),$AD1172="TRUE"),0,1))</f>
        <v/>
      </c>
      <c r="AL1172">
        <f>IF($AI1172=1,IFERROR(IF(VALUE($C1172)&lt;100000000,VALUE($C1172),1000000000),IFERROR(IF(VALUE(MID($C1172,2,20))&lt;100000000,VALUE(MID($C1172,2,20)),1000000000),1000000000))+ROW()/100000,"")</f>
        <v/>
      </c>
    </row>
    <row r="1173">
      <c r="J1173" s="7" t="n"/>
      <c r="K1173" s="7" t="n"/>
      <c r="R1173" s="7">
        <f>IF($C1173="","",Q1173*AC1173/100)</f>
        <v/>
      </c>
      <c r="S1173" s="11" t="n"/>
      <c r="U1173" s="11" t="n"/>
      <c r="AA1173" s="7" t="n"/>
      <c r="AC1173" s="7" t="n"/>
      <c r="AE1173">
        <f>IF($C1173="","",IF($AK1173=1,Settings!$C$6,Settings!$C$7)*1)</f>
        <v/>
      </c>
      <c r="AF1173" s="7">
        <f>IF($C1173="","",AE1173*AC1173)</f>
        <v/>
      </c>
      <c r="AG1173" s="7">
        <f>IF($C1173="","",AC1173-AF1173)</f>
        <v/>
      </c>
      <c r="AH1173" s="7">
        <f>IF($C1173="","",AG1173-R1173)</f>
        <v/>
      </c>
      <c r="AI1173">
        <f>IF($C1173="","",IF(COUNTIF($C$2:$C1173,$C1173)=1,1,0))</f>
        <v/>
      </c>
      <c r="AJ1173">
        <f>IF($AI1173=1,SUMPRODUCT(--($AL$2:$AL$1501&lt;$AL1173))+1,"")</f>
        <v/>
      </c>
      <c r="AK1173">
        <f>IF($C1173="","",IF(OR($AD1173=TRUE(),$AD1173="TRUE"),0,1))</f>
        <v/>
      </c>
      <c r="AL1173">
        <f>IF($AI1173=1,IFERROR(IF(VALUE($C1173)&lt;100000000,VALUE($C1173),1000000000),IFERROR(IF(VALUE(MID($C1173,2,20))&lt;100000000,VALUE(MID($C1173,2,20)),1000000000),1000000000))+ROW()/100000,"")</f>
        <v/>
      </c>
    </row>
    <row r="1174">
      <c r="J1174" s="7" t="n"/>
      <c r="K1174" s="7" t="n"/>
      <c r="R1174" s="7">
        <f>IF($C1174="","",Q1174*AC1174/100)</f>
        <v/>
      </c>
      <c r="S1174" s="11" t="n"/>
      <c r="U1174" s="11" t="n"/>
      <c r="AA1174" s="7" t="n"/>
      <c r="AC1174" s="7" t="n"/>
      <c r="AE1174">
        <f>IF($C1174="","",IF($AK1174=1,Settings!$C$6,Settings!$C$7)*1)</f>
        <v/>
      </c>
      <c r="AF1174" s="7">
        <f>IF($C1174="","",AE1174*AC1174)</f>
        <v/>
      </c>
      <c r="AG1174" s="7">
        <f>IF($C1174="","",AC1174-AF1174)</f>
        <v/>
      </c>
      <c r="AH1174" s="7">
        <f>IF($C1174="","",AG1174-R1174)</f>
        <v/>
      </c>
      <c r="AI1174">
        <f>IF($C1174="","",IF(COUNTIF($C$2:$C1174,$C1174)=1,1,0))</f>
        <v/>
      </c>
      <c r="AJ1174">
        <f>IF($AI1174=1,SUMPRODUCT(--($AL$2:$AL$1501&lt;$AL1174))+1,"")</f>
        <v/>
      </c>
      <c r="AK1174">
        <f>IF($C1174="","",IF(OR($AD1174=TRUE(),$AD1174="TRUE"),0,1))</f>
        <v/>
      </c>
      <c r="AL1174">
        <f>IF($AI1174=1,IFERROR(IF(VALUE($C1174)&lt;100000000,VALUE($C1174),1000000000),IFERROR(IF(VALUE(MID($C1174,2,20))&lt;100000000,VALUE(MID($C1174,2,20)),1000000000),1000000000))+ROW()/100000,"")</f>
        <v/>
      </c>
    </row>
    <row r="1175">
      <c r="J1175" s="7" t="n"/>
      <c r="K1175" s="7" t="n"/>
      <c r="R1175" s="7">
        <f>IF($C1175="","",Q1175*AC1175/100)</f>
        <v/>
      </c>
      <c r="S1175" s="11" t="n"/>
      <c r="U1175" s="11" t="n"/>
      <c r="AA1175" s="7" t="n"/>
      <c r="AC1175" s="7" t="n"/>
      <c r="AE1175">
        <f>IF($C1175="","",IF($AK1175=1,Settings!$C$6,Settings!$C$7)*1)</f>
        <v/>
      </c>
      <c r="AF1175" s="7">
        <f>IF($C1175="","",AE1175*AC1175)</f>
        <v/>
      </c>
      <c r="AG1175" s="7">
        <f>IF($C1175="","",AC1175-AF1175)</f>
        <v/>
      </c>
      <c r="AH1175" s="7">
        <f>IF($C1175="","",AG1175-R1175)</f>
        <v/>
      </c>
      <c r="AI1175">
        <f>IF($C1175="","",IF(COUNTIF($C$2:$C1175,$C1175)=1,1,0))</f>
        <v/>
      </c>
      <c r="AJ1175">
        <f>IF($AI1175=1,SUMPRODUCT(--($AL$2:$AL$1501&lt;$AL1175))+1,"")</f>
        <v/>
      </c>
      <c r="AK1175">
        <f>IF($C1175="","",IF(OR($AD1175=TRUE(),$AD1175="TRUE"),0,1))</f>
        <v/>
      </c>
      <c r="AL1175">
        <f>IF($AI1175=1,IFERROR(IF(VALUE($C1175)&lt;100000000,VALUE($C1175),1000000000),IFERROR(IF(VALUE(MID($C1175,2,20))&lt;100000000,VALUE(MID($C1175,2,20)),1000000000),1000000000))+ROW()/100000,"")</f>
        <v/>
      </c>
    </row>
    <row r="1176">
      <c r="J1176" s="7" t="n"/>
      <c r="K1176" s="7" t="n"/>
      <c r="R1176" s="7">
        <f>IF($C1176="","",Q1176*AC1176/100)</f>
        <v/>
      </c>
      <c r="S1176" s="11" t="n"/>
      <c r="U1176" s="11" t="n"/>
      <c r="AA1176" s="7" t="n"/>
      <c r="AC1176" s="7" t="n"/>
      <c r="AE1176">
        <f>IF($C1176="","",IF($AK1176=1,Settings!$C$6,Settings!$C$7)*1)</f>
        <v/>
      </c>
      <c r="AF1176" s="7">
        <f>IF($C1176="","",AE1176*AC1176)</f>
        <v/>
      </c>
      <c r="AG1176" s="7">
        <f>IF($C1176="","",AC1176-AF1176)</f>
        <v/>
      </c>
      <c r="AH1176" s="7">
        <f>IF($C1176="","",AG1176-R1176)</f>
        <v/>
      </c>
      <c r="AI1176">
        <f>IF($C1176="","",IF(COUNTIF($C$2:$C1176,$C1176)=1,1,0))</f>
        <v/>
      </c>
      <c r="AJ1176">
        <f>IF($AI1176=1,SUMPRODUCT(--($AL$2:$AL$1501&lt;$AL1176))+1,"")</f>
        <v/>
      </c>
      <c r="AK1176">
        <f>IF($C1176="","",IF(OR($AD1176=TRUE(),$AD1176="TRUE"),0,1))</f>
        <v/>
      </c>
      <c r="AL1176">
        <f>IF($AI1176=1,IFERROR(IF(VALUE($C1176)&lt;100000000,VALUE($C1176),1000000000),IFERROR(IF(VALUE(MID($C1176,2,20))&lt;100000000,VALUE(MID($C1176,2,20)),1000000000),1000000000))+ROW()/100000,"")</f>
        <v/>
      </c>
    </row>
    <row r="1177">
      <c r="J1177" s="7" t="n"/>
      <c r="K1177" s="7" t="n"/>
      <c r="R1177" s="7">
        <f>IF($C1177="","",Q1177*AC1177/100)</f>
        <v/>
      </c>
      <c r="S1177" s="11" t="n"/>
      <c r="U1177" s="11" t="n"/>
      <c r="AA1177" s="7" t="n"/>
      <c r="AC1177" s="7" t="n"/>
      <c r="AE1177">
        <f>IF($C1177="","",IF($AK1177=1,Settings!$C$6,Settings!$C$7)*1)</f>
        <v/>
      </c>
      <c r="AF1177" s="7">
        <f>IF($C1177="","",AE1177*AC1177)</f>
        <v/>
      </c>
      <c r="AG1177" s="7">
        <f>IF($C1177="","",AC1177-AF1177)</f>
        <v/>
      </c>
      <c r="AH1177" s="7">
        <f>IF($C1177="","",AG1177-R1177)</f>
        <v/>
      </c>
      <c r="AI1177">
        <f>IF($C1177="","",IF(COUNTIF($C$2:$C1177,$C1177)=1,1,0))</f>
        <v/>
      </c>
      <c r="AJ1177">
        <f>IF($AI1177=1,SUMPRODUCT(--($AL$2:$AL$1501&lt;$AL1177))+1,"")</f>
        <v/>
      </c>
      <c r="AK1177">
        <f>IF($C1177="","",IF(OR($AD1177=TRUE(),$AD1177="TRUE"),0,1))</f>
        <v/>
      </c>
      <c r="AL1177">
        <f>IF($AI1177=1,IFERROR(IF(VALUE($C1177)&lt;100000000,VALUE($C1177),1000000000),IFERROR(IF(VALUE(MID($C1177,2,20))&lt;100000000,VALUE(MID($C1177,2,20)),1000000000),1000000000))+ROW()/100000,"")</f>
        <v/>
      </c>
    </row>
    <row r="1178">
      <c r="J1178" s="7" t="n"/>
      <c r="K1178" s="7" t="n"/>
      <c r="R1178" s="7">
        <f>IF($C1178="","",Q1178*AC1178/100)</f>
        <v/>
      </c>
      <c r="S1178" s="11" t="n"/>
      <c r="U1178" s="11" t="n"/>
      <c r="AA1178" s="7" t="n"/>
      <c r="AC1178" s="7" t="n"/>
      <c r="AE1178">
        <f>IF($C1178="","",IF($AK1178=1,Settings!$C$6,Settings!$C$7)*1)</f>
        <v/>
      </c>
      <c r="AF1178" s="7">
        <f>IF($C1178="","",AE1178*AC1178)</f>
        <v/>
      </c>
      <c r="AG1178" s="7">
        <f>IF($C1178="","",AC1178-AF1178)</f>
        <v/>
      </c>
      <c r="AH1178" s="7">
        <f>IF($C1178="","",AG1178-R1178)</f>
        <v/>
      </c>
      <c r="AI1178">
        <f>IF($C1178="","",IF(COUNTIF($C$2:$C1178,$C1178)=1,1,0))</f>
        <v/>
      </c>
      <c r="AJ1178">
        <f>IF($AI1178=1,SUMPRODUCT(--($AL$2:$AL$1501&lt;$AL1178))+1,"")</f>
        <v/>
      </c>
      <c r="AK1178">
        <f>IF($C1178="","",IF(OR($AD1178=TRUE(),$AD1178="TRUE"),0,1))</f>
        <v/>
      </c>
      <c r="AL1178">
        <f>IF($AI1178=1,IFERROR(IF(VALUE($C1178)&lt;100000000,VALUE($C1178),1000000000),IFERROR(IF(VALUE(MID($C1178,2,20))&lt;100000000,VALUE(MID($C1178,2,20)),1000000000),1000000000))+ROW()/100000,"")</f>
        <v/>
      </c>
    </row>
    <row r="1179">
      <c r="J1179" s="7" t="n"/>
      <c r="K1179" s="7" t="n"/>
      <c r="R1179" s="7">
        <f>IF($C1179="","",Q1179*AC1179/100)</f>
        <v/>
      </c>
      <c r="S1179" s="11" t="n"/>
      <c r="U1179" s="11" t="n"/>
      <c r="AA1179" s="7" t="n"/>
      <c r="AC1179" s="7" t="n"/>
      <c r="AE1179">
        <f>IF($C1179="","",IF($AK1179=1,Settings!$C$6,Settings!$C$7)*1)</f>
        <v/>
      </c>
      <c r="AF1179" s="7">
        <f>IF($C1179="","",AE1179*AC1179)</f>
        <v/>
      </c>
      <c r="AG1179" s="7">
        <f>IF($C1179="","",AC1179-AF1179)</f>
        <v/>
      </c>
      <c r="AH1179" s="7">
        <f>IF($C1179="","",AG1179-R1179)</f>
        <v/>
      </c>
      <c r="AI1179">
        <f>IF($C1179="","",IF(COUNTIF($C$2:$C1179,$C1179)=1,1,0))</f>
        <v/>
      </c>
      <c r="AJ1179">
        <f>IF($AI1179=1,SUMPRODUCT(--($AL$2:$AL$1501&lt;$AL1179))+1,"")</f>
        <v/>
      </c>
      <c r="AK1179">
        <f>IF($C1179="","",IF(OR($AD1179=TRUE(),$AD1179="TRUE"),0,1))</f>
        <v/>
      </c>
      <c r="AL1179">
        <f>IF($AI1179=1,IFERROR(IF(VALUE($C1179)&lt;100000000,VALUE($C1179),1000000000),IFERROR(IF(VALUE(MID($C1179,2,20))&lt;100000000,VALUE(MID($C1179,2,20)),1000000000),1000000000))+ROW()/100000,"")</f>
        <v/>
      </c>
    </row>
    <row r="1180">
      <c r="J1180" s="7" t="n"/>
      <c r="K1180" s="7" t="n"/>
      <c r="R1180" s="7">
        <f>IF($C1180="","",Q1180*AC1180/100)</f>
        <v/>
      </c>
      <c r="S1180" s="11" t="n"/>
      <c r="U1180" s="11" t="n"/>
      <c r="AA1180" s="7" t="n"/>
      <c r="AC1180" s="7" t="n"/>
      <c r="AE1180">
        <f>IF($C1180="","",IF($AK1180=1,Settings!$C$6,Settings!$C$7)*1)</f>
        <v/>
      </c>
      <c r="AF1180" s="7">
        <f>IF($C1180="","",AE1180*AC1180)</f>
        <v/>
      </c>
      <c r="AG1180" s="7">
        <f>IF($C1180="","",AC1180-AF1180)</f>
        <v/>
      </c>
      <c r="AH1180" s="7">
        <f>IF($C1180="","",AG1180-R1180)</f>
        <v/>
      </c>
      <c r="AI1180">
        <f>IF($C1180="","",IF(COUNTIF($C$2:$C1180,$C1180)=1,1,0))</f>
        <v/>
      </c>
      <c r="AJ1180">
        <f>IF($AI1180=1,SUMPRODUCT(--($AL$2:$AL$1501&lt;$AL1180))+1,"")</f>
        <v/>
      </c>
      <c r="AK1180">
        <f>IF($C1180="","",IF(OR($AD1180=TRUE(),$AD1180="TRUE"),0,1))</f>
        <v/>
      </c>
      <c r="AL1180">
        <f>IF($AI1180=1,IFERROR(IF(VALUE($C1180)&lt;100000000,VALUE($C1180),1000000000),IFERROR(IF(VALUE(MID($C1180,2,20))&lt;100000000,VALUE(MID($C1180,2,20)),1000000000),1000000000))+ROW()/100000,"")</f>
        <v/>
      </c>
    </row>
    <row r="1181">
      <c r="J1181" s="7" t="n"/>
      <c r="K1181" s="7" t="n"/>
      <c r="R1181" s="7">
        <f>IF($C1181="","",Q1181*AC1181/100)</f>
        <v/>
      </c>
      <c r="S1181" s="11" t="n"/>
      <c r="U1181" s="11" t="n"/>
      <c r="AA1181" s="7" t="n"/>
      <c r="AC1181" s="7" t="n"/>
      <c r="AE1181">
        <f>IF($C1181="","",IF($AK1181=1,Settings!$C$6,Settings!$C$7)*1)</f>
        <v/>
      </c>
      <c r="AF1181" s="7">
        <f>IF($C1181="","",AE1181*AC1181)</f>
        <v/>
      </c>
      <c r="AG1181" s="7">
        <f>IF($C1181="","",AC1181-AF1181)</f>
        <v/>
      </c>
      <c r="AH1181" s="7">
        <f>IF($C1181="","",AG1181-R1181)</f>
        <v/>
      </c>
      <c r="AI1181">
        <f>IF($C1181="","",IF(COUNTIF($C$2:$C1181,$C1181)=1,1,0))</f>
        <v/>
      </c>
      <c r="AJ1181">
        <f>IF($AI1181=1,SUMPRODUCT(--($AL$2:$AL$1501&lt;$AL1181))+1,"")</f>
        <v/>
      </c>
      <c r="AK1181">
        <f>IF($C1181="","",IF(OR($AD1181=TRUE(),$AD1181="TRUE"),0,1))</f>
        <v/>
      </c>
      <c r="AL1181">
        <f>IF($AI1181=1,IFERROR(IF(VALUE($C1181)&lt;100000000,VALUE($C1181),1000000000),IFERROR(IF(VALUE(MID($C1181,2,20))&lt;100000000,VALUE(MID($C1181,2,20)),1000000000),1000000000))+ROW()/100000,"")</f>
        <v/>
      </c>
    </row>
    <row r="1182">
      <c r="J1182" s="7" t="n"/>
      <c r="K1182" s="7" t="n"/>
      <c r="R1182" s="7">
        <f>IF($C1182="","",Q1182*AC1182/100)</f>
        <v/>
      </c>
      <c r="S1182" s="11" t="n"/>
      <c r="U1182" s="11" t="n"/>
      <c r="AA1182" s="7" t="n"/>
      <c r="AC1182" s="7" t="n"/>
      <c r="AE1182">
        <f>IF($C1182="","",IF($AK1182=1,Settings!$C$6,Settings!$C$7)*1)</f>
        <v/>
      </c>
      <c r="AF1182" s="7">
        <f>IF($C1182="","",AE1182*AC1182)</f>
        <v/>
      </c>
      <c r="AG1182" s="7">
        <f>IF($C1182="","",AC1182-AF1182)</f>
        <v/>
      </c>
      <c r="AH1182" s="7">
        <f>IF($C1182="","",AG1182-R1182)</f>
        <v/>
      </c>
      <c r="AI1182">
        <f>IF($C1182="","",IF(COUNTIF($C$2:$C1182,$C1182)=1,1,0))</f>
        <v/>
      </c>
      <c r="AJ1182">
        <f>IF($AI1182=1,SUMPRODUCT(--($AL$2:$AL$1501&lt;$AL1182))+1,"")</f>
        <v/>
      </c>
      <c r="AK1182">
        <f>IF($C1182="","",IF(OR($AD1182=TRUE(),$AD1182="TRUE"),0,1))</f>
        <v/>
      </c>
      <c r="AL1182">
        <f>IF($AI1182=1,IFERROR(IF(VALUE($C1182)&lt;100000000,VALUE($C1182),1000000000),IFERROR(IF(VALUE(MID($C1182,2,20))&lt;100000000,VALUE(MID($C1182,2,20)),1000000000),1000000000))+ROW()/100000,"")</f>
        <v/>
      </c>
    </row>
    <row r="1183">
      <c r="J1183" s="7" t="n"/>
      <c r="K1183" s="7" t="n"/>
      <c r="R1183" s="7">
        <f>IF($C1183="","",Q1183*AC1183/100)</f>
        <v/>
      </c>
      <c r="S1183" s="11" t="n"/>
      <c r="U1183" s="11" t="n"/>
      <c r="AA1183" s="7" t="n"/>
      <c r="AC1183" s="7" t="n"/>
      <c r="AE1183">
        <f>IF($C1183="","",IF($AK1183=1,Settings!$C$6,Settings!$C$7)*1)</f>
        <v/>
      </c>
      <c r="AF1183" s="7">
        <f>IF($C1183="","",AE1183*AC1183)</f>
        <v/>
      </c>
      <c r="AG1183" s="7">
        <f>IF($C1183="","",AC1183-AF1183)</f>
        <v/>
      </c>
      <c r="AH1183" s="7">
        <f>IF($C1183="","",AG1183-R1183)</f>
        <v/>
      </c>
      <c r="AI1183">
        <f>IF($C1183="","",IF(COUNTIF($C$2:$C1183,$C1183)=1,1,0))</f>
        <v/>
      </c>
      <c r="AJ1183">
        <f>IF($AI1183=1,SUMPRODUCT(--($AL$2:$AL$1501&lt;$AL1183))+1,"")</f>
        <v/>
      </c>
      <c r="AK1183">
        <f>IF($C1183="","",IF(OR($AD1183=TRUE(),$AD1183="TRUE"),0,1))</f>
        <v/>
      </c>
      <c r="AL1183">
        <f>IF($AI1183=1,IFERROR(IF(VALUE($C1183)&lt;100000000,VALUE($C1183),1000000000),IFERROR(IF(VALUE(MID($C1183,2,20))&lt;100000000,VALUE(MID($C1183,2,20)),1000000000),1000000000))+ROW()/100000,"")</f>
        <v/>
      </c>
    </row>
    <row r="1184">
      <c r="J1184" s="7" t="n"/>
      <c r="K1184" s="7" t="n"/>
      <c r="R1184" s="7">
        <f>IF($C1184="","",Q1184*AC1184/100)</f>
        <v/>
      </c>
      <c r="S1184" s="11" t="n"/>
      <c r="U1184" s="11" t="n"/>
      <c r="AA1184" s="7" t="n"/>
      <c r="AC1184" s="7" t="n"/>
      <c r="AE1184">
        <f>IF($C1184="","",IF($AK1184=1,Settings!$C$6,Settings!$C$7)*1)</f>
        <v/>
      </c>
      <c r="AF1184" s="7">
        <f>IF($C1184="","",AE1184*AC1184)</f>
        <v/>
      </c>
      <c r="AG1184" s="7">
        <f>IF($C1184="","",AC1184-AF1184)</f>
        <v/>
      </c>
      <c r="AH1184" s="7">
        <f>IF($C1184="","",AG1184-R1184)</f>
        <v/>
      </c>
      <c r="AI1184">
        <f>IF($C1184="","",IF(COUNTIF($C$2:$C1184,$C1184)=1,1,0))</f>
        <v/>
      </c>
      <c r="AJ1184">
        <f>IF($AI1184=1,SUMPRODUCT(--($AL$2:$AL$1501&lt;$AL1184))+1,"")</f>
        <v/>
      </c>
      <c r="AK1184">
        <f>IF($C1184="","",IF(OR($AD1184=TRUE(),$AD1184="TRUE"),0,1))</f>
        <v/>
      </c>
      <c r="AL1184">
        <f>IF($AI1184=1,IFERROR(IF(VALUE($C1184)&lt;100000000,VALUE($C1184),1000000000),IFERROR(IF(VALUE(MID($C1184,2,20))&lt;100000000,VALUE(MID($C1184,2,20)),1000000000),1000000000))+ROW()/100000,"")</f>
        <v/>
      </c>
    </row>
    <row r="1185">
      <c r="J1185" s="7" t="n"/>
      <c r="K1185" s="7" t="n"/>
      <c r="R1185" s="7">
        <f>IF($C1185="","",Q1185*AC1185/100)</f>
        <v/>
      </c>
      <c r="S1185" s="11" t="n"/>
      <c r="U1185" s="11" t="n"/>
      <c r="AA1185" s="7" t="n"/>
      <c r="AC1185" s="7" t="n"/>
      <c r="AE1185">
        <f>IF($C1185="","",IF($AK1185=1,Settings!$C$6,Settings!$C$7)*1)</f>
        <v/>
      </c>
      <c r="AF1185" s="7">
        <f>IF($C1185="","",AE1185*AC1185)</f>
        <v/>
      </c>
      <c r="AG1185" s="7">
        <f>IF($C1185="","",AC1185-AF1185)</f>
        <v/>
      </c>
      <c r="AH1185" s="7">
        <f>IF($C1185="","",AG1185-R1185)</f>
        <v/>
      </c>
      <c r="AI1185">
        <f>IF($C1185="","",IF(COUNTIF($C$2:$C1185,$C1185)=1,1,0))</f>
        <v/>
      </c>
      <c r="AJ1185">
        <f>IF($AI1185=1,SUMPRODUCT(--($AL$2:$AL$1501&lt;$AL1185))+1,"")</f>
        <v/>
      </c>
      <c r="AK1185">
        <f>IF($C1185="","",IF(OR($AD1185=TRUE(),$AD1185="TRUE"),0,1))</f>
        <v/>
      </c>
      <c r="AL1185">
        <f>IF($AI1185=1,IFERROR(IF(VALUE($C1185)&lt;100000000,VALUE($C1185),1000000000),IFERROR(IF(VALUE(MID($C1185,2,20))&lt;100000000,VALUE(MID($C1185,2,20)),1000000000),1000000000))+ROW()/100000,"")</f>
        <v/>
      </c>
    </row>
    <row r="1186">
      <c r="J1186" s="7" t="n"/>
      <c r="K1186" s="7" t="n"/>
      <c r="R1186" s="7">
        <f>IF($C1186="","",Q1186*AC1186/100)</f>
        <v/>
      </c>
      <c r="S1186" s="11" t="n"/>
      <c r="U1186" s="11" t="n"/>
      <c r="AA1186" s="7" t="n"/>
      <c r="AC1186" s="7" t="n"/>
      <c r="AE1186">
        <f>IF($C1186="","",IF($AK1186=1,Settings!$C$6,Settings!$C$7)*1)</f>
        <v/>
      </c>
      <c r="AF1186" s="7">
        <f>IF($C1186="","",AE1186*AC1186)</f>
        <v/>
      </c>
      <c r="AG1186" s="7">
        <f>IF($C1186="","",AC1186-AF1186)</f>
        <v/>
      </c>
      <c r="AH1186" s="7">
        <f>IF($C1186="","",AG1186-R1186)</f>
        <v/>
      </c>
      <c r="AI1186">
        <f>IF($C1186="","",IF(COUNTIF($C$2:$C1186,$C1186)=1,1,0))</f>
        <v/>
      </c>
      <c r="AJ1186">
        <f>IF($AI1186=1,SUMPRODUCT(--($AL$2:$AL$1501&lt;$AL1186))+1,"")</f>
        <v/>
      </c>
      <c r="AK1186">
        <f>IF($C1186="","",IF(OR($AD1186=TRUE(),$AD1186="TRUE"),0,1))</f>
        <v/>
      </c>
      <c r="AL1186">
        <f>IF($AI1186=1,IFERROR(IF(VALUE($C1186)&lt;100000000,VALUE($C1186),1000000000),IFERROR(IF(VALUE(MID($C1186,2,20))&lt;100000000,VALUE(MID($C1186,2,20)),1000000000),1000000000))+ROW()/100000,"")</f>
        <v/>
      </c>
    </row>
    <row r="1187">
      <c r="J1187" s="7" t="n"/>
      <c r="K1187" s="7" t="n"/>
      <c r="R1187" s="7">
        <f>IF($C1187="","",Q1187*AC1187/100)</f>
        <v/>
      </c>
      <c r="S1187" s="11" t="n"/>
      <c r="U1187" s="11" t="n"/>
      <c r="AA1187" s="7" t="n"/>
      <c r="AC1187" s="7" t="n"/>
      <c r="AE1187">
        <f>IF($C1187="","",IF($AK1187=1,Settings!$C$6,Settings!$C$7)*1)</f>
        <v/>
      </c>
      <c r="AF1187" s="7">
        <f>IF($C1187="","",AE1187*AC1187)</f>
        <v/>
      </c>
      <c r="AG1187" s="7">
        <f>IF($C1187="","",AC1187-AF1187)</f>
        <v/>
      </c>
      <c r="AH1187" s="7">
        <f>IF($C1187="","",AG1187-R1187)</f>
        <v/>
      </c>
      <c r="AI1187">
        <f>IF($C1187="","",IF(COUNTIF($C$2:$C1187,$C1187)=1,1,0))</f>
        <v/>
      </c>
      <c r="AJ1187">
        <f>IF($AI1187=1,SUMPRODUCT(--($AL$2:$AL$1501&lt;$AL1187))+1,"")</f>
        <v/>
      </c>
      <c r="AK1187">
        <f>IF($C1187="","",IF(OR($AD1187=TRUE(),$AD1187="TRUE"),0,1))</f>
        <v/>
      </c>
      <c r="AL1187">
        <f>IF($AI1187=1,IFERROR(IF(VALUE($C1187)&lt;100000000,VALUE($C1187),1000000000),IFERROR(IF(VALUE(MID($C1187,2,20))&lt;100000000,VALUE(MID($C1187,2,20)),1000000000),1000000000))+ROW()/100000,"")</f>
        <v/>
      </c>
    </row>
    <row r="1188">
      <c r="J1188" s="7" t="n"/>
      <c r="K1188" s="7" t="n"/>
      <c r="R1188" s="7">
        <f>IF($C1188="","",Q1188*AC1188/100)</f>
        <v/>
      </c>
      <c r="S1188" s="11" t="n"/>
      <c r="U1188" s="11" t="n"/>
      <c r="AA1188" s="7" t="n"/>
      <c r="AC1188" s="7" t="n"/>
      <c r="AE1188">
        <f>IF($C1188="","",IF($AK1188=1,Settings!$C$6,Settings!$C$7)*1)</f>
        <v/>
      </c>
      <c r="AF1188" s="7">
        <f>IF($C1188="","",AE1188*AC1188)</f>
        <v/>
      </c>
      <c r="AG1188" s="7">
        <f>IF($C1188="","",AC1188-AF1188)</f>
        <v/>
      </c>
      <c r="AH1188" s="7">
        <f>IF($C1188="","",AG1188-R1188)</f>
        <v/>
      </c>
      <c r="AI1188">
        <f>IF($C1188="","",IF(COUNTIF($C$2:$C1188,$C1188)=1,1,0))</f>
        <v/>
      </c>
      <c r="AJ1188">
        <f>IF($AI1188=1,SUMPRODUCT(--($AL$2:$AL$1501&lt;$AL1188))+1,"")</f>
        <v/>
      </c>
      <c r="AK1188">
        <f>IF($C1188="","",IF(OR($AD1188=TRUE(),$AD1188="TRUE"),0,1))</f>
        <v/>
      </c>
      <c r="AL1188">
        <f>IF($AI1188=1,IFERROR(IF(VALUE($C1188)&lt;100000000,VALUE($C1188),1000000000),IFERROR(IF(VALUE(MID($C1188,2,20))&lt;100000000,VALUE(MID($C1188,2,20)),1000000000),1000000000))+ROW()/100000,"")</f>
        <v/>
      </c>
    </row>
    <row r="1189">
      <c r="J1189" s="7" t="n"/>
      <c r="K1189" s="7" t="n"/>
      <c r="R1189" s="7">
        <f>IF($C1189="","",Q1189*AC1189/100)</f>
        <v/>
      </c>
      <c r="S1189" s="11" t="n"/>
      <c r="U1189" s="11" t="n"/>
      <c r="AA1189" s="7" t="n"/>
      <c r="AC1189" s="7" t="n"/>
      <c r="AE1189">
        <f>IF($C1189="","",IF($AK1189=1,Settings!$C$6,Settings!$C$7)*1)</f>
        <v/>
      </c>
      <c r="AF1189" s="7">
        <f>IF($C1189="","",AE1189*AC1189)</f>
        <v/>
      </c>
      <c r="AG1189" s="7">
        <f>IF($C1189="","",AC1189-AF1189)</f>
        <v/>
      </c>
      <c r="AH1189" s="7">
        <f>IF($C1189="","",AG1189-R1189)</f>
        <v/>
      </c>
      <c r="AI1189">
        <f>IF($C1189="","",IF(COUNTIF($C$2:$C1189,$C1189)=1,1,0))</f>
        <v/>
      </c>
      <c r="AJ1189">
        <f>IF($AI1189=1,SUMPRODUCT(--($AL$2:$AL$1501&lt;$AL1189))+1,"")</f>
        <v/>
      </c>
      <c r="AK1189">
        <f>IF($C1189="","",IF(OR($AD1189=TRUE(),$AD1189="TRUE"),0,1))</f>
        <v/>
      </c>
      <c r="AL1189">
        <f>IF($AI1189=1,IFERROR(IF(VALUE($C1189)&lt;100000000,VALUE($C1189),1000000000),IFERROR(IF(VALUE(MID($C1189,2,20))&lt;100000000,VALUE(MID($C1189,2,20)),1000000000),1000000000))+ROW()/100000,"")</f>
        <v/>
      </c>
    </row>
    <row r="1190">
      <c r="J1190" s="7" t="n"/>
      <c r="K1190" s="7" t="n"/>
      <c r="R1190" s="7">
        <f>IF($C1190="","",Q1190*AC1190/100)</f>
        <v/>
      </c>
      <c r="S1190" s="11" t="n"/>
      <c r="U1190" s="11" t="n"/>
      <c r="AA1190" s="7" t="n"/>
      <c r="AC1190" s="7" t="n"/>
      <c r="AE1190">
        <f>IF($C1190="","",IF($AK1190=1,Settings!$C$6,Settings!$C$7)*1)</f>
        <v/>
      </c>
      <c r="AF1190" s="7">
        <f>IF($C1190="","",AE1190*AC1190)</f>
        <v/>
      </c>
      <c r="AG1190" s="7">
        <f>IF($C1190="","",AC1190-AF1190)</f>
        <v/>
      </c>
      <c r="AH1190" s="7">
        <f>IF($C1190="","",AG1190-R1190)</f>
        <v/>
      </c>
      <c r="AI1190">
        <f>IF($C1190="","",IF(COUNTIF($C$2:$C1190,$C1190)=1,1,0))</f>
        <v/>
      </c>
      <c r="AJ1190">
        <f>IF($AI1190=1,SUMPRODUCT(--($AL$2:$AL$1501&lt;$AL1190))+1,"")</f>
        <v/>
      </c>
      <c r="AK1190">
        <f>IF($C1190="","",IF(OR($AD1190=TRUE(),$AD1190="TRUE"),0,1))</f>
        <v/>
      </c>
      <c r="AL1190">
        <f>IF($AI1190=1,IFERROR(IF(VALUE($C1190)&lt;100000000,VALUE($C1190),1000000000),IFERROR(IF(VALUE(MID($C1190,2,20))&lt;100000000,VALUE(MID($C1190,2,20)),1000000000),1000000000))+ROW()/100000,"")</f>
        <v/>
      </c>
    </row>
    <row r="1191">
      <c r="J1191" s="7" t="n"/>
      <c r="K1191" s="7" t="n"/>
      <c r="R1191" s="7">
        <f>IF($C1191="","",Q1191*AC1191/100)</f>
        <v/>
      </c>
      <c r="S1191" s="11" t="n"/>
      <c r="U1191" s="11" t="n"/>
      <c r="AA1191" s="7" t="n"/>
      <c r="AC1191" s="7" t="n"/>
      <c r="AE1191">
        <f>IF($C1191="","",IF($AK1191=1,Settings!$C$6,Settings!$C$7)*1)</f>
        <v/>
      </c>
      <c r="AF1191" s="7">
        <f>IF($C1191="","",AE1191*AC1191)</f>
        <v/>
      </c>
      <c r="AG1191" s="7">
        <f>IF($C1191="","",AC1191-AF1191)</f>
        <v/>
      </c>
      <c r="AH1191" s="7">
        <f>IF($C1191="","",AG1191-R1191)</f>
        <v/>
      </c>
      <c r="AI1191">
        <f>IF($C1191="","",IF(COUNTIF($C$2:$C1191,$C1191)=1,1,0))</f>
        <v/>
      </c>
      <c r="AJ1191">
        <f>IF($AI1191=1,SUMPRODUCT(--($AL$2:$AL$1501&lt;$AL1191))+1,"")</f>
        <v/>
      </c>
      <c r="AK1191">
        <f>IF($C1191="","",IF(OR($AD1191=TRUE(),$AD1191="TRUE"),0,1))</f>
        <v/>
      </c>
      <c r="AL1191">
        <f>IF($AI1191=1,IFERROR(IF(VALUE($C1191)&lt;100000000,VALUE($C1191),1000000000),IFERROR(IF(VALUE(MID($C1191,2,20))&lt;100000000,VALUE(MID($C1191,2,20)),1000000000),1000000000))+ROW()/100000,"")</f>
        <v/>
      </c>
    </row>
    <row r="1192">
      <c r="J1192" s="7" t="n"/>
      <c r="K1192" s="7" t="n"/>
      <c r="R1192" s="7">
        <f>IF($C1192="","",Q1192*AC1192/100)</f>
        <v/>
      </c>
      <c r="S1192" s="11" t="n"/>
      <c r="U1192" s="11" t="n"/>
      <c r="AA1192" s="7" t="n"/>
      <c r="AC1192" s="7" t="n"/>
      <c r="AE1192">
        <f>IF($C1192="","",IF($AK1192=1,Settings!$C$6,Settings!$C$7)*1)</f>
        <v/>
      </c>
      <c r="AF1192" s="7">
        <f>IF($C1192="","",AE1192*AC1192)</f>
        <v/>
      </c>
      <c r="AG1192" s="7">
        <f>IF($C1192="","",AC1192-AF1192)</f>
        <v/>
      </c>
      <c r="AH1192" s="7">
        <f>IF($C1192="","",AG1192-R1192)</f>
        <v/>
      </c>
      <c r="AI1192">
        <f>IF($C1192="","",IF(COUNTIF($C$2:$C1192,$C1192)=1,1,0))</f>
        <v/>
      </c>
      <c r="AJ1192">
        <f>IF($AI1192=1,SUMPRODUCT(--($AL$2:$AL$1501&lt;$AL1192))+1,"")</f>
        <v/>
      </c>
      <c r="AK1192">
        <f>IF($C1192="","",IF(OR($AD1192=TRUE(),$AD1192="TRUE"),0,1))</f>
        <v/>
      </c>
      <c r="AL1192">
        <f>IF($AI1192=1,IFERROR(IF(VALUE($C1192)&lt;100000000,VALUE($C1192),1000000000),IFERROR(IF(VALUE(MID($C1192,2,20))&lt;100000000,VALUE(MID($C1192,2,20)),1000000000),1000000000))+ROW()/100000,"")</f>
        <v/>
      </c>
    </row>
    <row r="1193">
      <c r="J1193" s="7" t="n"/>
      <c r="K1193" s="7" t="n"/>
      <c r="R1193" s="7">
        <f>IF($C1193="","",Q1193*AC1193/100)</f>
        <v/>
      </c>
      <c r="S1193" s="11" t="n"/>
      <c r="U1193" s="11" t="n"/>
      <c r="AA1193" s="7" t="n"/>
      <c r="AC1193" s="7" t="n"/>
      <c r="AE1193">
        <f>IF($C1193="","",IF($AK1193=1,Settings!$C$6,Settings!$C$7)*1)</f>
        <v/>
      </c>
      <c r="AF1193" s="7">
        <f>IF($C1193="","",AE1193*AC1193)</f>
        <v/>
      </c>
      <c r="AG1193" s="7">
        <f>IF($C1193="","",AC1193-AF1193)</f>
        <v/>
      </c>
      <c r="AH1193" s="7">
        <f>IF($C1193="","",AG1193-R1193)</f>
        <v/>
      </c>
      <c r="AI1193">
        <f>IF($C1193="","",IF(COUNTIF($C$2:$C1193,$C1193)=1,1,0))</f>
        <v/>
      </c>
      <c r="AJ1193">
        <f>IF($AI1193=1,SUMPRODUCT(--($AL$2:$AL$1501&lt;$AL1193))+1,"")</f>
        <v/>
      </c>
      <c r="AK1193">
        <f>IF($C1193="","",IF(OR($AD1193=TRUE(),$AD1193="TRUE"),0,1))</f>
        <v/>
      </c>
      <c r="AL1193">
        <f>IF($AI1193=1,IFERROR(IF(VALUE($C1193)&lt;100000000,VALUE($C1193),1000000000),IFERROR(IF(VALUE(MID($C1193,2,20))&lt;100000000,VALUE(MID($C1193,2,20)),1000000000),1000000000))+ROW()/100000,"")</f>
        <v/>
      </c>
    </row>
    <row r="1194">
      <c r="J1194" s="7" t="n"/>
      <c r="K1194" s="7" t="n"/>
      <c r="R1194" s="7">
        <f>IF($C1194="","",Q1194*AC1194/100)</f>
        <v/>
      </c>
      <c r="S1194" s="11" t="n"/>
      <c r="U1194" s="11" t="n"/>
      <c r="AA1194" s="7" t="n"/>
      <c r="AC1194" s="7" t="n"/>
      <c r="AE1194">
        <f>IF($C1194="","",IF($AK1194=1,Settings!$C$6,Settings!$C$7)*1)</f>
        <v/>
      </c>
      <c r="AF1194" s="7">
        <f>IF($C1194="","",AE1194*AC1194)</f>
        <v/>
      </c>
      <c r="AG1194" s="7">
        <f>IF($C1194="","",AC1194-AF1194)</f>
        <v/>
      </c>
      <c r="AH1194" s="7">
        <f>IF($C1194="","",AG1194-R1194)</f>
        <v/>
      </c>
      <c r="AI1194">
        <f>IF($C1194="","",IF(COUNTIF($C$2:$C1194,$C1194)=1,1,0))</f>
        <v/>
      </c>
      <c r="AJ1194">
        <f>IF($AI1194=1,SUMPRODUCT(--($AL$2:$AL$1501&lt;$AL1194))+1,"")</f>
        <v/>
      </c>
      <c r="AK1194">
        <f>IF($C1194="","",IF(OR($AD1194=TRUE(),$AD1194="TRUE"),0,1))</f>
        <v/>
      </c>
      <c r="AL1194">
        <f>IF($AI1194=1,IFERROR(IF(VALUE($C1194)&lt;100000000,VALUE($C1194),1000000000),IFERROR(IF(VALUE(MID($C1194,2,20))&lt;100000000,VALUE(MID($C1194,2,20)),1000000000),1000000000))+ROW()/100000,"")</f>
        <v/>
      </c>
    </row>
    <row r="1195">
      <c r="J1195" s="7" t="n"/>
      <c r="K1195" s="7" t="n"/>
      <c r="R1195" s="7">
        <f>IF($C1195="","",Q1195*AC1195/100)</f>
        <v/>
      </c>
      <c r="S1195" s="11" t="n"/>
      <c r="U1195" s="11" t="n"/>
      <c r="AA1195" s="7" t="n"/>
      <c r="AC1195" s="7" t="n"/>
      <c r="AE1195">
        <f>IF($C1195="","",IF($AK1195=1,Settings!$C$6,Settings!$C$7)*1)</f>
        <v/>
      </c>
      <c r="AF1195" s="7">
        <f>IF($C1195="","",AE1195*AC1195)</f>
        <v/>
      </c>
      <c r="AG1195" s="7">
        <f>IF($C1195="","",AC1195-AF1195)</f>
        <v/>
      </c>
      <c r="AH1195" s="7">
        <f>IF($C1195="","",AG1195-R1195)</f>
        <v/>
      </c>
      <c r="AI1195">
        <f>IF($C1195="","",IF(COUNTIF($C$2:$C1195,$C1195)=1,1,0))</f>
        <v/>
      </c>
      <c r="AJ1195">
        <f>IF($AI1195=1,SUMPRODUCT(--($AL$2:$AL$1501&lt;$AL1195))+1,"")</f>
        <v/>
      </c>
      <c r="AK1195">
        <f>IF($C1195="","",IF(OR($AD1195=TRUE(),$AD1195="TRUE"),0,1))</f>
        <v/>
      </c>
      <c r="AL1195">
        <f>IF($AI1195=1,IFERROR(IF(VALUE($C1195)&lt;100000000,VALUE($C1195),1000000000),IFERROR(IF(VALUE(MID($C1195,2,20))&lt;100000000,VALUE(MID($C1195,2,20)),1000000000),1000000000))+ROW()/100000,"")</f>
        <v/>
      </c>
    </row>
    <row r="1196">
      <c r="J1196" s="7" t="n"/>
      <c r="K1196" s="7" t="n"/>
      <c r="R1196" s="7">
        <f>IF($C1196="","",Q1196*AC1196/100)</f>
        <v/>
      </c>
      <c r="S1196" s="11" t="n"/>
      <c r="U1196" s="11" t="n"/>
      <c r="AA1196" s="7" t="n"/>
      <c r="AC1196" s="7" t="n"/>
      <c r="AE1196">
        <f>IF($C1196="","",IF($AK1196=1,Settings!$C$6,Settings!$C$7)*1)</f>
        <v/>
      </c>
      <c r="AF1196" s="7">
        <f>IF($C1196="","",AE1196*AC1196)</f>
        <v/>
      </c>
      <c r="AG1196" s="7">
        <f>IF($C1196="","",AC1196-AF1196)</f>
        <v/>
      </c>
      <c r="AH1196" s="7">
        <f>IF($C1196="","",AG1196-R1196)</f>
        <v/>
      </c>
      <c r="AI1196">
        <f>IF($C1196="","",IF(COUNTIF($C$2:$C1196,$C1196)=1,1,0))</f>
        <v/>
      </c>
      <c r="AJ1196">
        <f>IF($AI1196=1,SUMPRODUCT(--($AL$2:$AL$1501&lt;$AL1196))+1,"")</f>
        <v/>
      </c>
      <c r="AK1196">
        <f>IF($C1196="","",IF(OR($AD1196=TRUE(),$AD1196="TRUE"),0,1))</f>
        <v/>
      </c>
      <c r="AL1196">
        <f>IF($AI1196=1,IFERROR(IF(VALUE($C1196)&lt;100000000,VALUE($C1196),1000000000),IFERROR(IF(VALUE(MID($C1196,2,20))&lt;100000000,VALUE(MID($C1196,2,20)),1000000000),1000000000))+ROW()/100000,"")</f>
        <v/>
      </c>
    </row>
    <row r="1197">
      <c r="J1197" s="7" t="n"/>
      <c r="K1197" s="7" t="n"/>
      <c r="R1197" s="7">
        <f>IF($C1197="","",Q1197*AC1197/100)</f>
        <v/>
      </c>
      <c r="S1197" s="11" t="n"/>
      <c r="U1197" s="11" t="n"/>
      <c r="AA1197" s="7" t="n"/>
      <c r="AC1197" s="7" t="n"/>
      <c r="AE1197">
        <f>IF($C1197="","",IF($AK1197=1,Settings!$C$6,Settings!$C$7)*1)</f>
        <v/>
      </c>
      <c r="AF1197" s="7">
        <f>IF($C1197="","",AE1197*AC1197)</f>
        <v/>
      </c>
      <c r="AG1197" s="7">
        <f>IF($C1197="","",AC1197-AF1197)</f>
        <v/>
      </c>
      <c r="AH1197" s="7">
        <f>IF($C1197="","",AG1197-R1197)</f>
        <v/>
      </c>
      <c r="AI1197">
        <f>IF($C1197="","",IF(COUNTIF($C$2:$C1197,$C1197)=1,1,0))</f>
        <v/>
      </c>
      <c r="AJ1197">
        <f>IF($AI1197=1,SUMPRODUCT(--($AL$2:$AL$1501&lt;$AL1197))+1,"")</f>
        <v/>
      </c>
      <c r="AK1197">
        <f>IF($C1197="","",IF(OR($AD1197=TRUE(),$AD1197="TRUE"),0,1))</f>
        <v/>
      </c>
      <c r="AL1197">
        <f>IF($AI1197=1,IFERROR(IF(VALUE($C1197)&lt;100000000,VALUE($C1197),1000000000),IFERROR(IF(VALUE(MID($C1197,2,20))&lt;100000000,VALUE(MID($C1197,2,20)),1000000000),1000000000))+ROW()/100000,"")</f>
        <v/>
      </c>
    </row>
    <row r="1198">
      <c r="J1198" s="7" t="n"/>
      <c r="K1198" s="7" t="n"/>
      <c r="R1198" s="7">
        <f>IF($C1198="","",Q1198*AC1198/100)</f>
        <v/>
      </c>
      <c r="S1198" s="11" t="n"/>
      <c r="U1198" s="11" t="n"/>
      <c r="AA1198" s="7" t="n"/>
      <c r="AC1198" s="7" t="n"/>
      <c r="AE1198">
        <f>IF($C1198="","",IF($AK1198=1,Settings!$C$6,Settings!$C$7)*1)</f>
        <v/>
      </c>
      <c r="AF1198" s="7">
        <f>IF($C1198="","",AE1198*AC1198)</f>
        <v/>
      </c>
      <c r="AG1198" s="7">
        <f>IF($C1198="","",AC1198-AF1198)</f>
        <v/>
      </c>
      <c r="AH1198" s="7">
        <f>IF($C1198="","",AG1198-R1198)</f>
        <v/>
      </c>
      <c r="AI1198">
        <f>IF($C1198="","",IF(COUNTIF($C$2:$C1198,$C1198)=1,1,0))</f>
        <v/>
      </c>
      <c r="AJ1198">
        <f>IF($AI1198=1,SUMPRODUCT(--($AL$2:$AL$1501&lt;$AL1198))+1,"")</f>
        <v/>
      </c>
      <c r="AK1198">
        <f>IF($C1198="","",IF(OR($AD1198=TRUE(),$AD1198="TRUE"),0,1))</f>
        <v/>
      </c>
      <c r="AL1198">
        <f>IF($AI1198=1,IFERROR(IF(VALUE($C1198)&lt;100000000,VALUE($C1198),1000000000),IFERROR(IF(VALUE(MID($C1198,2,20))&lt;100000000,VALUE(MID($C1198,2,20)),1000000000),1000000000))+ROW()/100000,"")</f>
        <v/>
      </c>
    </row>
    <row r="1199">
      <c r="J1199" s="7" t="n"/>
      <c r="K1199" s="7" t="n"/>
      <c r="R1199" s="7">
        <f>IF($C1199="","",Q1199*AC1199/100)</f>
        <v/>
      </c>
      <c r="S1199" s="11" t="n"/>
      <c r="U1199" s="11" t="n"/>
      <c r="AA1199" s="7" t="n"/>
      <c r="AC1199" s="7" t="n"/>
      <c r="AE1199">
        <f>IF($C1199="","",IF($AK1199=1,Settings!$C$6,Settings!$C$7)*1)</f>
        <v/>
      </c>
      <c r="AF1199" s="7">
        <f>IF($C1199="","",AE1199*AC1199)</f>
        <v/>
      </c>
      <c r="AG1199" s="7">
        <f>IF($C1199="","",AC1199-AF1199)</f>
        <v/>
      </c>
      <c r="AH1199" s="7">
        <f>IF($C1199="","",AG1199-R1199)</f>
        <v/>
      </c>
      <c r="AI1199">
        <f>IF($C1199="","",IF(COUNTIF($C$2:$C1199,$C1199)=1,1,0))</f>
        <v/>
      </c>
      <c r="AJ1199">
        <f>IF($AI1199=1,SUMPRODUCT(--($AL$2:$AL$1501&lt;$AL1199))+1,"")</f>
        <v/>
      </c>
      <c r="AK1199">
        <f>IF($C1199="","",IF(OR($AD1199=TRUE(),$AD1199="TRUE"),0,1))</f>
        <v/>
      </c>
      <c r="AL1199">
        <f>IF($AI1199=1,IFERROR(IF(VALUE($C1199)&lt;100000000,VALUE($C1199),1000000000),IFERROR(IF(VALUE(MID($C1199,2,20))&lt;100000000,VALUE(MID($C1199,2,20)),1000000000),1000000000))+ROW()/100000,"")</f>
        <v/>
      </c>
    </row>
    <row r="1200">
      <c r="J1200" s="7" t="n"/>
      <c r="K1200" s="7" t="n"/>
      <c r="R1200" s="7">
        <f>IF($C1200="","",Q1200*AC1200/100)</f>
        <v/>
      </c>
      <c r="S1200" s="11" t="n"/>
      <c r="U1200" s="11" t="n"/>
      <c r="AA1200" s="7" t="n"/>
      <c r="AC1200" s="7" t="n"/>
      <c r="AE1200">
        <f>IF($C1200="","",IF($AK1200=1,Settings!$C$6,Settings!$C$7)*1)</f>
        <v/>
      </c>
      <c r="AF1200" s="7">
        <f>IF($C1200="","",AE1200*AC1200)</f>
        <v/>
      </c>
      <c r="AG1200" s="7">
        <f>IF($C1200="","",AC1200-AF1200)</f>
        <v/>
      </c>
      <c r="AH1200" s="7">
        <f>IF($C1200="","",AG1200-R1200)</f>
        <v/>
      </c>
      <c r="AI1200">
        <f>IF($C1200="","",IF(COUNTIF($C$2:$C1200,$C1200)=1,1,0))</f>
        <v/>
      </c>
      <c r="AJ1200">
        <f>IF($AI1200=1,SUMPRODUCT(--($AL$2:$AL$1501&lt;$AL1200))+1,"")</f>
        <v/>
      </c>
      <c r="AK1200">
        <f>IF($C1200="","",IF(OR($AD1200=TRUE(),$AD1200="TRUE"),0,1))</f>
        <v/>
      </c>
      <c r="AL1200">
        <f>IF($AI1200=1,IFERROR(IF(VALUE($C1200)&lt;100000000,VALUE($C1200),1000000000),IFERROR(IF(VALUE(MID($C1200,2,20))&lt;100000000,VALUE(MID($C1200,2,20)),1000000000),1000000000))+ROW()/100000,"")</f>
        <v/>
      </c>
    </row>
    <row r="1201">
      <c r="J1201" s="7" t="n"/>
      <c r="K1201" s="7" t="n"/>
      <c r="R1201" s="7">
        <f>IF($C1201="","",Q1201*AC1201/100)</f>
        <v/>
      </c>
      <c r="S1201" s="11" t="n"/>
      <c r="U1201" s="11" t="n"/>
      <c r="AA1201" s="7" t="n"/>
      <c r="AC1201" s="7" t="n"/>
      <c r="AE1201">
        <f>IF($C1201="","",IF($AK1201=1,Settings!$C$6,Settings!$C$7)*1)</f>
        <v/>
      </c>
      <c r="AF1201" s="7">
        <f>IF($C1201="","",AE1201*AC1201)</f>
        <v/>
      </c>
      <c r="AG1201" s="7">
        <f>IF($C1201="","",AC1201-AF1201)</f>
        <v/>
      </c>
      <c r="AH1201" s="7">
        <f>IF($C1201="","",AG1201-R1201)</f>
        <v/>
      </c>
      <c r="AI1201">
        <f>IF($C1201="","",IF(COUNTIF($C$2:$C1201,$C1201)=1,1,0))</f>
        <v/>
      </c>
      <c r="AJ1201">
        <f>IF($AI1201=1,SUMPRODUCT(--($AL$2:$AL$1501&lt;$AL1201))+1,"")</f>
        <v/>
      </c>
      <c r="AK1201">
        <f>IF($C1201="","",IF(OR($AD1201=TRUE(),$AD1201="TRUE"),0,1))</f>
        <v/>
      </c>
      <c r="AL1201">
        <f>IF($AI1201=1,IFERROR(IF(VALUE($C1201)&lt;100000000,VALUE($C1201),1000000000),IFERROR(IF(VALUE(MID($C1201,2,20))&lt;100000000,VALUE(MID($C1201,2,20)),1000000000),1000000000))+ROW()/100000,"")</f>
        <v/>
      </c>
    </row>
    <row r="1202">
      <c r="J1202" s="7" t="n"/>
      <c r="K1202" s="7" t="n"/>
      <c r="R1202" s="7">
        <f>IF($C1202="","",Q1202*AC1202/100)</f>
        <v/>
      </c>
      <c r="S1202" s="11" t="n"/>
      <c r="U1202" s="11" t="n"/>
      <c r="AA1202" s="7" t="n"/>
      <c r="AC1202" s="7" t="n"/>
      <c r="AE1202">
        <f>IF($C1202="","",IF($AK1202=1,Settings!$C$6,Settings!$C$7)*1)</f>
        <v/>
      </c>
      <c r="AF1202" s="7">
        <f>IF($C1202="","",AE1202*AC1202)</f>
        <v/>
      </c>
      <c r="AG1202" s="7">
        <f>IF($C1202="","",AC1202-AF1202)</f>
        <v/>
      </c>
      <c r="AH1202" s="7">
        <f>IF($C1202="","",AG1202-R1202)</f>
        <v/>
      </c>
      <c r="AI1202">
        <f>IF($C1202="","",IF(COUNTIF($C$2:$C1202,$C1202)=1,1,0))</f>
        <v/>
      </c>
      <c r="AJ1202">
        <f>IF($AI1202=1,SUMPRODUCT(--($AL$2:$AL$1501&lt;$AL1202))+1,"")</f>
        <v/>
      </c>
      <c r="AK1202">
        <f>IF($C1202="","",IF(OR($AD1202=TRUE(),$AD1202="TRUE"),0,1))</f>
        <v/>
      </c>
      <c r="AL1202">
        <f>IF($AI1202=1,IFERROR(IF(VALUE($C1202)&lt;100000000,VALUE($C1202),1000000000),IFERROR(IF(VALUE(MID($C1202,2,20))&lt;100000000,VALUE(MID($C1202,2,20)),1000000000),1000000000))+ROW()/100000,"")</f>
        <v/>
      </c>
    </row>
    <row r="1203">
      <c r="J1203" s="7" t="n"/>
      <c r="K1203" s="7" t="n"/>
      <c r="R1203" s="7">
        <f>IF($C1203="","",Q1203*AC1203/100)</f>
        <v/>
      </c>
      <c r="S1203" s="11" t="n"/>
      <c r="U1203" s="11" t="n"/>
      <c r="AA1203" s="7" t="n"/>
      <c r="AC1203" s="7" t="n"/>
      <c r="AE1203">
        <f>IF($C1203="","",IF($AK1203=1,Settings!$C$6,Settings!$C$7)*1)</f>
        <v/>
      </c>
      <c r="AF1203" s="7">
        <f>IF($C1203="","",AE1203*AC1203)</f>
        <v/>
      </c>
      <c r="AG1203" s="7">
        <f>IF($C1203="","",AC1203-AF1203)</f>
        <v/>
      </c>
      <c r="AH1203" s="7">
        <f>IF($C1203="","",AG1203-R1203)</f>
        <v/>
      </c>
      <c r="AI1203">
        <f>IF($C1203="","",IF(COUNTIF($C$2:$C1203,$C1203)=1,1,0))</f>
        <v/>
      </c>
      <c r="AJ1203">
        <f>IF($AI1203=1,SUMPRODUCT(--($AL$2:$AL$1501&lt;$AL1203))+1,"")</f>
        <v/>
      </c>
      <c r="AK1203">
        <f>IF($C1203="","",IF(OR($AD1203=TRUE(),$AD1203="TRUE"),0,1))</f>
        <v/>
      </c>
      <c r="AL1203">
        <f>IF($AI1203=1,IFERROR(IF(VALUE($C1203)&lt;100000000,VALUE($C1203),1000000000),IFERROR(IF(VALUE(MID($C1203,2,20))&lt;100000000,VALUE(MID($C1203,2,20)),1000000000),1000000000))+ROW()/100000,"")</f>
        <v/>
      </c>
    </row>
    <row r="1204">
      <c r="J1204" s="7" t="n"/>
      <c r="K1204" s="7" t="n"/>
      <c r="R1204" s="7">
        <f>IF($C1204="","",Q1204*AC1204/100)</f>
        <v/>
      </c>
      <c r="S1204" s="11" t="n"/>
      <c r="U1204" s="11" t="n"/>
      <c r="AA1204" s="7" t="n"/>
      <c r="AC1204" s="7" t="n"/>
      <c r="AE1204">
        <f>IF($C1204="","",IF($AK1204=1,Settings!$C$6,Settings!$C$7)*1)</f>
        <v/>
      </c>
      <c r="AF1204" s="7">
        <f>IF($C1204="","",AE1204*AC1204)</f>
        <v/>
      </c>
      <c r="AG1204" s="7">
        <f>IF($C1204="","",AC1204-AF1204)</f>
        <v/>
      </c>
      <c r="AH1204" s="7">
        <f>IF($C1204="","",AG1204-R1204)</f>
        <v/>
      </c>
      <c r="AI1204">
        <f>IF($C1204="","",IF(COUNTIF($C$2:$C1204,$C1204)=1,1,0))</f>
        <v/>
      </c>
      <c r="AJ1204">
        <f>IF($AI1204=1,SUMPRODUCT(--($AL$2:$AL$1501&lt;$AL1204))+1,"")</f>
        <v/>
      </c>
      <c r="AK1204">
        <f>IF($C1204="","",IF(OR($AD1204=TRUE(),$AD1204="TRUE"),0,1))</f>
        <v/>
      </c>
      <c r="AL1204">
        <f>IF($AI1204=1,IFERROR(IF(VALUE($C1204)&lt;100000000,VALUE($C1204),1000000000),IFERROR(IF(VALUE(MID($C1204,2,20))&lt;100000000,VALUE(MID($C1204,2,20)),1000000000),1000000000))+ROW()/100000,"")</f>
        <v/>
      </c>
    </row>
    <row r="1205">
      <c r="J1205" s="7" t="n"/>
      <c r="K1205" s="7" t="n"/>
      <c r="R1205" s="7">
        <f>IF($C1205="","",Q1205*AC1205/100)</f>
        <v/>
      </c>
      <c r="S1205" s="11" t="n"/>
      <c r="U1205" s="11" t="n"/>
      <c r="AA1205" s="7" t="n"/>
      <c r="AC1205" s="7" t="n"/>
      <c r="AE1205">
        <f>IF($C1205="","",IF($AK1205=1,Settings!$C$6,Settings!$C$7)*1)</f>
        <v/>
      </c>
      <c r="AF1205" s="7">
        <f>IF($C1205="","",AE1205*AC1205)</f>
        <v/>
      </c>
      <c r="AG1205" s="7">
        <f>IF($C1205="","",AC1205-AF1205)</f>
        <v/>
      </c>
      <c r="AH1205" s="7">
        <f>IF($C1205="","",AG1205-R1205)</f>
        <v/>
      </c>
      <c r="AI1205">
        <f>IF($C1205="","",IF(COUNTIF($C$2:$C1205,$C1205)=1,1,0))</f>
        <v/>
      </c>
      <c r="AJ1205">
        <f>IF($AI1205=1,SUMPRODUCT(--($AL$2:$AL$1501&lt;$AL1205))+1,"")</f>
        <v/>
      </c>
      <c r="AK1205">
        <f>IF($C1205="","",IF(OR($AD1205=TRUE(),$AD1205="TRUE"),0,1))</f>
        <v/>
      </c>
      <c r="AL1205">
        <f>IF($AI1205=1,IFERROR(IF(VALUE($C1205)&lt;100000000,VALUE($C1205),1000000000),IFERROR(IF(VALUE(MID($C1205,2,20))&lt;100000000,VALUE(MID($C1205,2,20)),1000000000),1000000000))+ROW()/100000,"")</f>
        <v/>
      </c>
    </row>
    <row r="1206">
      <c r="J1206" s="7" t="n"/>
      <c r="K1206" s="7" t="n"/>
      <c r="R1206" s="7">
        <f>IF($C1206="","",Q1206*AC1206/100)</f>
        <v/>
      </c>
      <c r="S1206" s="11" t="n"/>
      <c r="U1206" s="11" t="n"/>
      <c r="AA1206" s="7" t="n"/>
      <c r="AC1206" s="7" t="n"/>
      <c r="AE1206">
        <f>IF($C1206="","",IF($AK1206=1,Settings!$C$6,Settings!$C$7)*1)</f>
        <v/>
      </c>
      <c r="AF1206" s="7">
        <f>IF($C1206="","",AE1206*AC1206)</f>
        <v/>
      </c>
      <c r="AG1206" s="7">
        <f>IF($C1206="","",AC1206-AF1206)</f>
        <v/>
      </c>
      <c r="AH1206" s="7">
        <f>IF($C1206="","",AG1206-R1206)</f>
        <v/>
      </c>
      <c r="AI1206">
        <f>IF($C1206="","",IF(COUNTIF($C$2:$C1206,$C1206)=1,1,0))</f>
        <v/>
      </c>
      <c r="AJ1206">
        <f>IF($AI1206=1,SUMPRODUCT(--($AL$2:$AL$1501&lt;$AL1206))+1,"")</f>
        <v/>
      </c>
      <c r="AK1206">
        <f>IF($C1206="","",IF(OR($AD1206=TRUE(),$AD1206="TRUE"),0,1))</f>
        <v/>
      </c>
      <c r="AL1206">
        <f>IF($AI1206=1,IFERROR(IF(VALUE($C1206)&lt;100000000,VALUE($C1206),1000000000),IFERROR(IF(VALUE(MID($C1206,2,20))&lt;100000000,VALUE(MID($C1206,2,20)),1000000000),1000000000))+ROW()/100000,"")</f>
        <v/>
      </c>
    </row>
    <row r="1207">
      <c r="J1207" s="7" t="n"/>
      <c r="K1207" s="7" t="n"/>
      <c r="R1207" s="7">
        <f>IF($C1207="","",Q1207*AC1207/100)</f>
        <v/>
      </c>
      <c r="S1207" s="11" t="n"/>
      <c r="U1207" s="11" t="n"/>
      <c r="AA1207" s="7" t="n"/>
      <c r="AC1207" s="7" t="n"/>
      <c r="AE1207">
        <f>IF($C1207="","",IF($AK1207=1,Settings!$C$6,Settings!$C$7)*1)</f>
        <v/>
      </c>
      <c r="AF1207" s="7">
        <f>IF($C1207="","",AE1207*AC1207)</f>
        <v/>
      </c>
      <c r="AG1207" s="7">
        <f>IF($C1207="","",AC1207-AF1207)</f>
        <v/>
      </c>
      <c r="AH1207" s="7">
        <f>IF($C1207="","",AG1207-R1207)</f>
        <v/>
      </c>
      <c r="AI1207">
        <f>IF($C1207="","",IF(COUNTIF($C$2:$C1207,$C1207)=1,1,0))</f>
        <v/>
      </c>
      <c r="AJ1207">
        <f>IF($AI1207=1,SUMPRODUCT(--($AL$2:$AL$1501&lt;$AL1207))+1,"")</f>
        <v/>
      </c>
      <c r="AK1207">
        <f>IF($C1207="","",IF(OR($AD1207=TRUE(),$AD1207="TRUE"),0,1))</f>
        <v/>
      </c>
      <c r="AL1207">
        <f>IF($AI1207=1,IFERROR(IF(VALUE($C1207)&lt;100000000,VALUE($C1207),1000000000),IFERROR(IF(VALUE(MID($C1207,2,20))&lt;100000000,VALUE(MID($C1207,2,20)),1000000000),1000000000))+ROW()/100000,"")</f>
        <v/>
      </c>
    </row>
    <row r="1208">
      <c r="J1208" s="7" t="n"/>
      <c r="K1208" s="7" t="n"/>
      <c r="R1208" s="7">
        <f>IF($C1208="","",Q1208*AC1208/100)</f>
        <v/>
      </c>
      <c r="S1208" s="11" t="n"/>
      <c r="U1208" s="11" t="n"/>
      <c r="AA1208" s="7" t="n"/>
      <c r="AC1208" s="7" t="n"/>
      <c r="AE1208">
        <f>IF($C1208="","",IF($AK1208=1,Settings!$C$6,Settings!$C$7)*1)</f>
        <v/>
      </c>
      <c r="AF1208" s="7">
        <f>IF($C1208="","",AE1208*AC1208)</f>
        <v/>
      </c>
      <c r="AG1208" s="7">
        <f>IF($C1208="","",AC1208-AF1208)</f>
        <v/>
      </c>
      <c r="AH1208" s="7">
        <f>IF($C1208="","",AG1208-R1208)</f>
        <v/>
      </c>
      <c r="AI1208">
        <f>IF($C1208="","",IF(COUNTIF($C$2:$C1208,$C1208)=1,1,0))</f>
        <v/>
      </c>
      <c r="AJ1208">
        <f>IF($AI1208=1,SUMPRODUCT(--($AL$2:$AL$1501&lt;$AL1208))+1,"")</f>
        <v/>
      </c>
      <c r="AK1208">
        <f>IF($C1208="","",IF(OR($AD1208=TRUE(),$AD1208="TRUE"),0,1))</f>
        <v/>
      </c>
      <c r="AL1208">
        <f>IF($AI1208=1,IFERROR(IF(VALUE($C1208)&lt;100000000,VALUE($C1208),1000000000),IFERROR(IF(VALUE(MID($C1208,2,20))&lt;100000000,VALUE(MID($C1208,2,20)),1000000000),1000000000))+ROW()/100000,"")</f>
        <v/>
      </c>
    </row>
    <row r="1209">
      <c r="J1209" s="7" t="n"/>
      <c r="K1209" s="7" t="n"/>
      <c r="R1209" s="7">
        <f>IF($C1209="","",Q1209*AC1209/100)</f>
        <v/>
      </c>
      <c r="S1209" s="11" t="n"/>
      <c r="U1209" s="11" t="n"/>
      <c r="AA1209" s="7" t="n"/>
      <c r="AC1209" s="7" t="n"/>
      <c r="AE1209">
        <f>IF($C1209="","",IF($AK1209=1,Settings!$C$6,Settings!$C$7)*1)</f>
        <v/>
      </c>
      <c r="AF1209" s="7">
        <f>IF($C1209="","",AE1209*AC1209)</f>
        <v/>
      </c>
      <c r="AG1209" s="7">
        <f>IF($C1209="","",AC1209-AF1209)</f>
        <v/>
      </c>
      <c r="AH1209" s="7">
        <f>IF($C1209="","",AG1209-R1209)</f>
        <v/>
      </c>
      <c r="AI1209">
        <f>IF($C1209="","",IF(COUNTIF($C$2:$C1209,$C1209)=1,1,0))</f>
        <v/>
      </c>
      <c r="AJ1209">
        <f>IF($AI1209=1,SUMPRODUCT(--($AL$2:$AL$1501&lt;$AL1209))+1,"")</f>
        <v/>
      </c>
      <c r="AK1209">
        <f>IF($C1209="","",IF(OR($AD1209=TRUE(),$AD1209="TRUE"),0,1))</f>
        <v/>
      </c>
      <c r="AL1209">
        <f>IF($AI1209=1,IFERROR(IF(VALUE($C1209)&lt;100000000,VALUE($C1209),1000000000),IFERROR(IF(VALUE(MID($C1209,2,20))&lt;100000000,VALUE(MID($C1209,2,20)),1000000000),1000000000))+ROW()/100000,"")</f>
        <v/>
      </c>
    </row>
    <row r="1210">
      <c r="J1210" s="7" t="n"/>
      <c r="K1210" s="7" t="n"/>
      <c r="R1210" s="7">
        <f>IF($C1210="","",Q1210*AC1210/100)</f>
        <v/>
      </c>
      <c r="S1210" s="11" t="n"/>
      <c r="U1210" s="11" t="n"/>
      <c r="AA1210" s="7" t="n"/>
      <c r="AC1210" s="7" t="n"/>
      <c r="AE1210">
        <f>IF($C1210="","",IF($AK1210=1,Settings!$C$6,Settings!$C$7)*1)</f>
        <v/>
      </c>
      <c r="AF1210" s="7">
        <f>IF($C1210="","",AE1210*AC1210)</f>
        <v/>
      </c>
      <c r="AG1210" s="7">
        <f>IF($C1210="","",AC1210-AF1210)</f>
        <v/>
      </c>
      <c r="AH1210" s="7">
        <f>IF($C1210="","",AG1210-R1210)</f>
        <v/>
      </c>
      <c r="AI1210">
        <f>IF($C1210="","",IF(COUNTIF($C$2:$C1210,$C1210)=1,1,0))</f>
        <v/>
      </c>
      <c r="AJ1210">
        <f>IF($AI1210=1,SUMPRODUCT(--($AL$2:$AL$1501&lt;$AL1210))+1,"")</f>
        <v/>
      </c>
      <c r="AK1210">
        <f>IF($C1210="","",IF(OR($AD1210=TRUE(),$AD1210="TRUE"),0,1))</f>
        <v/>
      </c>
      <c r="AL1210">
        <f>IF($AI1210=1,IFERROR(IF(VALUE($C1210)&lt;100000000,VALUE($C1210),1000000000),IFERROR(IF(VALUE(MID($C1210,2,20))&lt;100000000,VALUE(MID($C1210,2,20)),1000000000),1000000000))+ROW()/100000,"")</f>
        <v/>
      </c>
    </row>
    <row r="1211">
      <c r="J1211" s="7" t="n"/>
      <c r="K1211" s="7" t="n"/>
      <c r="R1211" s="7">
        <f>IF($C1211="","",Q1211*AC1211/100)</f>
        <v/>
      </c>
      <c r="S1211" s="11" t="n"/>
      <c r="U1211" s="11" t="n"/>
      <c r="AA1211" s="7" t="n"/>
      <c r="AC1211" s="7" t="n"/>
      <c r="AE1211">
        <f>IF($C1211="","",IF($AK1211=1,Settings!$C$6,Settings!$C$7)*1)</f>
        <v/>
      </c>
      <c r="AF1211" s="7">
        <f>IF($C1211="","",AE1211*AC1211)</f>
        <v/>
      </c>
      <c r="AG1211" s="7">
        <f>IF($C1211="","",AC1211-AF1211)</f>
        <v/>
      </c>
      <c r="AH1211" s="7">
        <f>IF($C1211="","",AG1211-R1211)</f>
        <v/>
      </c>
      <c r="AI1211">
        <f>IF($C1211="","",IF(COUNTIF($C$2:$C1211,$C1211)=1,1,0))</f>
        <v/>
      </c>
      <c r="AJ1211">
        <f>IF($AI1211=1,SUMPRODUCT(--($AL$2:$AL$1501&lt;$AL1211))+1,"")</f>
        <v/>
      </c>
      <c r="AK1211">
        <f>IF($C1211="","",IF(OR($AD1211=TRUE(),$AD1211="TRUE"),0,1))</f>
        <v/>
      </c>
      <c r="AL1211">
        <f>IF($AI1211=1,IFERROR(IF(VALUE($C1211)&lt;100000000,VALUE($C1211),1000000000),IFERROR(IF(VALUE(MID($C1211,2,20))&lt;100000000,VALUE(MID($C1211,2,20)),1000000000),1000000000))+ROW()/100000,"")</f>
        <v/>
      </c>
    </row>
    <row r="1212">
      <c r="J1212" s="7" t="n"/>
      <c r="K1212" s="7" t="n"/>
      <c r="R1212" s="7">
        <f>IF($C1212="","",Q1212*AC1212/100)</f>
        <v/>
      </c>
      <c r="S1212" s="11" t="n"/>
      <c r="U1212" s="11" t="n"/>
      <c r="AA1212" s="7" t="n"/>
      <c r="AC1212" s="7" t="n"/>
      <c r="AE1212">
        <f>IF($C1212="","",IF($AK1212=1,Settings!$C$6,Settings!$C$7)*1)</f>
        <v/>
      </c>
      <c r="AF1212" s="7">
        <f>IF($C1212="","",AE1212*AC1212)</f>
        <v/>
      </c>
      <c r="AG1212" s="7">
        <f>IF($C1212="","",AC1212-AF1212)</f>
        <v/>
      </c>
      <c r="AH1212" s="7">
        <f>IF($C1212="","",AG1212-R1212)</f>
        <v/>
      </c>
      <c r="AI1212">
        <f>IF($C1212="","",IF(COUNTIF($C$2:$C1212,$C1212)=1,1,0))</f>
        <v/>
      </c>
      <c r="AJ1212">
        <f>IF($AI1212=1,SUMPRODUCT(--($AL$2:$AL$1501&lt;$AL1212))+1,"")</f>
        <v/>
      </c>
      <c r="AK1212">
        <f>IF($C1212="","",IF(OR($AD1212=TRUE(),$AD1212="TRUE"),0,1))</f>
        <v/>
      </c>
      <c r="AL1212">
        <f>IF($AI1212=1,IFERROR(IF(VALUE($C1212)&lt;100000000,VALUE($C1212),1000000000),IFERROR(IF(VALUE(MID($C1212,2,20))&lt;100000000,VALUE(MID($C1212,2,20)),1000000000),1000000000))+ROW()/100000,"")</f>
        <v/>
      </c>
    </row>
    <row r="1213">
      <c r="J1213" s="7" t="n"/>
      <c r="K1213" s="7" t="n"/>
      <c r="R1213" s="7">
        <f>IF($C1213="","",Q1213*AC1213/100)</f>
        <v/>
      </c>
      <c r="S1213" s="11" t="n"/>
      <c r="U1213" s="11" t="n"/>
      <c r="AA1213" s="7" t="n"/>
      <c r="AC1213" s="7" t="n"/>
      <c r="AE1213">
        <f>IF($C1213="","",IF($AK1213=1,Settings!$C$6,Settings!$C$7)*1)</f>
        <v/>
      </c>
      <c r="AF1213" s="7">
        <f>IF($C1213="","",AE1213*AC1213)</f>
        <v/>
      </c>
      <c r="AG1213" s="7">
        <f>IF($C1213="","",AC1213-AF1213)</f>
        <v/>
      </c>
      <c r="AH1213" s="7">
        <f>IF($C1213="","",AG1213-R1213)</f>
        <v/>
      </c>
      <c r="AI1213">
        <f>IF($C1213="","",IF(COUNTIF($C$2:$C1213,$C1213)=1,1,0))</f>
        <v/>
      </c>
      <c r="AJ1213">
        <f>IF($AI1213=1,SUMPRODUCT(--($AL$2:$AL$1501&lt;$AL1213))+1,"")</f>
        <v/>
      </c>
      <c r="AK1213">
        <f>IF($C1213="","",IF(OR($AD1213=TRUE(),$AD1213="TRUE"),0,1))</f>
        <v/>
      </c>
      <c r="AL1213">
        <f>IF($AI1213=1,IFERROR(IF(VALUE($C1213)&lt;100000000,VALUE($C1213),1000000000),IFERROR(IF(VALUE(MID($C1213,2,20))&lt;100000000,VALUE(MID($C1213,2,20)),1000000000),1000000000))+ROW()/100000,"")</f>
        <v/>
      </c>
    </row>
    <row r="1214">
      <c r="J1214" s="7" t="n"/>
      <c r="K1214" s="7" t="n"/>
      <c r="R1214" s="7">
        <f>IF($C1214="","",Q1214*AC1214/100)</f>
        <v/>
      </c>
      <c r="S1214" s="11" t="n"/>
      <c r="U1214" s="11" t="n"/>
      <c r="AA1214" s="7" t="n"/>
      <c r="AC1214" s="7" t="n"/>
      <c r="AE1214">
        <f>IF($C1214="","",IF($AK1214=1,Settings!$C$6,Settings!$C$7)*1)</f>
        <v/>
      </c>
      <c r="AF1214" s="7">
        <f>IF($C1214="","",AE1214*AC1214)</f>
        <v/>
      </c>
      <c r="AG1214" s="7">
        <f>IF($C1214="","",AC1214-AF1214)</f>
        <v/>
      </c>
      <c r="AH1214" s="7">
        <f>IF($C1214="","",AG1214-R1214)</f>
        <v/>
      </c>
      <c r="AI1214">
        <f>IF($C1214="","",IF(COUNTIF($C$2:$C1214,$C1214)=1,1,0))</f>
        <v/>
      </c>
      <c r="AJ1214">
        <f>IF($AI1214=1,SUMPRODUCT(--($AL$2:$AL$1501&lt;$AL1214))+1,"")</f>
        <v/>
      </c>
      <c r="AK1214">
        <f>IF($C1214="","",IF(OR($AD1214=TRUE(),$AD1214="TRUE"),0,1))</f>
        <v/>
      </c>
      <c r="AL1214">
        <f>IF($AI1214=1,IFERROR(IF(VALUE($C1214)&lt;100000000,VALUE($C1214),1000000000),IFERROR(IF(VALUE(MID($C1214,2,20))&lt;100000000,VALUE(MID($C1214,2,20)),1000000000),1000000000))+ROW()/100000,"")</f>
        <v/>
      </c>
    </row>
    <row r="1215">
      <c r="J1215" s="7" t="n"/>
      <c r="K1215" s="7" t="n"/>
      <c r="R1215" s="7">
        <f>IF($C1215="","",Q1215*AC1215/100)</f>
        <v/>
      </c>
      <c r="S1215" s="11" t="n"/>
      <c r="U1215" s="11" t="n"/>
      <c r="AA1215" s="7" t="n"/>
      <c r="AC1215" s="7" t="n"/>
      <c r="AE1215">
        <f>IF($C1215="","",IF($AK1215=1,Settings!$C$6,Settings!$C$7)*1)</f>
        <v/>
      </c>
      <c r="AF1215" s="7">
        <f>IF($C1215="","",AE1215*AC1215)</f>
        <v/>
      </c>
      <c r="AG1215" s="7">
        <f>IF($C1215="","",AC1215-AF1215)</f>
        <v/>
      </c>
      <c r="AH1215" s="7">
        <f>IF($C1215="","",AG1215-R1215)</f>
        <v/>
      </c>
      <c r="AI1215">
        <f>IF($C1215="","",IF(COUNTIF($C$2:$C1215,$C1215)=1,1,0))</f>
        <v/>
      </c>
      <c r="AJ1215">
        <f>IF($AI1215=1,SUMPRODUCT(--($AL$2:$AL$1501&lt;$AL1215))+1,"")</f>
        <v/>
      </c>
      <c r="AK1215">
        <f>IF($C1215="","",IF(OR($AD1215=TRUE(),$AD1215="TRUE"),0,1))</f>
        <v/>
      </c>
      <c r="AL1215">
        <f>IF($AI1215=1,IFERROR(IF(VALUE($C1215)&lt;100000000,VALUE($C1215),1000000000),IFERROR(IF(VALUE(MID($C1215,2,20))&lt;100000000,VALUE(MID($C1215,2,20)),1000000000),1000000000))+ROW()/100000,"")</f>
        <v/>
      </c>
    </row>
    <row r="1216">
      <c r="J1216" s="7" t="n"/>
      <c r="K1216" s="7" t="n"/>
      <c r="R1216" s="7">
        <f>IF($C1216="","",Q1216*AC1216/100)</f>
        <v/>
      </c>
      <c r="S1216" s="11" t="n"/>
      <c r="U1216" s="11" t="n"/>
      <c r="AA1216" s="7" t="n"/>
      <c r="AC1216" s="7" t="n"/>
      <c r="AE1216">
        <f>IF($C1216="","",IF($AK1216=1,Settings!$C$6,Settings!$C$7)*1)</f>
        <v/>
      </c>
      <c r="AF1216" s="7">
        <f>IF($C1216="","",AE1216*AC1216)</f>
        <v/>
      </c>
      <c r="AG1216" s="7">
        <f>IF($C1216="","",AC1216-AF1216)</f>
        <v/>
      </c>
      <c r="AH1216" s="7">
        <f>IF($C1216="","",AG1216-R1216)</f>
        <v/>
      </c>
      <c r="AI1216">
        <f>IF($C1216="","",IF(COUNTIF($C$2:$C1216,$C1216)=1,1,0))</f>
        <v/>
      </c>
      <c r="AJ1216">
        <f>IF($AI1216=1,SUMPRODUCT(--($AL$2:$AL$1501&lt;$AL1216))+1,"")</f>
        <v/>
      </c>
      <c r="AK1216">
        <f>IF($C1216="","",IF(OR($AD1216=TRUE(),$AD1216="TRUE"),0,1))</f>
        <v/>
      </c>
      <c r="AL1216">
        <f>IF($AI1216=1,IFERROR(IF(VALUE($C1216)&lt;100000000,VALUE($C1216),1000000000),IFERROR(IF(VALUE(MID($C1216,2,20))&lt;100000000,VALUE(MID($C1216,2,20)),1000000000),1000000000))+ROW()/100000,"")</f>
        <v/>
      </c>
    </row>
    <row r="1217">
      <c r="J1217" s="7" t="n"/>
      <c r="K1217" s="7" t="n"/>
      <c r="R1217" s="7">
        <f>IF($C1217="","",Q1217*AC1217/100)</f>
        <v/>
      </c>
      <c r="S1217" s="11" t="n"/>
      <c r="U1217" s="11" t="n"/>
      <c r="AA1217" s="7" t="n"/>
      <c r="AC1217" s="7" t="n"/>
      <c r="AE1217">
        <f>IF($C1217="","",IF($AK1217=1,Settings!$C$6,Settings!$C$7)*1)</f>
        <v/>
      </c>
      <c r="AF1217" s="7">
        <f>IF($C1217="","",AE1217*AC1217)</f>
        <v/>
      </c>
      <c r="AG1217" s="7">
        <f>IF($C1217="","",AC1217-AF1217)</f>
        <v/>
      </c>
      <c r="AH1217" s="7">
        <f>IF($C1217="","",AG1217-R1217)</f>
        <v/>
      </c>
      <c r="AI1217">
        <f>IF($C1217="","",IF(COUNTIF($C$2:$C1217,$C1217)=1,1,0))</f>
        <v/>
      </c>
      <c r="AJ1217">
        <f>IF($AI1217=1,SUMPRODUCT(--($AL$2:$AL$1501&lt;$AL1217))+1,"")</f>
        <v/>
      </c>
      <c r="AK1217">
        <f>IF($C1217="","",IF(OR($AD1217=TRUE(),$AD1217="TRUE"),0,1))</f>
        <v/>
      </c>
      <c r="AL1217">
        <f>IF($AI1217=1,IFERROR(IF(VALUE($C1217)&lt;100000000,VALUE($C1217),1000000000),IFERROR(IF(VALUE(MID($C1217,2,20))&lt;100000000,VALUE(MID($C1217,2,20)),1000000000),1000000000))+ROW()/100000,"")</f>
        <v/>
      </c>
    </row>
    <row r="1218">
      <c r="J1218" s="7" t="n"/>
      <c r="K1218" s="7" t="n"/>
      <c r="R1218" s="7">
        <f>IF($C1218="","",Q1218*AC1218/100)</f>
        <v/>
      </c>
      <c r="S1218" s="11" t="n"/>
      <c r="U1218" s="11" t="n"/>
      <c r="AA1218" s="7" t="n"/>
      <c r="AC1218" s="7" t="n"/>
      <c r="AE1218">
        <f>IF($C1218="","",IF($AK1218=1,Settings!$C$6,Settings!$C$7)*1)</f>
        <v/>
      </c>
      <c r="AF1218" s="7">
        <f>IF($C1218="","",AE1218*AC1218)</f>
        <v/>
      </c>
      <c r="AG1218" s="7">
        <f>IF($C1218="","",AC1218-AF1218)</f>
        <v/>
      </c>
      <c r="AH1218" s="7">
        <f>IF($C1218="","",AG1218-R1218)</f>
        <v/>
      </c>
      <c r="AI1218">
        <f>IF($C1218="","",IF(COUNTIF($C$2:$C1218,$C1218)=1,1,0))</f>
        <v/>
      </c>
      <c r="AJ1218">
        <f>IF($AI1218=1,SUMPRODUCT(--($AL$2:$AL$1501&lt;$AL1218))+1,"")</f>
        <v/>
      </c>
      <c r="AK1218">
        <f>IF($C1218="","",IF(OR($AD1218=TRUE(),$AD1218="TRUE"),0,1))</f>
        <v/>
      </c>
      <c r="AL1218">
        <f>IF($AI1218=1,IFERROR(IF(VALUE($C1218)&lt;100000000,VALUE($C1218),1000000000),IFERROR(IF(VALUE(MID($C1218,2,20))&lt;100000000,VALUE(MID($C1218,2,20)),1000000000),1000000000))+ROW()/100000,"")</f>
        <v/>
      </c>
    </row>
    <row r="1219">
      <c r="J1219" s="7" t="n"/>
      <c r="K1219" s="7" t="n"/>
      <c r="R1219" s="7">
        <f>IF($C1219="","",Q1219*AC1219/100)</f>
        <v/>
      </c>
      <c r="S1219" s="11" t="n"/>
      <c r="U1219" s="11" t="n"/>
      <c r="AA1219" s="7" t="n"/>
      <c r="AC1219" s="7" t="n"/>
      <c r="AE1219">
        <f>IF($C1219="","",IF($AK1219=1,Settings!$C$6,Settings!$C$7)*1)</f>
        <v/>
      </c>
      <c r="AF1219" s="7">
        <f>IF($C1219="","",AE1219*AC1219)</f>
        <v/>
      </c>
      <c r="AG1219" s="7">
        <f>IF($C1219="","",AC1219-AF1219)</f>
        <v/>
      </c>
      <c r="AH1219" s="7">
        <f>IF($C1219="","",AG1219-R1219)</f>
        <v/>
      </c>
      <c r="AI1219">
        <f>IF($C1219="","",IF(COUNTIF($C$2:$C1219,$C1219)=1,1,0))</f>
        <v/>
      </c>
      <c r="AJ1219">
        <f>IF($AI1219=1,SUMPRODUCT(--($AL$2:$AL$1501&lt;$AL1219))+1,"")</f>
        <v/>
      </c>
      <c r="AK1219">
        <f>IF($C1219="","",IF(OR($AD1219=TRUE(),$AD1219="TRUE"),0,1))</f>
        <v/>
      </c>
      <c r="AL1219">
        <f>IF($AI1219=1,IFERROR(IF(VALUE($C1219)&lt;100000000,VALUE($C1219),1000000000),IFERROR(IF(VALUE(MID($C1219,2,20))&lt;100000000,VALUE(MID($C1219,2,20)),1000000000),1000000000))+ROW()/100000,"")</f>
        <v/>
      </c>
    </row>
    <row r="1220">
      <c r="J1220" s="7" t="n"/>
      <c r="K1220" s="7" t="n"/>
      <c r="R1220" s="7">
        <f>IF($C1220="","",Q1220*AC1220/100)</f>
        <v/>
      </c>
      <c r="S1220" s="11" t="n"/>
      <c r="U1220" s="11" t="n"/>
      <c r="AA1220" s="7" t="n"/>
      <c r="AC1220" s="7" t="n"/>
      <c r="AE1220">
        <f>IF($C1220="","",IF($AK1220=1,Settings!$C$6,Settings!$C$7)*1)</f>
        <v/>
      </c>
      <c r="AF1220" s="7">
        <f>IF($C1220="","",AE1220*AC1220)</f>
        <v/>
      </c>
      <c r="AG1220" s="7">
        <f>IF($C1220="","",AC1220-AF1220)</f>
        <v/>
      </c>
      <c r="AH1220" s="7">
        <f>IF($C1220="","",AG1220-R1220)</f>
        <v/>
      </c>
      <c r="AI1220">
        <f>IF($C1220="","",IF(COUNTIF($C$2:$C1220,$C1220)=1,1,0))</f>
        <v/>
      </c>
      <c r="AJ1220">
        <f>IF($AI1220=1,SUMPRODUCT(--($AL$2:$AL$1501&lt;$AL1220))+1,"")</f>
        <v/>
      </c>
      <c r="AK1220">
        <f>IF($C1220="","",IF(OR($AD1220=TRUE(),$AD1220="TRUE"),0,1))</f>
        <v/>
      </c>
      <c r="AL1220">
        <f>IF($AI1220=1,IFERROR(IF(VALUE($C1220)&lt;100000000,VALUE($C1220),1000000000),IFERROR(IF(VALUE(MID($C1220,2,20))&lt;100000000,VALUE(MID($C1220,2,20)),1000000000),1000000000))+ROW()/100000,"")</f>
        <v/>
      </c>
    </row>
    <row r="1221">
      <c r="J1221" s="7" t="n"/>
      <c r="K1221" s="7" t="n"/>
      <c r="R1221" s="7">
        <f>IF($C1221="","",Q1221*AC1221/100)</f>
        <v/>
      </c>
      <c r="S1221" s="11" t="n"/>
      <c r="U1221" s="11" t="n"/>
      <c r="AA1221" s="7" t="n"/>
      <c r="AC1221" s="7" t="n"/>
      <c r="AE1221">
        <f>IF($C1221="","",IF($AK1221=1,Settings!$C$6,Settings!$C$7)*1)</f>
        <v/>
      </c>
      <c r="AF1221" s="7">
        <f>IF($C1221="","",AE1221*AC1221)</f>
        <v/>
      </c>
      <c r="AG1221" s="7">
        <f>IF($C1221="","",AC1221-AF1221)</f>
        <v/>
      </c>
      <c r="AH1221" s="7">
        <f>IF($C1221="","",AG1221-R1221)</f>
        <v/>
      </c>
      <c r="AI1221">
        <f>IF($C1221="","",IF(COUNTIF($C$2:$C1221,$C1221)=1,1,0))</f>
        <v/>
      </c>
      <c r="AJ1221">
        <f>IF($AI1221=1,SUMPRODUCT(--($AL$2:$AL$1501&lt;$AL1221))+1,"")</f>
        <v/>
      </c>
      <c r="AK1221">
        <f>IF($C1221="","",IF(OR($AD1221=TRUE(),$AD1221="TRUE"),0,1))</f>
        <v/>
      </c>
      <c r="AL1221">
        <f>IF($AI1221=1,IFERROR(IF(VALUE($C1221)&lt;100000000,VALUE($C1221),1000000000),IFERROR(IF(VALUE(MID($C1221,2,20))&lt;100000000,VALUE(MID($C1221,2,20)),1000000000),1000000000))+ROW()/100000,"")</f>
        <v/>
      </c>
    </row>
    <row r="1222">
      <c r="J1222" s="7" t="n"/>
      <c r="K1222" s="7" t="n"/>
      <c r="R1222" s="7">
        <f>IF($C1222="","",Q1222*AC1222/100)</f>
        <v/>
      </c>
      <c r="S1222" s="11" t="n"/>
      <c r="U1222" s="11" t="n"/>
      <c r="AA1222" s="7" t="n"/>
      <c r="AC1222" s="7" t="n"/>
      <c r="AE1222">
        <f>IF($C1222="","",IF($AK1222=1,Settings!$C$6,Settings!$C$7)*1)</f>
        <v/>
      </c>
      <c r="AF1222" s="7">
        <f>IF($C1222="","",AE1222*AC1222)</f>
        <v/>
      </c>
      <c r="AG1222" s="7">
        <f>IF($C1222="","",AC1222-AF1222)</f>
        <v/>
      </c>
      <c r="AH1222" s="7">
        <f>IF($C1222="","",AG1222-R1222)</f>
        <v/>
      </c>
      <c r="AI1222">
        <f>IF($C1222="","",IF(COUNTIF($C$2:$C1222,$C1222)=1,1,0))</f>
        <v/>
      </c>
      <c r="AJ1222">
        <f>IF($AI1222=1,SUMPRODUCT(--($AL$2:$AL$1501&lt;$AL1222))+1,"")</f>
        <v/>
      </c>
      <c r="AK1222">
        <f>IF($C1222="","",IF(OR($AD1222=TRUE(),$AD1222="TRUE"),0,1))</f>
        <v/>
      </c>
      <c r="AL1222">
        <f>IF($AI1222=1,IFERROR(IF(VALUE($C1222)&lt;100000000,VALUE($C1222),1000000000),IFERROR(IF(VALUE(MID($C1222,2,20))&lt;100000000,VALUE(MID($C1222,2,20)),1000000000),1000000000))+ROW()/100000,"")</f>
        <v/>
      </c>
    </row>
    <row r="1223">
      <c r="J1223" s="7" t="n"/>
      <c r="K1223" s="7" t="n"/>
      <c r="R1223" s="7">
        <f>IF($C1223="","",Q1223*AC1223/100)</f>
        <v/>
      </c>
      <c r="S1223" s="11" t="n"/>
      <c r="U1223" s="11" t="n"/>
      <c r="AA1223" s="7" t="n"/>
      <c r="AC1223" s="7" t="n"/>
      <c r="AE1223">
        <f>IF($C1223="","",IF($AK1223=1,Settings!$C$6,Settings!$C$7)*1)</f>
        <v/>
      </c>
      <c r="AF1223" s="7">
        <f>IF($C1223="","",AE1223*AC1223)</f>
        <v/>
      </c>
      <c r="AG1223" s="7">
        <f>IF($C1223="","",AC1223-AF1223)</f>
        <v/>
      </c>
      <c r="AH1223" s="7">
        <f>IF($C1223="","",AG1223-R1223)</f>
        <v/>
      </c>
      <c r="AI1223">
        <f>IF($C1223="","",IF(COUNTIF($C$2:$C1223,$C1223)=1,1,0))</f>
        <v/>
      </c>
      <c r="AJ1223">
        <f>IF($AI1223=1,SUMPRODUCT(--($AL$2:$AL$1501&lt;$AL1223))+1,"")</f>
        <v/>
      </c>
      <c r="AK1223">
        <f>IF($C1223="","",IF(OR($AD1223=TRUE(),$AD1223="TRUE"),0,1))</f>
        <v/>
      </c>
      <c r="AL1223">
        <f>IF($AI1223=1,IFERROR(IF(VALUE($C1223)&lt;100000000,VALUE($C1223),1000000000),IFERROR(IF(VALUE(MID($C1223,2,20))&lt;100000000,VALUE(MID($C1223,2,20)),1000000000),1000000000))+ROW()/100000,"")</f>
        <v/>
      </c>
    </row>
    <row r="1224">
      <c r="J1224" s="7" t="n"/>
      <c r="K1224" s="7" t="n"/>
      <c r="R1224" s="7">
        <f>IF($C1224="","",Q1224*AC1224/100)</f>
        <v/>
      </c>
      <c r="S1224" s="11" t="n"/>
      <c r="U1224" s="11" t="n"/>
      <c r="AA1224" s="7" t="n"/>
      <c r="AC1224" s="7" t="n"/>
      <c r="AE1224">
        <f>IF($C1224="","",IF($AK1224=1,Settings!$C$6,Settings!$C$7)*1)</f>
        <v/>
      </c>
      <c r="AF1224" s="7">
        <f>IF($C1224="","",AE1224*AC1224)</f>
        <v/>
      </c>
      <c r="AG1224" s="7">
        <f>IF($C1224="","",AC1224-AF1224)</f>
        <v/>
      </c>
      <c r="AH1224" s="7">
        <f>IF($C1224="","",AG1224-R1224)</f>
        <v/>
      </c>
      <c r="AI1224">
        <f>IF($C1224="","",IF(COUNTIF($C$2:$C1224,$C1224)=1,1,0))</f>
        <v/>
      </c>
      <c r="AJ1224">
        <f>IF($AI1224=1,SUMPRODUCT(--($AL$2:$AL$1501&lt;$AL1224))+1,"")</f>
        <v/>
      </c>
      <c r="AK1224">
        <f>IF($C1224="","",IF(OR($AD1224=TRUE(),$AD1224="TRUE"),0,1))</f>
        <v/>
      </c>
      <c r="AL1224">
        <f>IF($AI1224=1,IFERROR(IF(VALUE($C1224)&lt;100000000,VALUE($C1224),1000000000),IFERROR(IF(VALUE(MID($C1224,2,20))&lt;100000000,VALUE(MID($C1224,2,20)),1000000000),1000000000))+ROW()/100000,"")</f>
        <v/>
      </c>
    </row>
    <row r="1225">
      <c r="J1225" s="7" t="n"/>
      <c r="K1225" s="7" t="n"/>
      <c r="R1225" s="7">
        <f>IF($C1225="","",Q1225*AC1225/100)</f>
        <v/>
      </c>
      <c r="S1225" s="11" t="n"/>
      <c r="U1225" s="11" t="n"/>
      <c r="AA1225" s="7" t="n"/>
      <c r="AC1225" s="7" t="n"/>
      <c r="AE1225">
        <f>IF($C1225="","",IF($AK1225=1,Settings!$C$6,Settings!$C$7)*1)</f>
        <v/>
      </c>
      <c r="AF1225" s="7">
        <f>IF($C1225="","",AE1225*AC1225)</f>
        <v/>
      </c>
      <c r="AG1225" s="7">
        <f>IF($C1225="","",AC1225-AF1225)</f>
        <v/>
      </c>
      <c r="AH1225" s="7">
        <f>IF($C1225="","",AG1225-R1225)</f>
        <v/>
      </c>
      <c r="AI1225">
        <f>IF($C1225="","",IF(COUNTIF($C$2:$C1225,$C1225)=1,1,0))</f>
        <v/>
      </c>
      <c r="AJ1225">
        <f>IF($AI1225=1,SUMPRODUCT(--($AL$2:$AL$1501&lt;$AL1225))+1,"")</f>
        <v/>
      </c>
      <c r="AK1225">
        <f>IF($C1225="","",IF(OR($AD1225=TRUE(),$AD1225="TRUE"),0,1))</f>
        <v/>
      </c>
      <c r="AL1225">
        <f>IF($AI1225=1,IFERROR(IF(VALUE($C1225)&lt;100000000,VALUE($C1225),1000000000),IFERROR(IF(VALUE(MID($C1225,2,20))&lt;100000000,VALUE(MID($C1225,2,20)),1000000000),1000000000))+ROW()/100000,"")</f>
        <v/>
      </c>
    </row>
    <row r="1226">
      <c r="J1226" s="7" t="n"/>
      <c r="K1226" s="7" t="n"/>
      <c r="R1226" s="7">
        <f>IF($C1226="","",Q1226*AC1226/100)</f>
        <v/>
      </c>
      <c r="S1226" s="11" t="n"/>
      <c r="U1226" s="11" t="n"/>
      <c r="AA1226" s="7" t="n"/>
      <c r="AC1226" s="7" t="n"/>
      <c r="AE1226">
        <f>IF($C1226="","",IF($AK1226=1,Settings!$C$6,Settings!$C$7)*1)</f>
        <v/>
      </c>
      <c r="AF1226" s="7">
        <f>IF($C1226="","",AE1226*AC1226)</f>
        <v/>
      </c>
      <c r="AG1226" s="7">
        <f>IF($C1226="","",AC1226-AF1226)</f>
        <v/>
      </c>
      <c r="AH1226" s="7">
        <f>IF($C1226="","",AG1226-R1226)</f>
        <v/>
      </c>
      <c r="AI1226">
        <f>IF($C1226="","",IF(COUNTIF($C$2:$C1226,$C1226)=1,1,0))</f>
        <v/>
      </c>
      <c r="AJ1226">
        <f>IF($AI1226=1,SUMPRODUCT(--($AL$2:$AL$1501&lt;$AL1226))+1,"")</f>
        <v/>
      </c>
      <c r="AK1226">
        <f>IF($C1226="","",IF(OR($AD1226=TRUE(),$AD1226="TRUE"),0,1))</f>
        <v/>
      </c>
      <c r="AL1226">
        <f>IF($AI1226=1,IFERROR(IF(VALUE($C1226)&lt;100000000,VALUE($C1226),1000000000),IFERROR(IF(VALUE(MID($C1226,2,20))&lt;100000000,VALUE(MID($C1226,2,20)),1000000000),1000000000))+ROW()/100000,"")</f>
        <v/>
      </c>
    </row>
    <row r="1227">
      <c r="J1227" s="7" t="n"/>
      <c r="K1227" s="7" t="n"/>
      <c r="R1227" s="7">
        <f>IF($C1227="","",Q1227*AC1227/100)</f>
        <v/>
      </c>
      <c r="S1227" s="11" t="n"/>
      <c r="U1227" s="11" t="n"/>
      <c r="AA1227" s="7" t="n"/>
      <c r="AC1227" s="7" t="n"/>
      <c r="AE1227">
        <f>IF($C1227="","",IF($AK1227=1,Settings!$C$6,Settings!$C$7)*1)</f>
        <v/>
      </c>
      <c r="AF1227" s="7">
        <f>IF($C1227="","",AE1227*AC1227)</f>
        <v/>
      </c>
      <c r="AG1227" s="7">
        <f>IF($C1227="","",AC1227-AF1227)</f>
        <v/>
      </c>
      <c r="AH1227" s="7">
        <f>IF($C1227="","",AG1227-R1227)</f>
        <v/>
      </c>
      <c r="AI1227">
        <f>IF($C1227="","",IF(COUNTIF($C$2:$C1227,$C1227)=1,1,0))</f>
        <v/>
      </c>
      <c r="AJ1227">
        <f>IF($AI1227=1,SUMPRODUCT(--($AL$2:$AL$1501&lt;$AL1227))+1,"")</f>
        <v/>
      </c>
      <c r="AK1227">
        <f>IF($C1227="","",IF(OR($AD1227=TRUE(),$AD1227="TRUE"),0,1))</f>
        <v/>
      </c>
      <c r="AL1227">
        <f>IF($AI1227=1,IFERROR(IF(VALUE($C1227)&lt;100000000,VALUE($C1227),1000000000),IFERROR(IF(VALUE(MID($C1227,2,20))&lt;100000000,VALUE(MID($C1227,2,20)),1000000000),1000000000))+ROW()/100000,"")</f>
        <v/>
      </c>
    </row>
    <row r="1228">
      <c r="J1228" s="7" t="n"/>
      <c r="K1228" s="7" t="n"/>
      <c r="R1228" s="7">
        <f>IF($C1228="","",Q1228*AC1228/100)</f>
        <v/>
      </c>
      <c r="S1228" s="11" t="n"/>
      <c r="U1228" s="11" t="n"/>
      <c r="AA1228" s="7" t="n"/>
      <c r="AC1228" s="7" t="n"/>
      <c r="AE1228">
        <f>IF($C1228="","",IF($AK1228=1,Settings!$C$6,Settings!$C$7)*1)</f>
        <v/>
      </c>
      <c r="AF1228" s="7">
        <f>IF($C1228="","",AE1228*AC1228)</f>
        <v/>
      </c>
      <c r="AG1228" s="7">
        <f>IF($C1228="","",AC1228-AF1228)</f>
        <v/>
      </c>
      <c r="AH1228" s="7">
        <f>IF($C1228="","",AG1228-R1228)</f>
        <v/>
      </c>
      <c r="AI1228">
        <f>IF($C1228="","",IF(COUNTIF($C$2:$C1228,$C1228)=1,1,0))</f>
        <v/>
      </c>
      <c r="AJ1228">
        <f>IF($AI1228=1,SUMPRODUCT(--($AL$2:$AL$1501&lt;$AL1228))+1,"")</f>
        <v/>
      </c>
      <c r="AK1228">
        <f>IF($C1228="","",IF(OR($AD1228=TRUE(),$AD1228="TRUE"),0,1))</f>
        <v/>
      </c>
      <c r="AL1228">
        <f>IF($AI1228=1,IFERROR(IF(VALUE($C1228)&lt;100000000,VALUE($C1228),1000000000),IFERROR(IF(VALUE(MID($C1228,2,20))&lt;100000000,VALUE(MID($C1228,2,20)),1000000000),1000000000))+ROW()/100000,"")</f>
        <v/>
      </c>
    </row>
    <row r="1229">
      <c r="J1229" s="7" t="n"/>
      <c r="K1229" s="7" t="n"/>
      <c r="R1229" s="7">
        <f>IF($C1229="","",Q1229*AC1229/100)</f>
        <v/>
      </c>
      <c r="S1229" s="11" t="n"/>
      <c r="U1229" s="11" t="n"/>
      <c r="AA1229" s="7" t="n"/>
      <c r="AC1229" s="7" t="n"/>
      <c r="AE1229">
        <f>IF($C1229="","",IF($AK1229=1,Settings!$C$6,Settings!$C$7)*1)</f>
        <v/>
      </c>
      <c r="AF1229" s="7">
        <f>IF($C1229="","",AE1229*AC1229)</f>
        <v/>
      </c>
      <c r="AG1229" s="7">
        <f>IF($C1229="","",AC1229-AF1229)</f>
        <v/>
      </c>
      <c r="AH1229" s="7">
        <f>IF($C1229="","",AG1229-R1229)</f>
        <v/>
      </c>
      <c r="AI1229">
        <f>IF($C1229="","",IF(COUNTIF($C$2:$C1229,$C1229)=1,1,0))</f>
        <v/>
      </c>
      <c r="AJ1229">
        <f>IF($AI1229=1,SUMPRODUCT(--($AL$2:$AL$1501&lt;$AL1229))+1,"")</f>
        <v/>
      </c>
      <c r="AK1229">
        <f>IF($C1229="","",IF(OR($AD1229=TRUE(),$AD1229="TRUE"),0,1))</f>
        <v/>
      </c>
      <c r="AL1229">
        <f>IF($AI1229=1,IFERROR(IF(VALUE($C1229)&lt;100000000,VALUE($C1229),1000000000),IFERROR(IF(VALUE(MID($C1229,2,20))&lt;100000000,VALUE(MID($C1229,2,20)),1000000000),1000000000))+ROW()/100000,"")</f>
        <v/>
      </c>
    </row>
    <row r="1230">
      <c r="J1230" s="7" t="n"/>
      <c r="K1230" s="7" t="n"/>
      <c r="R1230" s="7">
        <f>IF($C1230="","",Q1230*AC1230/100)</f>
        <v/>
      </c>
      <c r="S1230" s="11" t="n"/>
      <c r="U1230" s="11" t="n"/>
      <c r="AA1230" s="7" t="n"/>
      <c r="AC1230" s="7" t="n"/>
      <c r="AE1230">
        <f>IF($C1230="","",IF($AK1230=1,Settings!$C$6,Settings!$C$7)*1)</f>
        <v/>
      </c>
      <c r="AF1230" s="7">
        <f>IF($C1230="","",AE1230*AC1230)</f>
        <v/>
      </c>
      <c r="AG1230" s="7">
        <f>IF($C1230="","",AC1230-AF1230)</f>
        <v/>
      </c>
      <c r="AH1230" s="7">
        <f>IF($C1230="","",AG1230-R1230)</f>
        <v/>
      </c>
      <c r="AI1230">
        <f>IF($C1230="","",IF(COUNTIF($C$2:$C1230,$C1230)=1,1,0))</f>
        <v/>
      </c>
      <c r="AJ1230">
        <f>IF($AI1230=1,SUMPRODUCT(--($AL$2:$AL$1501&lt;$AL1230))+1,"")</f>
        <v/>
      </c>
      <c r="AK1230">
        <f>IF($C1230="","",IF(OR($AD1230=TRUE(),$AD1230="TRUE"),0,1))</f>
        <v/>
      </c>
      <c r="AL1230">
        <f>IF($AI1230=1,IFERROR(IF(VALUE($C1230)&lt;100000000,VALUE($C1230),1000000000),IFERROR(IF(VALUE(MID($C1230,2,20))&lt;100000000,VALUE(MID($C1230,2,20)),1000000000),1000000000))+ROW()/100000,"")</f>
        <v/>
      </c>
    </row>
    <row r="1231">
      <c r="J1231" s="7" t="n"/>
      <c r="K1231" s="7" t="n"/>
      <c r="R1231" s="7">
        <f>IF($C1231="","",Q1231*AC1231/100)</f>
        <v/>
      </c>
      <c r="S1231" s="11" t="n"/>
      <c r="U1231" s="11" t="n"/>
      <c r="AA1231" s="7" t="n"/>
      <c r="AC1231" s="7" t="n"/>
      <c r="AE1231">
        <f>IF($C1231="","",IF($AK1231=1,Settings!$C$6,Settings!$C$7)*1)</f>
        <v/>
      </c>
      <c r="AF1231" s="7">
        <f>IF($C1231="","",AE1231*AC1231)</f>
        <v/>
      </c>
      <c r="AG1231" s="7">
        <f>IF($C1231="","",AC1231-AF1231)</f>
        <v/>
      </c>
      <c r="AH1231" s="7">
        <f>IF($C1231="","",AG1231-R1231)</f>
        <v/>
      </c>
      <c r="AI1231">
        <f>IF($C1231="","",IF(COUNTIF($C$2:$C1231,$C1231)=1,1,0))</f>
        <v/>
      </c>
      <c r="AJ1231">
        <f>IF($AI1231=1,SUMPRODUCT(--($AL$2:$AL$1501&lt;$AL1231))+1,"")</f>
        <v/>
      </c>
      <c r="AK1231">
        <f>IF($C1231="","",IF(OR($AD1231=TRUE(),$AD1231="TRUE"),0,1))</f>
        <v/>
      </c>
      <c r="AL1231">
        <f>IF($AI1231=1,IFERROR(IF(VALUE($C1231)&lt;100000000,VALUE($C1231),1000000000),IFERROR(IF(VALUE(MID($C1231,2,20))&lt;100000000,VALUE(MID($C1231,2,20)),1000000000),1000000000))+ROW()/100000,"")</f>
        <v/>
      </c>
    </row>
    <row r="1232">
      <c r="J1232" s="7" t="n"/>
      <c r="K1232" s="7" t="n"/>
      <c r="R1232" s="7">
        <f>IF($C1232="","",Q1232*AC1232/100)</f>
        <v/>
      </c>
      <c r="S1232" s="11" t="n"/>
      <c r="U1232" s="11" t="n"/>
      <c r="AA1232" s="7" t="n"/>
      <c r="AC1232" s="7" t="n"/>
      <c r="AE1232">
        <f>IF($C1232="","",IF($AK1232=1,Settings!$C$6,Settings!$C$7)*1)</f>
        <v/>
      </c>
      <c r="AF1232" s="7">
        <f>IF($C1232="","",AE1232*AC1232)</f>
        <v/>
      </c>
      <c r="AG1232" s="7">
        <f>IF($C1232="","",AC1232-AF1232)</f>
        <v/>
      </c>
      <c r="AH1232" s="7">
        <f>IF($C1232="","",AG1232-R1232)</f>
        <v/>
      </c>
      <c r="AI1232">
        <f>IF($C1232="","",IF(COUNTIF($C$2:$C1232,$C1232)=1,1,0))</f>
        <v/>
      </c>
      <c r="AJ1232">
        <f>IF($AI1232=1,SUMPRODUCT(--($AL$2:$AL$1501&lt;$AL1232))+1,"")</f>
        <v/>
      </c>
      <c r="AK1232">
        <f>IF($C1232="","",IF(OR($AD1232=TRUE(),$AD1232="TRUE"),0,1))</f>
        <v/>
      </c>
      <c r="AL1232">
        <f>IF($AI1232=1,IFERROR(IF(VALUE($C1232)&lt;100000000,VALUE($C1232),1000000000),IFERROR(IF(VALUE(MID($C1232,2,20))&lt;100000000,VALUE(MID($C1232,2,20)),1000000000),1000000000))+ROW()/100000,"")</f>
        <v/>
      </c>
    </row>
    <row r="1233">
      <c r="J1233" s="7" t="n"/>
      <c r="K1233" s="7" t="n"/>
      <c r="R1233" s="7">
        <f>IF($C1233="","",Q1233*AC1233/100)</f>
        <v/>
      </c>
      <c r="S1233" s="11" t="n"/>
      <c r="U1233" s="11" t="n"/>
      <c r="AA1233" s="7" t="n"/>
      <c r="AC1233" s="7" t="n"/>
      <c r="AE1233">
        <f>IF($C1233="","",IF($AK1233=1,Settings!$C$6,Settings!$C$7)*1)</f>
        <v/>
      </c>
      <c r="AF1233" s="7">
        <f>IF($C1233="","",AE1233*AC1233)</f>
        <v/>
      </c>
      <c r="AG1233" s="7">
        <f>IF($C1233="","",AC1233-AF1233)</f>
        <v/>
      </c>
      <c r="AH1233" s="7">
        <f>IF($C1233="","",AG1233-R1233)</f>
        <v/>
      </c>
      <c r="AI1233">
        <f>IF($C1233="","",IF(COUNTIF($C$2:$C1233,$C1233)=1,1,0))</f>
        <v/>
      </c>
      <c r="AJ1233">
        <f>IF($AI1233=1,SUMPRODUCT(--($AL$2:$AL$1501&lt;$AL1233))+1,"")</f>
        <v/>
      </c>
      <c r="AK1233">
        <f>IF($C1233="","",IF(OR($AD1233=TRUE(),$AD1233="TRUE"),0,1))</f>
        <v/>
      </c>
      <c r="AL1233">
        <f>IF($AI1233=1,IFERROR(IF(VALUE($C1233)&lt;100000000,VALUE($C1233),1000000000),IFERROR(IF(VALUE(MID($C1233,2,20))&lt;100000000,VALUE(MID($C1233,2,20)),1000000000),1000000000))+ROW()/100000,"")</f>
        <v/>
      </c>
    </row>
    <row r="1234">
      <c r="J1234" s="7" t="n"/>
      <c r="K1234" s="7" t="n"/>
      <c r="R1234" s="7">
        <f>IF($C1234="","",Q1234*AC1234/100)</f>
        <v/>
      </c>
      <c r="S1234" s="11" t="n"/>
      <c r="U1234" s="11" t="n"/>
      <c r="AA1234" s="7" t="n"/>
      <c r="AC1234" s="7" t="n"/>
      <c r="AE1234">
        <f>IF($C1234="","",IF($AK1234=1,Settings!$C$6,Settings!$C$7)*1)</f>
        <v/>
      </c>
      <c r="AF1234" s="7">
        <f>IF($C1234="","",AE1234*AC1234)</f>
        <v/>
      </c>
      <c r="AG1234" s="7">
        <f>IF($C1234="","",AC1234-AF1234)</f>
        <v/>
      </c>
      <c r="AH1234" s="7">
        <f>IF($C1234="","",AG1234-R1234)</f>
        <v/>
      </c>
      <c r="AI1234">
        <f>IF($C1234="","",IF(COUNTIF($C$2:$C1234,$C1234)=1,1,0))</f>
        <v/>
      </c>
      <c r="AJ1234">
        <f>IF($AI1234=1,SUMPRODUCT(--($AL$2:$AL$1501&lt;$AL1234))+1,"")</f>
        <v/>
      </c>
      <c r="AK1234">
        <f>IF($C1234="","",IF(OR($AD1234=TRUE(),$AD1234="TRUE"),0,1))</f>
        <v/>
      </c>
      <c r="AL1234">
        <f>IF($AI1234=1,IFERROR(IF(VALUE($C1234)&lt;100000000,VALUE($C1234),1000000000),IFERROR(IF(VALUE(MID($C1234,2,20))&lt;100000000,VALUE(MID($C1234,2,20)),1000000000),1000000000))+ROW()/100000,"")</f>
        <v/>
      </c>
    </row>
    <row r="1235">
      <c r="J1235" s="7" t="n"/>
      <c r="K1235" s="7" t="n"/>
      <c r="R1235" s="7">
        <f>IF($C1235="","",Q1235*AC1235/100)</f>
        <v/>
      </c>
      <c r="S1235" s="11" t="n"/>
      <c r="U1235" s="11" t="n"/>
      <c r="AA1235" s="7" t="n"/>
      <c r="AC1235" s="7" t="n"/>
      <c r="AE1235">
        <f>IF($C1235="","",IF($AK1235=1,Settings!$C$6,Settings!$C$7)*1)</f>
        <v/>
      </c>
      <c r="AF1235" s="7">
        <f>IF($C1235="","",AE1235*AC1235)</f>
        <v/>
      </c>
      <c r="AG1235" s="7">
        <f>IF($C1235="","",AC1235-AF1235)</f>
        <v/>
      </c>
      <c r="AH1235" s="7">
        <f>IF($C1235="","",AG1235-R1235)</f>
        <v/>
      </c>
      <c r="AI1235">
        <f>IF($C1235="","",IF(COUNTIF($C$2:$C1235,$C1235)=1,1,0))</f>
        <v/>
      </c>
      <c r="AJ1235">
        <f>IF($AI1235=1,SUMPRODUCT(--($AL$2:$AL$1501&lt;$AL1235))+1,"")</f>
        <v/>
      </c>
      <c r="AK1235">
        <f>IF($C1235="","",IF(OR($AD1235=TRUE(),$AD1235="TRUE"),0,1))</f>
        <v/>
      </c>
      <c r="AL1235">
        <f>IF($AI1235=1,IFERROR(IF(VALUE($C1235)&lt;100000000,VALUE($C1235),1000000000),IFERROR(IF(VALUE(MID($C1235,2,20))&lt;100000000,VALUE(MID($C1235,2,20)),1000000000),1000000000))+ROW()/100000,"")</f>
        <v/>
      </c>
    </row>
    <row r="1236">
      <c r="J1236" s="7" t="n"/>
      <c r="K1236" s="7" t="n"/>
      <c r="R1236" s="7">
        <f>IF($C1236="","",Q1236*AC1236/100)</f>
        <v/>
      </c>
      <c r="S1236" s="11" t="n"/>
      <c r="U1236" s="11" t="n"/>
      <c r="AA1236" s="7" t="n"/>
      <c r="AC1236" s="7" t="n"/>
      <c r="AE1236">
        <f>IF($C1236="","",IF($AK1236=1,Settings!$C$6,Settings!$C$7)*1)</f>
        <v/>
      </c>
      <c r="AF1236" s="7">
        <f>IF($C1236="","",AE1236*AC1236)</f>
        <v/>
      </c>
      <c r="AG1236" s="7">
        <f>IF($C1236="","",AC1236-AF1236)</f>
        <v/>
      </c>
      <c r="AH1236" s="7">
        <f>IF($C1236="","",AG1236-R1236)</f>
        <v/>
      </c>
      <c r="AI1236">
        <f>IF($C1236="","",IF(COUNTIF($C$2:$C1236,$C1236)=1,1,0))</f>
        <v/>
      </c>
      <c r="AJ1236">
        <f>IF($AI1236=1,SUMPRODUCT(--($AL$2:$AL$1501&lt;$AL1236))+1,"")</f>
        <v/>
      </c>
      <c r="AK1236">
        <f>IF($C1236="","",IF(OR($AD1236=TRUE(),$AD1236="TRUE"),0,1))</f>
        <v/>
      </c>
      <c r="AL1236">
        <f>IF($AI1236=1,IFERROR(IF(VALUE($C1236)&lt;100000000,VALUE($C1236),1000000000),IFERROR(IF(VALUE(MID($C1236,2,20))&lt;100000000,VALUE(MID($C1236,2,20)),1000000000),1000000000))+ROW()/100000,"")</f>
        <v/>
      </c>
    </row>
    <row r="1237">
      <c r="J1237" s="7" t="n"/>
      <c r="K1237" s="7" t="n"/>
      <c r="R1237" s="7">
        <f>IF($C1237="","",Q1237*AC1237/100)</f>
        <v/>
      </c>
      <c r="S1237" s="11" t="n"/>
      <c r="U1237" s="11" t="n"/>
      <c r="AA1237" s="7" t="n"/>
      <c r="AC1237" s="7" t="n"/>
      <c r="AE1237">
        <f>IF($C1237="","",IF($AK1237=1,Settings!$C$6,Settings!$C$7)*1)</f>
        <v/>
      </c>
      <c r="AF1237" s="7">
        <f>IF($C1237="","",AE1237*AC1237)</f>
        <v/>
      </c>
      <c r="AG1237" s="7">
        <f>IF($C1237="","",AC1237-AF1237)</f>
        <v/>
      </c>
      <c r="AH1237" s="7">
        <f>IF($C1237="","",AG1237-R1237)</f>
        <v/>
      </c>
      <c r="AI1237">
        <f>IF($C1237="","",IF(COUNTIF($C$2:$C1237,$C1237)=1,1,0))</f>
        <v/>
      </c>
      <c r="AJ1237">
        <f>IF($AI1237=1,SUMPRODUCT(--($AL$2:$AL$1501&lt;$AL1237))+1,"")</f>
        <v/>
      </c>
      <c r="AK1237">
        <f>IF($C1237="","",IF(OR($AD1237=TRUE(),$AD1237="TRUE"),0,1))</f>
        <v/>
      </c>
      <c r="AL1237">
        <f>IF($AI1237=1,IFERROR(IF(VALUE($C1237)&lt;100000000,VALUE($C1237),1000000000),IFERROR(IF(VALUE(MID($C1237,2,20))&lt;100000000,VALUE(MID($C1237,2,20)),1000000000),1000000000))+ROW()/100000,"")</f>
        <v/>
      </c>
    </row>
    <row r="1238">
      <c r="J1238" s="7" t="n"/>
      <c r="K1238" s="7" t="n"/>
      <c r="R1238" s="7">
        <f>IF($C1238="","",Q1238*AC1238/100)</f>
        <v/>
      </c>
      <c r="S1238" s="11" t="n"/>
      <c r="U1238" s="11" t="n"/>
      <c r="AA1238" s="7" t="n"/>
      <c r="AC1238" s="7" t="n"/>
      <c r="AE1238">
        <f>IF($C1238="","",IF($AK1238=1,Settings!$C$6,Settings!$C$7)*1)</f>
        <v/>
      </c>
      <c r="AF1238" s="7">
        <f>IF($C1238="","",AE1238*AC1238)</f>
        <v/>
      </c>
      <c r="AG1238" s="7">
        <f>IF($C1238="","",AC1238-AF1238)</f>
        <v/>
      </c>
      <c r="AH1238" s="7">
        <f>IF($C1238="","",AG1238-R1238)</f>
        <v/>
      </c>
      <c r="AI1238">
        <f>IF($C1238="","",IF(COUNTIF($C$2:$C1238,$C1238)=1,1,0))</f>
        <v/>
      </c>
      <c r="AJ1238">
        <f>IF($AI1238=1,SUMPRODUCT(--($AL$2:$AL$1501&lt;$AL1238))+1,"")</f>
        <v/>
      </c>
      <c r="AK1238">
        <f>IF($C1238="","",IF(OR($AD1238=TRUE(),$AD1238="TRUE"),0,1))</f>
        <v/>
      </c>
      <c r="AL1238">
        <f>IF($AI1238=1,IFERROR(IF(VALUE($C1238)&lt;100000000,VALUE($C1238),1000000000),IFERROR(IF(VALUE(MID($C1238,2,20))&lt;100000000,VALUE(MID($C1238,2,20)),1000000000),1000000000))+ROW()/100000,"")</f>
        <v/>
      </c>
    </row>
    <row r="1239">
      <c r="J1239" s="7" t="n"/>
      <c r="K1239" s="7" t="n"/>
      <c r="R1239" s="7">
        <f>IF($C1239="","",Q1239*AC1239/100)</f>
        <v/>
      </c>
      <c r="S1239" s="11" t="n"/>
      <c r="U1239" s="11" t="n"/>
      <c r="AA1239" s="7" t="n"/>
      <c r="AC1239" s="7" t="n"/>
      <c r="AE1239">
        <f>IF($C1239="","",IF($AK1239=1,Settings!$C$6,Settings!$C$7)*1)</f>
        <v/>
      </c>
      <c r="AF1239" s="7">
        <f>IF($C1239="","",AE1239*AC1239)</f>
        <v/>
      </c>
      <c r="AG1239" s="7">
        <f>IF($C1239="","",AC1239-AF1239)</f>
        <v/>
      </c>
      <c r="AH1239" s="7">
        <f>IF($C1239="","",AG1239-R1239)</f>
        <v/>
      </c>
      <c r="AI1239">
        <f>IF($C1239="","",IF(COUNTIF($C$2:$C1239,$C1239)=1,1,0))</f>
        <v/>
      </c>
      <c r="AJ1239">
        <f>IF($AI1239=1,SUMPRODUCT(--($AL$2:$AL$1501&lt;$AL1239))+1,"")</f>
        <v/>
      </c>
      <c r="AK1239">
        <f>IF($C1239="","",IF(OR($AD1239=TRUE(),$AD1239="TRUE"),0,1))</f>
        <v/>
      </c>
      <c r="AL1239">
        <f>IF($AI1239=1,IFERROR(IF(VALUE($C1239)&lt;100000000,VALUE($C1239),1000000000),IFERROR(IF(VALUE(MID($C1239,2,20))&lt;100000000,VALUE(MID($C1239,2,20)),1000000000),1000000000))+ROW()/100000,"")</f>
        <v/>
      </c>
    </row>
    <row r="1240">
      <c r="J1240" s="7" t="n"/>
      <c r="K1240" s="7" t="n"/>
      <c r="R1240" s="7">
        <f>IF($C1240="","",Q1240*AC1240/100)</f>
        <v/>
      </c>
      <c r="S1240" s="11" t="n"/>
      <c r="U1240" s="11" t="n"/>
      <c r="AA1240" s="7" t="n"/>
      <c r="AC1240" s="7" t="n"/>
      <c r="AE1240">
        <f>IF($C1240="","",IF($AK1240=1,Settings!$C$6,Settings!$C$7)*1)</f>
        <v/>
      </c>
      <c r="AF1240" s="7">
        <f>IF($C1240="","",AE1240*AC1240)</f>
        <v/>
      </c>
      <c r="AG1240" s="7">
        <f>IF($C1240="","",AC1240-AF1240)</f>
        <v/>
      </c>
      <c r="AH1240" s="7">
        <f>IF($C1240="","",AG1240-R1240)</f>
        <v/>
      </c>
      <c r="AI1240">
        <f>IF($C1240="","",IF(COUNTIF($C$2:$C1240,$C1240)=1,1,0))</f>
        <v/>
      </c>
      <c r="AJ1240">
        <f>IF($AI1240=1,SUMPRODUCT(--($AL$2:$AL$1501&lt;$AL1240))+1,"")</f>
        <v/>
      </c>
      <c r="AK1240">
        <f>IF($C1240="","",IF(OR($AD1240=TRUE(),$AD1240="TRUE"),0,1))</f>
        <v/>
      </c>
      <c r="AL1240">
        <f>IF($AI1240=1,IFERROR(IF(VALUE($C1240)&lt;100000000,VALUE($C1240),1000000000),IFERROR(IF(VALUE(MID($C1240,2,20))&lt;100000000,VALUE(MID($C1240,2,20)),1000000000),1000000000))+ROW()/100000,"")</f>
        <v/>
      </c>
    </row>
    <row r="1241">
      <c r="J1241" s="7" t="n"/>
      <c r="K1241" s="7" t="n"/>
      <c r="R1241" s="7">
        <f>IF($C1241="","",Q1241*AC1241/100)</f>
        <v/>
      </c>
      <c r="S1241" s="11" t="n"/>
      <c r="U1241" s="11" t="n"/>
      <c r="AA1241" s="7" t="n"/>
      <c r="AC1241" s="7" t="n"/>
      <c r="AE1241">
        <f>IF($C1241="","",IF($AK1241=1,Settings!$C$6,Settings!$C$7)*1)</f>
        <v/>
      </c>
      <c r="AF1241" s="7">
        <f>IF($C1241="","",AE1241*AC1241)</f>
        <v/>
      </c>
      <c r="AG1241" s="7">
        <f>IF($C1241="","",AC1241-AF1241)</f>
        <v/>
      </c>
      <c r="AH1241" s="7">
        <f>IF($C1241="","",AG1241-R1241)</f>
        <v/>
      </c>
      <c r="AI1241">
        <f>IF($C1241="","",IF(COUNTIF($C$2:$C1241,$C1241)=1,1,0))</f>
        <v/>
      </c>
      <c r="AJ1241">
        <f>IF($AI1241=1,SUMPRODUCT(--($AL$2:$AL$1501&lt;$AL1241))+1,"")</f>
        <v/>
      </c>
      <c r="AK1241">
        <f>IF($C1241="","",IF(OR($AD1241=TRUE(),$AD1241="TRUE"),0,1))</f>
        <v/>
      </c>
      <c r="AL1241">
        <f>IF($AI1241=1,IFERROR(IF(VALUE($C1241)&lt;100000000,VALUE($C1241),1000000000),IFERROR(IF(VALUE(MID($C1241,2,20))&lt;100000000,VALUE(MID($C1241,2,20)),1000000000),1000000000))+ROW()/100000,"")</f>
        <v/>
      </c>
    </row>
    <row r="1242">
      <c r="J1242" s="7" t="n"/>
      <c r="K1242" s="7" t="n"/>
      <c r="R1242" s="7">
        <f>IF($C1242="","",Q1242*AC1242/100)</f>
        <v/>
      </c>
      <c r="S1242" s="11" t="n"/>
      <c r="U1242" s="11" t="n"/>
      <c r="AA1242" s="7" t="n"/>
      <c r="AC1242" s="7" t="n"/>
      <c r="AE1242">
        <f>IF($C1242="","",IF($AK1242=1,Settings!$C$6,Settings!$C$7)*1)</f>
        <v/>
      </c>
      <c r="AF1242" s="7">
        <f>IF($C1242="","",AE1242*AC1242)</f>
        <v/>
      </c>
      <c r="AG1242" s="7">
        <f>IF($C1242="","",AC1242-AF1242)</f>
        <v/>
      </c>
      <c r="AH1242" s="7">
        <f>IF($C1242="","",AG1242-R1242)</f>
        <v/>
      </c>
      <c r="AI1242">
        <f>IF($C1242="","",IF(COUNTIF($C$2:$C1242,$C1242)=1,1,0))</f>
        <v/>
      </c>
      <c r="AJ1242">
        <f>IF($AI1242=1,SUMPRODUCT(--($AL$2:$AL$1501&lt;$AL1242))+1,"")</f>
        <v/>
      </c>
      <c r="AK1242">
        <f>IF($C1242="","",IF(OR($AD1242=TRUE(),$AD1242="TRUE"),0,1))</f>
        <v/>
      </c>
      <c r="AL1242">
        <f>IF($AI1242=1,IFERROR(IF(VALUE($C1242)&lt;100000000,VALUE($C1242),1000000000),IFERROR(IF(VALUE(MID($C1242,2,20))&lt;100000000,VALUE(MID($C1242,2,20)),1000000000),1000000000))+ROW()/100000,"")</f>
        <v/>
      </c>
    </row>
    <row r="1243">
      <c r="J1243" s="7" t="n"/>
      <c r="K1243" s="7" t="n"/>
      <c r="R1243" s="7">
        <f>IF($C1243="","",Q1243*AC1243/100)</f>
        <v/>
      </c>
      <c r="S1243" s="11" t="n"/>
      <c r="U1243" s="11" t="n"/>
      <c r="AA1243" s="7" t="n"/>
      <c r="AC1243" s="7" t="n"/>
      <c r="AE1243">
        <f>IF($C1243="","",IF($AK1243=1,Settings!$C$6,Settings!$C$7)*1)</f>
        <v/>
      </c>
      <c r="AF1243" s="7">
        <f>IF($C1243="","",AE1243*AC1243)</f>
        <v/>
      </c>
      <c r="AG1243" s="7">
        <f>IF($C1243="","",AC1243-AF1243)</f>
        <v/>
      </c>
      <c r="AH1243" s="7">
        <f>IF($C1243="","",AG1243-R1243)</f>
        <v/>
      </c>
      <c r="AI1243">
        <f>IF($C1243="","",IF(COUNTIF($C$2:$C1243,$C1243)=1,1,0))</f>
        <v/>
      </c>
      <c r="AJ1243">
        <f>IF($AI1243=1,SUMPRODUCT(--($AL$2:$AL$1501&lt;$AL1243))+1,"")</f>
        <v/>
      </c>
      <c r="AK1243">
        <f>IF($C1243="","",IF(OR($AD1243=TRUE(),$AD1243="TRUE"),0,1))</f>
        <v/>
      </c>
      <c r="AL1243">
        <f>IF($AI1243=1,IFERROR(IF(VALUE($C1243)&lt;100000000,VALUE($C1243),1000000000),IFERROR(IF(VALUE(MID($C1243,2,20))&lt;100000000,VALUE(MID($C1243,2,20)),1000000000),1000000000))+ROW()/100000,"")</f>
        <v/>
      </c>
    </row>
    <row r="1244">
      <c r="J1244" s="7" t="n"/>
      <c r="K1244" s="7" t="n"/>
      <c r="R1244" s="7">
        <f>IF($C1244="","",Q1244*AC1244/100)</f>
        <v/>
      </c>
      <c r="S1244" s="11" t="n"/>
      <c r="U1244" s="11" t="n"/>
      <c r="AA1244" s="7" t="n"/>
      <c r="AC1244" s="7" t="n"/>
      <c r="AE1244">
        <f>IF($C1244="","",IF($AK1244=1,Settings!$C$6,Settings!$C$7)*1)</f>
        <v/>
      </c>
      <c r="AF1244" s="7">
        <f>IF($C1244="","",AE1244*AC1244)</f>
        <v/>
      </c>
      <c r="AG1244" s="7">
        <f>IF($C1244="","",AC1244-AF1244)</f>
        <v/>
      </c>
      <c r="AH1244" s="7">
        <f>IF($C1244="","",AG1244-R1244)</f>
        <v/>
      </c>
      <c r="AI1244">
        <f>IF($C1244="","",IF(COUNTIF($C$2:$C1244,$C1244)=1,1,0))</f>
        <v/>
      </c>
      <c r="AJ1244">
        <f>IF($AI1244=1,SUMPRODUCT(--($AL$2:$AL$1501&lt;$AL1244))+1,"")</f>
        <v/>
      </c>
      <c r="AK1244">
        <f>IF($C1244="","",IF(OR($AD1244=TRUE(),$AD1244="TRUE"),0,1))</f>
        <v/>
      </c>
      <c r="AL1244">
        <f>IF($AI1244=1,IFERROR(IF(VALUE($C1244)&lt;100000000,VALUE($C1244),1000000000),IFERROR(IF(VALUE(MID($C1244,2,20))&lt;100000000,VALUE(MID($C1244,2,20)),1000000000),1000000000))+ROW()/100000,"")</f>
        <v/>
      </c>
    </row>
    <row r="1245">
      <c r="J1245" s="7" t="n"/>
      <c r="K1245" s="7" t="n"/>
      <c r="R1245" s="7">
        <f>IF($C1245="","",Q1245*AC1245/100)</f>
        <v/>
      </c>
      <c r="S1245" s="11" t="n"/>
      <c r="U1245" s="11" t="n"/>
      <c r="AA1245" s="7" t="n"/>
      <c r="AC1245" s="7" t="n"/>
      <c r="AE1245">
        <f>IF($C1245="","",IF($AK1245=1,Settings!$C$6,Settings!$C$7)*1)</f>
        <v/>
      </c>
      <c r="AF1245" s="7">
        <f>IF($C1245="","",AE1245*AC1245)</f>
        <v/>
      </c>
      <c r="AG1245" s="7">
        <f>IF($C1245="","",AC1245-AF1245)</f>
        <v/>
      </c>
      <c r="AH1245" s="7">
        <f>IF($C1245="","",AG1245-R1245)</f>
        <v/>
      </c>
      <c r="AI1245">
        <f>IF($C1245="","",IF(COUNTIF($C$2:$C1245,$C1245)=1,1,0))</f>
        <v/>
      </c>
      <c r="AJ1245">
        <f>IF($AI1245=1,SUMPRODUCT(--($AL$2:$AL$1501&lt;$AL1245))+1,"")</f>
        <v/>
      </c>
      <c r="AK1245">
        <f>IF($C1245="","",IF(OR($AD1245=TRUE(),$AD1245="TRUE"),0,1))</f>
        <v/>
      </c>
      <c r="AL1245">
        <f>IF($AI1245=1,IFERROR(IF(VALUE($C1245)&lt;100000000,VALUE($C1245),1000000000),IFERROR(IF(VALUE(MID($C1245,2,20))&lt;100000000,VALUE(MID($C1245,2,20)),1000000000),1000000000))+ROW()/100000,"")</f>
        <v/>
      </c>
    </row>
    <row r="1246">
      <c r="J1246" s="7" t="n"/>
      <c r="K1246" s="7" t="n"/>
      <c r="R1246" s="7">
        <f>IF($C1246="","",Q1246*AC1246/100)</f>
        <v/>
      </c>
      <c r="S1246" s="11" t="n"/>
      <c r="U1246" s="11" t="n"/>
      <c r="AA1246" s="7" t="n"/>
      <c r="AC1246" s="7" t="n"/>
      <c r="AE1246">
        <f>IF($C1246="","",IF($AK1246=1,Settings!$C$6,Settings!$C$7)*1)</f>
        <v/>
      </c>
      <c r="AF1246" s="7">
        <f>IF($C1246="","",AE1246*AC1246)</f>
        <v/>
      </c>
      <c r="AG1246" s="7">
        <f>IF($C1246="","",AC1246-AF1246)</f>
        <v/>
      </c>
      <c r="AH1246" s="7">
        <f>IF($C1246="","",AG1246-R1246)</f>
        <v/>
      </c>
      <c r="AI1246">
        <f>IF($C1246="","",IF(COUNTIF($C$2:$C1246,$C1246)=1,1,0))</f>
        <v/>
      </c>
      <c r="AJ1246">
        <f>IF($AI1246=1,SUMPRODUCT(--($AL$2:$AL$1501&lt;$AL1246))+1,"")</f>
        <v/>
      </c>
      <c r="AK1246">
        <f>IF($C1246="","",IF(OR($AD1246=TRUE(),$AD1246="TRUE"),0,1))</f>
        <v/>
      </c>
      <c r="AL1246">
        <f>IF($AI1246=1,IFERROR(IF(VALUE($C1246)&lt;100000000,VALUE($C1246),1000000000),IFERROR(IF(VALUE(MID($C1246,2,20))&lt;100000000,VALUE(MID($C1246,2,20)),1000000000),1000000000))+ROW()/100000,"")</f>
        <v/>
      </c>
    </row>
    <row r="1247">
      <c r="J1247" s="7" t="n"/>
      <c r="K1247" s="7" t="n"/>
      <c r="R1247" s="7">
        <f>IF($C1247="","",Q1247*AC1247/100)</f>
        <v/>
      </c>
      <c r="S1247" s="11" t="n"/>
      <c r="U1247" s="11" t="n"/>
      <c r="AA1247" s="7" t="n"/>
      <c r="AC1247" s="7" t="n"/>
      <c r="AE1247">
        <f>IF($C1247="","",IF($AK1247=1,Settings!$C$6,Settings!$C$7)*1)</f>
        <v/>
      </c>
      <c r="AF1247" s="7">
        <f>IF($C1247="","",AE1247*AC1247)</f>
        <v/>
      </c>
      <c r="AG1247" s="7">
        <f>IF($C1247="","",AC1247-AF1247)</f>
        <v/>
      </c>
      <c r="AH1247" s="7">
        <f>IF($C1247="","",AG1247-R1247)</f>
        <v/>
      </c>
      <c r="AI1247">
        <f>IF($C1247="","",IF(COUNTIF($C$2:$C1247,$C1247)=1,1,0))</f>
        <v/>
      </c>
      <c r="AJ1247">
        <f>IF($AI1247=1,SUMPRODUCT(--($AL$2:$AL$1501&lt;$AL1247))+1,"")</f>
        <v/>
      </c>
      <c r="AK1247">
        <f>IF($C1247="","",IF(OR($AD1247=TRUE(),$AD1247="TRUE"),0,1))</f>
        <v/>
      </c>
      <c r="AL1247">
        <f>IF($AI1247=1,IFERROR(IF(VALUE($C1247)&lt;100000000,VALUE($C1247),1000000000),IFERROR(IF(VALUE(MID($C1247,2,20))&lt;100000000,VALUE(MID($C1247,2,20)),1000000000),1000000000))+ROW()/100000,"")</f>
        <v/>
      </c>
    </row>
    <row r="1248">
      <c r="J1248" s="7" t="n"/>
      <c r="K1248" s="7" t="n"/>
      <c r="R1248" s="7">
        <f>IF($C1248="","",Q1248*AC1248/100)</f>
        <v/>
      </c>
      <c r="S1248" s="11" t="n"/>
      <c r="U1248" s="11" t="n"/>
      <c r="AA1248" s="7" t="n"/>
      <c r="AC1248" s="7" t="n"/>
      <c r="AE1248">
        <f>IF($C1248="","",IF($AK1248=1,Settings!$C$6,Settings!$C$7)*1)</f>
        <v/>
      </c>
      <c r="AF1248" s="7">
        <f>IF($C1248="","",AE1248*AC1248)</f>
        <v/>
      </c>
      <c r="AG1248" s="7">
        <f>IF($C1248="","",AC1248-AF1248)</f>
        <v/>
      </c>
      <c r="AH1248" s="7">
        <f>IF($C1248="","",AG1248-R1248)</f>
        <v/>
      </c>
      <c r="AI1248">
        <f>IF($C1248="","",IF(COUNTIF($C$2:$C1248,$C1248)=1,1,0))</f>
        <v/>
      </c>
      <c r="AJ1248">
        <f>IF($AI1248=1,SUMPRODUCT(--($AL$2:$AL$1501&lt;$AL1248))+1,"")</f>
        <v/>
      </c>
      <c r="AK1248">
        <f>IF($C1248="","",IF(OR($AD1248=TRUE(),$AD1248="TRUE"),0,1))</f>
        <v/>
      </c>
      <c r="AL1248">
        <f>IF($AI1248=1,IFERROR(IF(VALUE($C1248)&lt;100000000,VALUE($C1248),1000000000),IFERROR(IF(VALUE(MID($C1248,2,20))&lt;100000000,VALUE(MID($C1248,2,20)),1000000000),1000000000))+ROW()/100000,"")</f>
        <v/>
      </c>
    </row>
    <row r="1249">
      <c r="J1249" s="7" t="n"/>
      <c r="K1249" s="7" t="n"/>
      <c r="R1249" s="7">
        <f>IF($C1249="","",Q1249*AC1249/100)</f>
        <v/>
      </c>
      <c r="S1249" s="11" t="n"/>
      <c r="U1249" s="11" t="n"/>
      <c r="AA1249" s="7" t="n"/>
      <c r="AC1249" s="7" t="n"/>
      <c r="AE1249">
        <f>IF($C1249="","",IF($AK1249=1,Settings!$C$6,Settings!$C$7)*1)</f>
        <v/>
      </c>
      <c r="AF1249" s="7">
        <f>IF($C1249="","",AE1249*AC1249)</f>
        <v/>
      </c>
      <c r="AG1249" s="7">
        <f>IF($C1249="","",AC1249-AF1249)</f>
        <v/>
      </c>
      <c r="AH1249" s="7">
        <f>IF($C1249="","",AG1249-R1249)</f>
        <v/>
      </c>
      <c r="AI1249">
        <f>IF($C1249="","",IF(COUNTIF($C$2:$C1249,$C1249)=1,1,0))</f>
        <v/>
      </c>
      <c r="AJ1249">
        <f>IF($AI1249=1,SUMPRODUCT(--($AL$2:$AL$1501&lt;$AL1249))+1,"")</f>
        <v/>
      </c>
      <c r="AK1249">
        <f>IF($C1249="","",IF(OR($AD1249=TRUE(),$AD1249="TRUE"),0,1))</f>
        <v/>
      </c>
      <c r="AL1249">
        <f>IF($AI1249=1,IFERROR(IF(VALUE($C1249)&lt;100000000,VALUE($C1249),1000000000),IFERROR(IF(VALUE(MID($C1249,2,20))&lt;100000000,VALUE(MID($C1249,2,20)),1000000000),1000000000))+ROW()/100000,"")</f>
        <v/>
      </c>
    </row>
    <row r="1250">
      <c r="J1250" s="7" t="n"/>
      <c r="K1250" s="7" t="n"/>
      <c r="R1250" s="7">
        <f>IF($C1250="","",Q1250*AC1250/100)</f>
        <v/>
      </c>
      <c r="S1250" s="11" t="n"/>
      <c r="U1250" s="11" t="n"/>
      <c r="AA1250" s="7" t="n"/>
      <c r="AC1250" s="7" t="n"/>
      <c r="AE1250">
        <f>IF($C1250="","",IF($AK1250=1,Settings!$C$6,Settings!$C$7)*1)</f>
        <v/>
      </c>
      <c r="AF1250" s="7">
        <f>IF($C1250="","",AE1250*AC1250)</f>
        <v/>
      </c>
      <c r="AG1250" s="7">
        <f>IF($C1250="","",AC1250-AF1250)</f>
        <v/>
      </c>
      <c r="AH1250" s="7">
        <f>IF($C1250="","",AG1250-R1250)</f>
        <v/>
      </c>
      <c r="AI1250">
        <f>IF($C1250="","",IF(COUNTIF($C$2:$C1250,$C1250)=1,1,0))</f>
        <v/>
      </c>
      <c r="AJ1250">
        <f>IF($AI1250=1,SUMPRODUCT(--($AL$2:$AL$1501&lt;$AL1250))+1,"")</f>
        <v/>
      </c>
      <c r="AK1250">
        <f>IF($C1250="","",IF(OR($AD1250=TRUE(),$AD1250="TRUE"),0,1))</f>
        <v/>
      </c>
      <c r="AL1250">
        <f>IF($AI1250=1,IFERROR(IF(VALUE($C1250)&lt;100000000,VALUE($C1250),1000000000),IFERROR(IF(VALUE(MID($C1250,2,20))&lt;100000000,VALUE(MID($C1250,2,20)),1000000000),1000000000))+ROW()/100000,"")</f>
        <v/>
      </c>
    </row>
    <row r="1251">
      <c r="J1251" s="7" t="n"/>
      <c r="K1251" s="7" t="n"/>
      <c r="R1251" s="7">
        <f>IF($C1251="","",Q1251*AC1251/100)</f>
        <v/>
      </c>
      <c r="S1251" s="11" t="n"/>
      <c r="U1251" s="11" t="n"/>
      <c r="AA1251" s="7" t="n"/>
      <c r="AC1251" s="7" t="n"/>
      <c r="AE1251">
        <f>IF($C1251="","",IF($AK1251=1,Settings!$C$6,Settings!$C$7)*1)</f>
        <v/>
      </c>
      <c r="AF1251" s="7">
        <f>IF($C1251="","",AE1251*AC1251)</f>
        <v/>
      </c>
      <c r="AG1251" s="7">
        <f>IF($C1251="","",AC1251-AF1251)</f>
        <v/>
      </c>
      <c r="AH1251" s="7">
        <f>IF($C1251="","",AG1251-R1251)</f>
        <v/>
      </c>
      <c r="AI1251">
        <f>IF($C1251="","",IF(COUNTIF($C$2:$C1251,$C1251)=1,1,0))</f>
        <v/>
      </c>
      <c r="AJ1251">
        <f>IF($AI1251=1,SUMPRODUCT(--($AL$2:$AL$1501&lt;$AL1251))+1,"")</f>
        <v/>
      </c>
      <c r="AK1251">
        <f>IF($C1251="","",IF(OR($AD1251=TRUE(),$AD1251="TRUE"),0,1))</f>
        <v/>
      </c>
      <c r="AL1251">
        <f>IF($AI1251=1,IFERROR(IF(VALUE($C1251)&lt;100000000,VALUE($C1251),1000000000),IFERROR(IF(VALUE(MID($C1251,2,20))&lt;100000000,VALUE(MID($C1251,2,20)),1000000000),1000000000))+ROW()/100000,"")</f>
        <v/>
      </c>
    </row>
    <row r="1252">
      <c r="J1252" s="7" t="n"/>
      <c r="K1252" s="7" t="n"/>
      <c r="R1252" s="7">
        <f>IF($C1252="","",Q1252*AC1252/100)</f>
        <v/>
      </c>
      <c r="S1252" s="11" t="n"/>
      <c r="U1252" s="11" t="n"/>
      <c r="AA1252" s="7" t="n"/>
      <c r="AC1252" s="7" t="n"/>
      <c r="AE1252">
        <f>IF($C1252="","",IF($AK1252=1,Settings!$C$6,Settings!$C$7)*1)</f>
        <v/>
      </c>
      <c r="AF1252" s="7">
        <f>IF($C1252="","",AE1252*AC1252)</f>
        <v/>
      </c>
      <c r="AG1252" s="7">
        <f>IF($C1252="","",AC1252-AF1252)</f>
        <v/>
      </c>
      <c r="AH1252" s="7">
        <f>IF($C1252="","",AG1252-R1252)</f>
        <v/>
      </c>
      <c r="AI1252">
        <f>IF($C1252="","",IF(COUNTIF($C$2:$C1252,$C1252)=1,1,0))</f>
        <v/>
      </c>
      <c r="AJ1252">
        <f>IF($AI1252=1,SUMPRODUCT(--($AL$2:$AL$1501&lt;$AL1252))+1,"")</f>
        <v/>
      </c>
      <c r="AK1252">
        <f>IF($C1252="","",IF(OR($AD1252=TRUE(),$AD1252="TRUE"),0,1))</f>
        <v/>
      </c>
      <c r="AL1252">
        <f>IF($AI1252=1,IFERROR(IF(VALUE($C1252)&lt;100000000,VALUE($C1252),1000000000),IFERROR(IF(VALUE(MID($C1252,2,20))&lt;100000000,VALUE(MID($C1252,2,20)),1000000000),1000000000))+ROW()/100000,"")</f>
        <v/>
      </c>
    </row>
    <row r="1253">
      <c r="J1253" s="7" t="n"/>
      <c r="K1253" s="7" t="n"/>
      <c r="R1253" s="7">
        <f>IF($C1253="","",Q1253*AC1253/100)</f>
        <v/>
      </c>
      <c r="S1253" s="11" t="n"/>
      <c r="U1253" s="11" t="n"/>
      <c r="AA1253" s="7" t="n"/>
      <c r="AC1253" s="7" t="n"/>
      <c r="AE1253">
        <f>IF($C1253="","",IF($AK1253=1,Settings!$C$6,Settings!$C$7)*1)</f>
        <v/>
      </c>
      <c r="AF1253" s="7">
        <f>IF($C1253="","",AE1253*AC1253)</f>
        <v/>
      </c>
      <c r="AG1253" s="7">
        <f>IF($C1253="","",AC1253-AF1253)</f>
        <v/>
      </c>
      <c r="AH1253" s="7">
        <f>IF($C1253="","",AG1253-R1253)</f>
        <v/>
      </c>
      <c r="AI1253">
        <f>IF($C1253="","",IF(COUNTIF($C$2:$C1253,$C1253)=1,1,0))</f>
        <v/>
      </c>
      <c r="AJ1253">
        <f>IF($AI1253=1,SUMPRODUCT(--($AL$2:$AL$1501&lt;$AL1253))+1,"")</f>
        <v/>
      </c>
      <c r="AK1253">
        <f>IF($C1253="","",IF(OR($AD1253=TRUE(),$AD1253="TRUE"),0,1))</f>
        <v/>
      </c>
      <c r="AL1253">
        <f>IF($AI1253=1,IFERROR(IF(VALUE($C1253)&lt;100000000,VALUE($C1253),1000000000),IFERROR(IF(VALUE(MID($C1253,2,20))&lt;100000000,VALUE(MID($C1253,2,20)),1000000000),1000000000))+ROW()/100000,"")</f>
        <v/>
      </c>
    </row>
    <row r="1254">
      <c r="J1254" s="7" t="n"/>
      <c r="K1254" s="7" t="n"/>
      <c r="R1254" s="7">
        <f>IF($C1254="","",Q1254*AC1254/100)</f>
        <v/>
      </c>
      <c r="S1254" s="11" t="n"/>
      <c r="U1254" s="11" t="n"/>
      <c r="AA1254" s="7" t="n"/>
      <c r="AC1254" s="7" t="n"/>
      <c r="AE1254">
        <f>IF($C1254="","",IF($AK1254=1,Settings!$C$6,Settings!$C$7)*1)</f>
        <v/>
      </c>
      <c r="AF1254" s="7">
        <f>IF($C1254="","",AE1254*AC1254)</f>
        <v/>
      </c>
      <c r="AG1254" s="7">
        <f>IF($C1254="","",AC1254-AF1254)</f>
        <v/>
      </c>
      <c r="AH1254" s="7">
        <f>IF($C1254="","",AG1254-R1254)</f>
        <v/>
      </c>
      <c r="AI1254">
        <f>IF($C1254="","",IF(COUNTIF($C$2:$C1254,$C1254)=1,1,0))</f>
        <v/>
      </c>
      <c r="AJ1254">
        <f>IF($AI1254=1,SUMPRODUCT(--($AL$2:$AL$1501&lt;$AL1254))+1,"")</f>
        <v/>
      </c>
      <c r="AK1254">
        <f>IF($C1254="","",IF(OR($AD1254=TRUE(),$AD1254="TRUE"),0,1))</f>
        <v/>
      </c>
      <c r="AL1254">
        <f>IF($AI1254=1,IFERROR(IF(VALUE($C1254)&lt;100000000,VALUE($C1254),1000000000),IFERROR(IF(VALUE(MID($C1254,2,20))&lt;100000000,VALUE(MID($C1254,2,20)),1000000000),1000000000))+ROW()/100000,"")</f>
        <v/>
      </c>
    </row>
    <row r="1255">
      <c r="J1255" s="7" t="n"/>
      <c r="K1255" s="7" t="n"/>
      <c r="R1255" s="7">
        <f>IF($C1255="","",Q1255*AC1255/100)</f>
        <v/>
      </c>
      <c r="S1255" s="11" t="n"/>
      <c r="U1255" s="11" t="n"/>
      <c r="AA1255" s="7" t="n"/>
      <c r="AC1255" s="7" t="n"/>
      <c r="AE1255">
        <f>IF($C1255="","",IF($AK1255=1,Settings!$C$6,Settings!$C$7)*1)</f>
        <v/>
      </c>
      <c r="AF1255" s="7">
        <f>IF($C1255="","",AE1255*AC1255)</f>
        <v/>
      </c>
      <c r="AG1255" s="7">
        <f>IF($C1255="","",AC1255-AF1255)</f>
        <v/>
      </c>
      <c r="AH1255" s="7">
        <f>IF($C1255="","",AG1255-R1255)</f>
        <v/>
      </c>
      <c r="AI1255">
        <f>IF($C1255="","",IF(COUNTIF($C$2:$C1255,$C1255)=1,1,0))</f>
        <v/>
      </c>
      <c r="AJ1255">
        <f>IF($AI1255=1,SUMPRODUCT(--($AL$2:$AL$1501&lt;$AL1255))+1,"")</f>
        <v/>
      </c>
      <c r="AK1255">
        <f>IF($C1255="","",IF(OR($AD1255=TRUE(),$AD1255="TRUE"),0,1))</f>
        <v/>
      </c>
      <c r="AL1255">
        <f>IF($AI1255=1,IFERROR(IF(VALUE($C1255)&lt;100000000,VALUE($C1255),1000000000),IFERROR(IF(VALUE(MID($C1255,2,20))&lt;100000000,VALUE(MID($C1255,2,20)),1000000000),1000000000))+ROW()/100000,"")</f>
        <v/>
      </c>
    </row>
    <row r="1256">
      <c r="J1256" s="7" t="n"/>
      <c r="K1256" s="7" t="n"/>
      <c r="R1256" s="7">
        <f>IF($C1256="","",Q1256*AC1256/100)</f>
        <v/>
      </c>
      <c r="S1256" s="11" t="n"/>
      <c r="U1256" s="11" t="n"/>
      <c r="AA1256" s="7" t="n"/>
      <c r="AC1256" s="7" t="n"/>
      <c r="AE1256">
        <f>IF($C1256="","",IF($AK1256=1,Settings!$C$6,Settings!$C$7)*1)</f>
        <v/>
      </c>
      <c r="AF1256" s="7">
        <f>IF($C1256="","",AE1256*AC1256)</f>
        <v/>
      </c>
      <c r="AG1256" s="7">
        <f>IF($C1256="","",AC1256-AF1256)</f>
        <v/>
      </c>
      <c r="AH1256" s="7">
        <f>IF($C1256="","",AG1256-R1256)</f>
        <v/>
      </c>
      <c r="AI1256">
        <f>IF($C1256="","",IF(COUNTIF($C$2:$C1256,$C1256)=1,1,0))</f>
        <v/>
      </c>
      <c r="AJ1256">
        <f>IF($AI1256=1,SUMPRODUCT(--($AL$2:$AL$1501&lt;$AL1256))+1,"")</f>
        <v/>
      </c>
      <c r="AK1256">
        <f>IF($C1256="","",IF(OR($AD1256=TRUE(),$AD1256="TRUE"),0,1))</f>
        <v/>
      </c>
      <c r="AL1256">
        <f>IF($AI1256=1,IFERROR(IF(VALUE($C1256)&lt;100000000,VALUE($C1256),1000000000),IFERROR(IF(VALUE(MID($C1256,2,20))&lt;100000000,VALUE(MID($C1256,2,20)),1000000000),1000000000))+ROW()/100000,"")</f>
        <v/>
      </c>
    </row>
    <row r="1257">
      <c r="J1257" s="7" t="n"/>
      <c r="K1257" s="7" t="n"/>
      <c r="R1257" s="7">
        <f>IF($C1257="","",Q1257*AC1257/100)</f>
        <v/>
      </c>
      <c r="S1257" s="11" t="n"/>
      <c r="U1257" s="11" t="n"/>
      <c r="AA1257" s="7" t="n"/>
      <c r="AC1257" s="7" t="n"/>
      <c r="AE1257">
        <f>IF($C1257="","",IF($AK1257=1,Settings!$C$6,Settings!$C$7)*1)</f>
        <v/>
      </c>
      <c r="AF1257" s="7">
        <f>IF($C1257="","",AE1257*AC1257)</f>
        <v/>
      </c>
      <c r="AG1257" s="7">
        <f>IF($C1257="","",AC1257-AF1257)</f>
        <v/>
      </c>
      <c r="AH1257" s="7">
        <f>IF($C1257="","",AG1257-R1257)</f>
        <v/>
      </c>
      <c r="AI1257">
        <f>IF($C1257="","",IF(COUNTIF($C$2:$C1257,$C1257)=1,1,0))</f>
        <v/>
      </c>
      <c r="AJ1257">
        <f>IF($AI1257=1,SUMPRODUCT(--($AL$2:$AL$1501&lt;$AL1257))+1,"")</f>
        <v/>
      </c>
      <c r="AK1257">
        <f>IF($C1257="","",IF(OR($AD1257=TRUE(),$AD1257="TRUE"),0,1))</f>
        <v/>
      </c>
      <c r="AL1257">
        <f>IF($AI1257=1,IFERROR(IF(VALUE($C1257)&lt;100000000,VALUE($C1257),1000000000),IFERROR(IF(VALUE(MID($C1257,2,20))&lt;100000000,VALUE(MID($C1257,2,20)),1000000000),1000000000))+ROW()/100000,"")</f>
        <v/>
      </c>
    </row>
    <row r="1258">
      <c r="J1258" s="7" t="n"/>
      <c r="K1258" s="7" t="n"/>
      <c r="R1258" s="7">
        <f>IF($C1258="","",Q1258*AC1258/100)</f>
        <v/>
      </c>
      <c r="S1258" s="11" t="n"/>
      <c r="U1258" s="11" t="n"/>
      <c r="AA1258" s="7" t="n"/>
      <c r="AC1258" s="7" t="n"/>
      <c r="AE1258">
        <f>IF($C1258="","",IF($AK1258=1,Settings!$C$6,Settings!$C$7)*1)</f>
        <v/>
      </c>
      <c r="AF1258" s="7">
        <f>IF($C1258="","",AE1258*AC1258)</f>
        <v/>
      </c>
      <c r="AG1258" s="7">
        <f>IF($C1258="","",AC1258-AF1258)</f>
        <v/>
      </c>
      <c r="AH1258" s="7">
        <f>IF($C1258="","",AG1258-R1258)</f>
        <v/>
      </c>
      <c r="AI1258">
        <f>IF($C1258="","",IF(COUNTIF($C$2:$C1258,$C1258)=1,1,0))</f>
        <v/>
      </c>
      <c r="AJ1258">
        <f>IF($AI1258=1,SUMPRODUCT(--($AL$2:$AL$1501&lt;$AL1258))+1,"")</f>
        <v/>
      </c>
      <c r="AK1258">
        <f>IF($C1258="","",IF(OR($AD1258=TRUE(),$AD1258="TRUE"),0,1))</f>
        <v/>
      </c>
      <c r="AL1258">
        <f>IF($AI1258=1,IFERROR(IF(VALUE($C1258)&lt;100000000,VALUE($C1258),1000000000),IFERROR(IF(VALUE(MID($C1258,2,20))&lt;100000000,VALUE(MID($C1258,2,20)),1000000000),1000000000))+ROW()/100000,"")</f>
        <v/>
      </c>
    </row>
    <row r="1259">
      <c r="J1259" s="7" t="n"/>
      <c r="K1259" s="7" t="n"/>
      <c r="R1259" s="7">
        <f>IF($C1259="","",Q1259*AC1259/100)</f>
        <v/>
      </c>
      <c r="S1259" s="11" t="n"/>
      <c r="U1259" s="11" t="n"/>
      <c r="AA1259" s="7" t="n"/>
      <c r="AC1259" s="7" t="n"/>
      <c r="AE1259">
        <f>IF($C1259="","",IF($AK1259=1,Settings!$C$6,Settings!$C$7)*1)</f>
        <v/>
      </c>
      <c r="AF1259" s="7">
        <f>IF($C1259="","",AE1259*AC1259)</f>
        <v/>
      </c>
      <c r="AG1259" s="7">
        <f>IF($C1259="","",AC1259-AF1259)</f>
        <v/>
      </c>
      <c r="AH1259" s="7">
        <f>IF($C1259="","",AG1259-R1259)</f>
        <v/>
      </c>
      <c r="AI1259">
        <f>IF($C1259="","",IF(COUNTIF($C$2:$C1259,$C1259)=1,1,0))</f>
        <v/>
      </c>
      <c r="AJ1259">
        <f>IF($AI1259=1,SUMPRODUCT(--($AL$2:$AL$1501&lt;$AL1259))+1,"")</f>
        <v/>
      </c>
      <c r="AK1259">
        <f>IF($C1259="","",IF(OR($AD1259=TRUE(),$AD1259="TRUE"),0,1))</f>
        <v/>
      </c>
      <c r="AL1259">
        <f>IF($AI1259=1,IFERROR(IF(VALUE($C1259)&lt;100000000,VALUE($C1259),1000000000),IFERROR(IF(VALUE(MID($C1259,2,20))&lt;100000000,VALUE(MID($C1259,2,20)),1000000000),1000000000))+ROW()/100000,"")</f>
        <v/>
      </c>
    </row>
    <row r="1260">
      <c r="J1260" s="7" t="n"/>
      <c r="K1260" s="7" t="n"/>
      <c r="R1260" s="7">
        <f>IF($C1260="","",Q1260*AC1260/100)</f>
        <v/>
      </c>
      <c r="S1260" s="11" t="n"/>
      <c r="U1260" s="11" t="n"/>
      <c r="AA1260" s="7" t="n"/>
      <c r="AC1260" s="7" t="n"/>
      <c r="AE1260">
        <f>IF($C1260="","",IF($AK1260=1,Settings!$C$6,Settings!$C$7)*1)</f>
        <v/>
      </c>
      <c r="AF1260" s="7">
        <f>IF($C1260="","",AE1260*AC1260)</f>
        <v/>
      </c>
      <c r="AG1260" s="7">
        <f>IF($C1260="","",AC1260-AF1260)</f>
        <v/>
      </c>
      <c r="AH1260" s="7">
        <f>IF($C1260="","",AG1260-R1260)</f>
        <v/>
      </c>
      <c r="AI1260">
        <f>IF($C1260="","",IF(COUNTIF($C$2:$C1260,$C1260)=1,1,0))</f>
        <v/>
      </c>
      <c r="AJ1260">
        <f>IF($AI1260=1,SUMPRODUCT(--($AL$2:$AL$1501&lt;$AL1260))+1,"")</f>
        <v/>
      </c>
      <c r="AK1260">
        <f>IF($C1260="","",IF(OR($AD1260=TRUE(),$AD1260="TRUE"),0,1))</f>
        <v/>
      </c>
      <c r="AL1260">
        <f>IF($AI1260=1,IFERROR(IF(VALUE($C1260)&lt;100000000,VALUE($C1260),1000000000),IFERROR(IF(VALUE(MID($C1260,2,20))&lt;100000000,VALUE(MID($C1260,2,20)),1000000000),1000000000))+ROW()/100000,"")</f>
        <v/>
      </c>
    </row>
    <row r="1261">
      <c r="J1261" s="7" t="n"/>
      <c r="K1261" s="7" t="n"/>
      <c r="R1261" s="7">
        <f>IF($C1261="","",Q1261*AC1261/100)</f>
        <v/>
      </c>
      <c r="S1261" s="11" t="n"/>
      <c r="U1261" s="11" t="n"/>
      <c r="AA1261" s="7" t="n"/>
      <c r="AC1261" s="7" t="n"/>
      <c r="AE1261">
        <f>IF($C1261="","",IF($AK1261=1,Settings!$C$6,Settings!$C$7)*1)</f>
        <v/>
      </c>
      <c r="AF1261" s="7">
        <f>IF($C1261="","",AE1261*AC1261)</f>
        <v/>
      </c>
      <c r="AG1261" s="7">
        <f>IF($C1261="","",AC1261-AF1261)</f>
        <v/>
      </c>
      <c r="AH1261" s="7">
        <f>IF($C1261="","",AG1261-R1261)</f>
        <v/>
      </c>
      <c r="AI1261">
        <f>IF($C1261="","",IF(COUNTIF($C$2:$C1261,$C1261)=1,1,0))</f>
        <v/>
      </c>
      <c r="AJ1261">
        <f>IF($AI1261=1,SUMPRODUCT(--($AL$2:$AL$1501&lt;$AL1261))+1,"")</f>
        <v/>
      </c>
      <c r="AK1261">
        <f>IF($C1261="","",IF(OR($AD1261=TRUE(),$AD1261="TRUE"),0,1))</f>
        <v/>
      </c>
      <c r="AL1261">
        <f>IF($AI1261=1,IFERROR(IF(VALUE($C1261)&lt;100000000,VALUE($C1261),1000000000),IFERROR(IF(VALUE(MID($C1261,2,20))&lt;100000000,VALUE(MID($C1261,2,20)),1000000000),1000000000))+ROW()/100000,"")</f>
        <v/>
      </c>
    </row>
    <row r="1262">
      <c r="J1262" s="7" t="n"/>
      <c r="K1262" s="7" t="n"/>
      <c r="R1262" s="7">
        <f>IF($C1262="","",Q1262*AC1262/100)</f>
        <v/>
      </c>
      <c r="S1262" s="11" t="n"/>
      <c r="U1262" s="11" t="n"/>
      <c r="AA1262" s="7" t="n"/>
      <c r="AC1262" s="7" t="n"/>
      <c r="AE1262">
        <f>IF($C1262="","",IF($AK1262=1,Settings!$C$6,Settings!$C$7)*1)</f>
        <v/>
      </c>
      <c r="AF1262" s="7">
        <f>IF($C1262="","",AE1262*AC1262)</f>
        <v/>
      </c>
      <c r="AG1262" s="7">
        <f>IF($C1262="","",AC1262-AF1262)</f>
        <v/>
      </c>
      <c r="AH1262" s="7">
        <f>IF($C1262="","",AG1262-R1262)</f>
        <v/>
      </c>
      <c r="AI1262">
        <f>IF($C1262="","",IF(COUNTIF($C$2:$C1262,$C1262)=1,1,0))</f>
        <v/>
      </c>
      <c r="AJ1262">
        <f>IF($AI1262=1,SUMPRODUCT(--($AL$2:$AL$1501&lt;$AL1262))+1,"")</f>
        <v/>
      </c>
      <c r="AK1262">
        <f>IF($C1262="","",IF(OR($AD1262=TRUE(),$AD1262="TRUE"),0,1))</f>
        <v/>
      </c>
      <c r="AL1262">
        <f>IF($AI1262=1,IFERROR(IF(VALUE($C1262)&lt;100000000,VALUE($C1262),1000000000),IFERROR(IF(VALUE(MID($C1262,2,20))&lt;100000000,VALUE(MID($C1262,2,20)),1000000000),1000000000))+ROW()/100000,"")</f>
        <v/>
      </c>
    </row>
    <row r="1263">
      <c r="J1263" s="7" t="n"/>
      <c r="K1263" s="7" t="n"/>
      <c r="R1263" s="7">
        <f>IF($C1263="","",Q1263*AC1263/100)</f>
        <v/>
      </c>
      <c r="S1263" s="11" t="n"/>
      <c r="U1263" s="11" t="n"/>
      <c r="AA1263" s="7" t="n"/>
      <c r="AC1263" s="7" t="n"/>
      <c r="AE1263">
        <f>IF($C1263="","",IF($AK1263=1,Settings!$C$6,Settings!$C$7)*1)</f>
        <v/>
      </c>
      <c r="AF1263" s="7">
        <f>IF($C1263="","",AE1263*AC1263)</f>
        <v/>
      </c>
      <c r="AG1263" s="7">
        <f>IF($C1263="","",AC1263-AF1263)</f>
        <v/>
      </c>
      <c r="AH1263" s="7">
        <f>IF($C1263="","",AG1263-R1263)</f>
        <v/>
      </c>
      <c r="AI1263">
        <f>IF($C1263="","",IF(COUNTIF($C$2:$C1263,$C1263)=1,1,0))</f>
        <v/>
      </c>
      <c r="AJ1263">
        <f>IF($AI1263=1,SUMPRODUCT(--($AL$2:$AL$1501&lt;$AL1263))+1,"")</f>
        <v/>
      </c>
      <c r="AK1263">
        <f>IF($C1263="","",IF(OR($AD1263=TRUE(),$AD1263="TRUE"),0,1))</f>
        <v/>
      </c>
      <c r="AL1263">
        <f>IF($AI1263=1,IFERROR(IF(VALUE($C1263)&lt;100000000,VALUE($C1263),1000000000),IFERROR(IF(VALUE(MID($C1263,2,20))&lt;100000000,VALUE(MID($C1263,2,20)),1000000000),1000000000))+ROW()/100000,"")</f>
        <v/>
      </c>
    </row>
    <row r="1264">
      <c r="J1264" s="7" t="n"/>
      <c r="K1264" s="7" t="n"/>
      <c r="R1264" s="7">
        <f>IF($C1264="","",Q1264*AC1264/100)</f>
        <v/>
      </c>
      <c r="S1264" s="11" t="n"/>
      <c r="U1264" s="11" t="n"/>
      <c r="AA1264" s="7" t="n"/>
      <c r="AC1264" s="7" t="n"/>
      <c r="AE1264">
        <f>IF($C1264="","",IF($AK1264=1,Settings!$C$6,Settings!$C$7)*1)</f>
        <v/>
      </c>
      <c r="AF1264" s="7">
        <f>IF($C1264="","",AE1264*AC1264)</f>
        <v/>
      </c>
      <c r="AG1264" s="7">
        <f>IF($C1264="","",AC1264-AF1264)</f>
        <v/>
      </c>
      <c r="AH1264" s="7">
        <f>IF($C1264="","",AG1264-R1264)</f>
        <v/>
      </c>
      <c r="AI1264">
        <f>IF($C1264="","",IF(COUNTIF($C$2:$C1264,$C1264)=1,1,0))</f>
        <v/>
      </c>
      <c r="AJ1264">
        <f>IF($AI1264=1,SUMPRODUCT(--($AL$2:$AL$1501&lt;$AL1264))+1,"")</f>
        <v/>
      </c>
      <c r="AK1264">
        <f>IF($C1264="","",IF(OR($AD1264=TRUE(),$AD1264="TRUE"),0,1))</f>
        <v/>
      </c>
      <c r="AL1264">
        <f>IF($AI1264=1,IFERROR(IF(VALUE($C1264)&lt;100000000,VALUE($C1264),1000000000),IFERROR(IF(VALUE(MID($C1264,2,20))&lt;100000000,VALUE(MID($C1264,2,20)),1000000000),1000000000))+ROW()/100000,"")</f>
        <v/>
      </c>
    </row>
    <row r="1265">
      <c r="J1265" s="7" t="n"/>
      <c r="K1265" s="7" t="n"/>
      <c r="R1265" s="7">
        <f>IF($C1265="","",Q1265*AC1265/100)</f>
        <v/>
      </c>
      <c r="S1265" s="11" t="n"/>
      <c r="U1265" s="11" t="n"/>
      <c r="AA1265" s="7" t="n"/>
      <c r="AC1265" s="7" t="n"/>
      <c r="AE1265">
        <f>IF($C1265="","",IF($AK1265=1,Settings!$C$6,Settings!$C$7)*1)</f>
        <v/>
      </c>
      <c r="AF1265" s="7">
        <f>IF($C1265="","",AE1265*AC1265)</f>
        <v/>
      </c>
      <c r="AG1265" s="7">
        <f>IF($C1265="","",AC1265-AF1265)</f>
        <v/>
      </c>
      <c r="AH1265" s="7">
        <f>IF($C1265="","",AG1265-R1265)</f>
        <v/>
      </c>
      <c r="AI1265">
        <f>IF($C1265="","",IF(COUNTIF($C$2:$C1265,$C1265)=1,1,0))</f>
        <v/>
      </c>
      <c r="AJ1265">
        <f>IF($AI1265=1,SUMPRODUCT(--($AL$2:$AL$1501&lt;$AL1265))+1,"")</f>
        <v/>
      </c>
      <c r="AK1265">
        <f>IF($C1265="","",IF(OR($AD1265=TRUE(),$AD1265="TRUE"),0,1))</f>
        <v/>
      </c>
      <c r="AL1265">
        <f>IF($AI1265=1,IFERROR(IF(VALUE($C1265)&lt;100000000,VALUE($C1265),1000000000),IFERROR(IF(VALUE(MID($C1265,2,20))&lt;100000000,VALUE(MID($C1265,2,20)),1000000000),1000000000))+ROW()/100000,"")</f>
        <v/>
      </c>
    </row>
    <row r="1266">
      <c r="J1266" s="7" t="n"/>
      <c r="K1266" s="7" t="n"/>
      <c r="R1266" s="7">
        <f>IF($C1266="","",Q1266*AC1266/100)</f>
        <v/>
      </c>
      <c r="S1266" s="11" t="n"/>
      <c r="U1266" s="11" t="n"/>
      <c r="AA1266" s="7" t="n"/>
      <c r="AC1266" s="7" t="n"/>
      <c r="AE1266">
        <f>IF($C1266="","",IF($AK1266=1,Settings!$C$6,Settings!$C$7)*1)</f>
        <v/>
      </c>
      <c r="AF1266" s="7">
        <f>IF($C1266="","",AE1266*AC1266)</f>
        <v/>
      </c>
      <c r="AG1266" s="7">
        <f>IF($C1266="","",AC1266-AF1266)</f>
        <v/>
      </c>
      <c r="AH1266" s="7">
        <f>IF($C1266="","",AG1266-R1266)</f>
        <v/>
      </c>
      <c r="AI1266">
        <f>IF($C1266="","",IF(COUNTIF($C$2:$C1266,$C1266)=1,1,0))</f>
        <v/>
      </c>
      <c r="AJ1266">
        <f>IF($AI1266=1,SUMPRODUCT(--($AL$2:$AL$1501&lt;$AL1266))+1,"")</f>
        <v/>
      </c>
      <c r="AK1266">
        <f>IF($C1266="","",IF(OR($AD1266=TRUE(),$AD1266="TRUE"),0,1))</f>
        <v/>
      </c>
      <c r="AL1266">
        <f>IF($AI1266=1,IFERROR(IF(VALUE($C1266)&lt;100000000,VALUE($C1266),1000000000),IFERROR(IF(VALUE(MID($C1266,2,20))&lt;100000000,VALUE(MID($C1266,2,20)),1000000000),1000000000))+ROW()/100000,"")</f>
        <v/>
      </c>
    </row>
    <row r="1267">
      <c r="J1267" s="7" t="n"/>
      <c r="K1267" s="7" t="n"/>
      <c r="R1267" s="7">
        <f>IF($C1267="","",Q1267*AC1267/100)</f>
        <v/>
      </c>
      <c r="S1267" s="11" t="n"/>
      <c r="U1267" s="11" t="n"/>
      <c r="AA1267" s="7" t="n"/>
      <c r="AC1267" s="7" t="n"/>
      <c r="AE1267">
        <f>IF($C1267="","",IF($AK1267=1,Settings!$C$6,Settings!$C$7)*1)</f>
        <v/>
      </c>
      <c r="AF1267" s="7">
        <f>IF($C1267="","",AE1267*AC1267)</f>
        <v/>
      </c>
      <c r="AG1267" s="7">
        <f>IF($C1267="","",AC1267-AF1267)</f>
        <v/>
      </c>
      <c r="AH1267" s="7">
        <f>IF($C1267="","",AG1267-R1267)</f>
        <v/>
      </c>
      <c r="AI1267">
        <f>IF($C1267="","",IF(COUNTIF($C$2:$C1267,$C1267)=1,1,0))</f>
        <v/>
      </c>
      <c r="AJ1267">
        <f>IF($AI1267=1,SUMPRODUCT(--($AL$2:$AL$1501&lt;$AL1267))+1,"")</f>
        <v/>
      </c>
      <c r="AK1267">
        <f>IF($C1267="","",IF(OR($AD1267=TRUE(),$AD1267="TRUE"),0,1))</f>
        <v/>
      </c>
      <c r="AL1267">
        <f>IF($AI1267=1,IFERROR(IF(VALUE($C1267)&lt;100000000,VALUE($C1267),1000000000),IFERROR(IF(VALUE(MID($C1267,2,20))&lt;100000000,VALUE(MID($C1267,2,20)),1000000000),1000000000))+ROW()/100000,"")</f>
        <v/>
      </c>
    </row>
    <row r="1268">
      <c r="J1268" s="7" t="n"/>
      <c r="K1268" s="7" t="n"/>
      <c r="R1268" s="7">
        <f>IF($C1268="","",Q1268*AC1268/100)</f>
        <v/>
      </c>
      <c r="S1268" s="11" t="n"/>
      <c r="U1268" s="11" t="n"/>
      <c r="AA1268" s="7" t="n"/>
      <c r="AC1268" s="7" t="n"/>
      <c r="AE1268">
        <f>IF($C1268="","",IF($AK1268=1,Settings!$C$6,Settings!$C$7)*1)</f>
        <v/>
      </c>
      <c r="AF1268" s="7">
        <f>IF($C1268="","",AE1268*AC1268)</f>
        <v/>
      </c>
      <c r="AG1268" s="7">
        <f>IF($C1268="","",AC1268-AF1268)</f>
        <v/>
      </c>
      <c r="AH1268" s="7">
        <f>IF($C1268="","",AG1268-R1268)</f>
        <v/>
      </c>
      <c r="AI1268">
        <f>IF($C1268="","",IF(COUNTIF($C$2:$C1268,$C1268)=1,1,0))</f>
        <v/>
      </c>
      <c r="AJ1268">
        <f>IF($AI1268=1,SUMPRODUCT(--($AL$2:$AL$1501&lt;$AL1268))+1,"")</f>
        <v/>
      </c>
      <c r="AK1268">
        <f>IF($C1268="","",IF(OR($AD1268=TRUE(),$AD1268="TRUE"),0,1))</f>
        <v/>
      </c>
      <c r="AL1268">
        <f>IF($AI1268=1,IFERROR(IF(VALUE($C1268)&lt;100000000,VALUE($C1268),1000000000),IFERROR(IF(VALUE(MID($C1268,2,20))&lt;100000000,VALUE(MID($C1268,2,20)),1000000000),1000000000))+ROW()/100000,"")</f>
        <v/>
      </c>
    </row>
    <row r="1269">
      <c r="J1269" s="7" t="n"/>
      <c r="K1269" s="7" t="n"/>
      <c r="R1269" s="7">
        <f>IF($C1269="","",Q1269*AC1269/100)</f>
        <v/>
      </c>
      <c r="S1269" s="11" t="n"/>
      <c r="U1269" s="11" t="n"/>
      <c r="AA1269" s="7" t="n"/>
      <c r="AC1269" s="7" t="n"/>
      <c r="AE1269">
        <f>IF($C1269="","",IF($AK1269=1,Settings!$C$6,Settings!$C$7)*1)</f>
        <v/>
      </c>
      <c r="AF1269" s="7">
        <f>IF($C1269="","",AE1269*AC1269)</f>
        <v/>
      </c>
      <c r="AG1269" s="7">
        <f>IF($C1269="","",AC1269-AF1269)</f>
        <v/>
      </c>
      <c r="AH1269" s="7">
        <f>IF($C1269="","",AG1269-R1269)</f>
        <v/>
      </c>
      <c r="AI1269">
        <f>IF($C1269="","",IF(COUNTIF($C$2:$C1269,$C1269)=1,1,0))</f>
        <v/>
      </c>
      <c r="AJ1269">
        <f>IF($AI1269=1,SUMPRODUCT(--($AL$2:$AL$1501&lt;$AL1269))+1,"")</f>
        <v/>
      </c>
      <c r="AK1269">
        <f>IF($C1269="","",IF(OR($AD1269=TRUE(),$AD1269="TRUE"),0,1))</f>
        <v/>
      </c>
      <c r="AL1269">
        <f>IF($AI1269=1,IFERROR(IF(VALUE($C1269)&lt;100000000,VALUE($C1269),1000000000),IFERROR(IF(VALUE(MID($C1269,2,20))&lt;100000000,VALUE(MID($C1269,2,20)),1000000000),1000000000))+ROW()/100000,"")</f>
        <v/>
      </c>
    </row>
    <row r="1270">
      <c r="J1270" s="7" t="n"/>
      <c r="K1270" s="7" t="n"/>
      <c r="R1270" s="7">
        <f>IF($C1270="","",Q1270*AC1270/100)</f>
        <v/>
      </c>
      <c r="S1270" s="11" t="n"/>
      <c r="U1270" s="11" t="n"/>
      <c r="AA1270" s="7" t="n"/>
      <c r="AC1270" s="7" t="n"/>
      <c r="AE1270">
        <f>IF($C1270="","",IF($AK1270=1,Settings!$C$6,Settings!$C$7)*1)</f>
        <v/>
      </c>
      <c r="AF1270" s="7">
        <f>IF($C1270="","",AE1270*AC1270)</f>
        <v/>
      </c>
      <c r="AG1270" s="7">
        <f>IF($C1270="","",AC1270-AF1270)</f>
        <v/>
      </c>
      <c r="AH1270" s="7">
        <f>IF($C1270="","",AG1270-R1270)</f>
        <v/>
      </c>
      <c r="AI1270">
        <f>IF($C1270="","",IF(COUNTIF($C$2:$C1270,$C1270)=1,1,0))</f>
        <v/>
      </c>
      <c r="AJ1270">
        <f>IF($AI1270=1,SUMPRODUCT(--($AL$2:$AL$1501&lt;$AL1270))+1,"")</f>
        <v/>
      </c>
      <c r="AK1270">
        <f>IF($C1270="","",IF(OR($AD1270=TRUE(),$AD1270="TRUE"),0,1))</f>
        <v/>
      </c>
      <c r="AL1270">
        <f>IF($AI1270=1,IFERROR(IF(VALUE($C1270)&lt;100000000,VALUE($C1270),1000000000),IFERROR(IF(VALUE(MID($C1270,2,20))&lt;100000000,VALUE(MID($C1270,2,20)),1000000000),1000000000))+ROW()/100000,"")</f>
        <v/>
      </c>
    </row>
    <row r="1271">
      <c r="J1271" s="7" t="n"/>
      <c r="K1271" s="7" t="n"/>
      <c r="R1271" s="7">
        <f>IF($C1271="","",Q1271*AC1271/100)</f>
        <v/>
      </c>
      <c r="S1271" s="11" t="n"/>
      <c r="U1271" s="11" t="n"/>
      <c r="AA1271" s="7" t="n"/>
      <c r="AC1271" s="7" t="n"/>
      <c r="AE1271">
        <f>IF($C1271="","",IF($AK1271=1,Settings!$C$6,Settings!$C$7)*1)</f>
        <v/>
      </c>
      <c r="AF1271" s="7">
        <f>IF($C1271="","",AE1271*AC1271)</f>
        <v/>
      </c>
      <c r="AG1271" s="7">
        <f>IF($C1271="","",AC1271-AF1271)</f>
        <v/>
      </c>
      <c r="AH1271" s="7">
        <f>IF($C1271="","",AG1271-R1271)</f>
        <v/>
      </c>
      <c r="AI1271">
        <f>IF($C1271="","",IF(COUNTIF($C$2:$C1271,$C1271)=1,1,0))</f>
        <v/>
      </c>
      <c r="AJ1271">
        <f>IF($AI1271=1,SUMPRODUCT(--($AL$2:$AL$1501&lt;$AL1271))+1,"")</f>
        <v/>
      </c>
      <c r="AK1271">
        <f>IF($C1271="","",IF(OR($AD1271=TRUE(),$AD1271="TRUE"),0,1))</f>
        <v/>
      </c>
      <c r="AL1271">
        <f>IF($AI1271=1,IFERROR(IF(VALUE($C1271)&lt;100000000,VALUE($C1271),1000000000),IFERROR(IF(VALUE(MID($C1271,2,20))&lt;100000000,VALUE(MID($C1271,2,20)),1000000000),1000000000))+ROW()/100000,"")</f>
        <v/>
      </c>
    </row>
    <row r="1272">
      <c r="J1272" s="7" t="n"/>
      <c r="K1272" s="7" t="n"/>
      <c r="R1272" s="7">
        <f>IF($C1272="","",Q1272*AC1272/100)</f>
        <v/>
      </c>
      <c r="S1272" s="11" t="n"/>
      <c r="U1272" s="11" t="n"/>
      <c r="AA1272" s="7" t="n"/>
      <c r="AC1272" s="7" t="n"/>
      <c r="AE1272">
        <f>IF($C1272="","",IF($AK1272=1,Settings!$C$6,Settings!$C$7)*1)</f>
        <v/>
      </c>
      <c r="AF1272" s="7">
        <f>IF($C1272="","",AE1272*AC1272)</f>
        <v/>
      </c>
      <c r="AG1272" s="7">
        <f>IF($C1272="","",AC1272-AF1272)</f>
        <v/>
      </c>
      <c r="AH1272" s="7">
        <f>IF($C1272="","",AG1272-R1272)</f>
        <v/>
      </c>
      <c r="AI1272">
        <f>IF($C1272="","",IF(COUNTIF($C$2:$C1272,$C1272)=1,1,0))</f>
        <v/>
      </c>
      <c r="AJ1272">
        <f>IF($AI1272=1,SUMPRODUCT(--($AL$2:$AL$1501&lt;$AL1272))+1,"")</f>
        <v/>
      </c>
      <c r="AK1272">
        <f>IF($C1272="","",IF(OR($AD1272=TRUE(),$AD1272="TRUE"),0,1))</f>
        <v/>
      </c>
      <c r="AL1272">
        <f>IF($AI1272=1,IFERROR(IF(VALUE($C1272)&lt;100000000,VALUE($C1272),1000000000),IFERROR(IF(VALUE(MID($C1272,2,20))&lt;100000000,VALUE(MID($C1272,2,20)),1000000000),1000000000))+ROW()/100000,"")</f>
        <v/>
      </c>
    </row>
    <row r="1273">
      <c r="J1273" s="7" t="n"/>
      <c r="K1273" s="7" t="n"/>
      <c r="R1273" s="7">
        <f>IF($C1273="","",Q1273*AC1273/100)</f>
        <v/>
      </c>
      <c r="S1273" s="11" t="n"/>
      <c r="U1273" s="11" t="n"/>
      <c r="AA1273" s="7" t="n"/>
      <c r="AC1273" s="7" t="n"/>
      <c r="AE1273">
        <f>IF($C1273="","",IF($AK1273=1,Settings!$C$6,Settings!$C$7)*1)</f>
        <v/>
      </c>
      <c r="AF1273" s="7">
        <f>IF($C1273="","",AE1273*AC1273)</f>
        <v/>
      </c>
      <c r="AG1273" s="7">
        <f>IF($C1273="","",AC1273-AF1273)</f>
        <v/>
      </c>
      <c r="AH1273" s="7">
        <f>IF($C1273="","",AG1273-R1273)</f>
        <v/>
      </c>
      <c r="AI1273">
        <f>IF($C1273="","",IF(COUNTIF($C$2:$C1273,$C1273)=1,1,0))</f>
        <v/>
      </c>
      <c r="AJ1273">
        <f>IF($AI1273=1,SUMPRODUCT(--($AL$2:$AL$1501&lt;$AL1273))+1,"")</f>
        <v/>
      </c>
      <c r="AK1273">
        <f>IF($C1273="","",IF(OR($AD1273=TRUE(),$AD1273="TRUE"),0,1))</f>
        <v/>
      </c>
      <c r="AL1273">
        <f>IF($AI1273=1,IFERROR(IF(VALUE($C1273)&lt;100000000,VALUE($C1273),1000000000),IFERROR(IF(VALUE(MID($C1273,2,20))&lt;100000000,VALUE(MID($C1273,2,20)),1000000000),1000000000))+ROW()/100000,"")</f>
        <v/>
      </c>
    </row>
    <row r="1274">
      <c r="J1274" s="7" t="n"/>
      <c r="K1274" s="7" t="n"/>
      <c r="R1274" s="7">
        <f>IF($C1274="","",Q1274*AC1274/100)</f>
        <v/>
      </c>
      <c r="S1274" s="11" t="n"/>
      <c r="U1274" s="11" t="n"/>
      <c r="AA1274" s="7" t="n"/>
      <c r="AC1274" s="7" t="n"/>
      <c r="AE1274">
        <f>IF($C1274="","",IF($AK1274=1,Settings!$C$6,Settings!$C$7)*1)</f>
        <v/>
      </c>
      <c r="AF1274" s="7">
        <f>IF($C1274="","",AE1274*AC1274)</f>
        <v/>
      </c>
      <c r="AG1274" s="7">
        <f>IF($C1274="","",AC1274-AF1274)</f>
        <v/>
      </c>
      <c r="AH1274" s="7">
        <f>IF($C1274="","",AG1274-R1274)</f>
        <v/>
      </c>
      <c r="AI1274">
        <f>IF($C1274="","",IF(COUNTIF($C$2:$C1274,$C1274)=1,1,0))</f>
        <v/>
      </c>
      <c r="AJ1274">
        <f>IF($AI1274=1,SUMPRODUCT(--($AL$2:$AL$1501&lt;$AL1274))+1,"")</f>
        <v/>
      </c>
      <c r="AK1274">
        <f>IF($C1274="","",IF(OR($AD1274=TRUE(),$AD1274="TRUE"),0,1))</f>
        <v/>
      </c>
      <c r="AL1274">
        <f>IF($AI1274=1,IFERROR(IF(VALUE($C1274)&lt;100000000,VALUE($C1274),1000000000),IFERROR(IF(VALUE(MID($C1274,2,20))&lt;100000000,VALUE(MID($C1274,2,20)),1000000000),1000000000))+ROW()/100000,"")</f>
        <v/>
      </c>
    </row>
    <row r="1275">
      <c r="J1275" s="7" t="n"/>
      <c r="K1275" s="7" t="n"/>
      <c r="R1275" s="7">
        <f>IF($C1275="","",Q1275*AC1275/100)</f>
        <v/>
      </c>
      <c r="S1275" s="11" t="n"/>
      <c r="U1275" s="11" t="n"/>
      <c r="AA1275" s="7" t="n"/>
      <c r="AC1275" s="7" t="n"/>
      <c r="AE1275">
        <f>IF($C1275="","",IF($AK1275=1,Settings!$C$6,Settings!$C$7)*1)</f>
        <v/>
      </c>
      <c r="AF1275" s="7">
        <f>IF($C1275="","",AE1275*AC1275)</f>
        <v/>
      </c>
      <c r="AG1275" s="7">
        <f>IF($C1275="","",AC1275-AF1275)</f>
        <v/>
      </c>
      <c r="AH1275" s="7">
        <f>IF($C1275="","",AG1275-R1275)</f>
        <v/>
      </c>
      <c r="AI1275">
        <f>IF($C1275="","",IF(COUNTIF($C$2:$C1275,$C1275)=1,1,0))</f>
        <v/>
      </c>
      <c r="AJ1275">
        <f>IF($AI1275=1,SUMPRODUCT(--($AL$2:$AL$1501&lt;$AL1275))+1,"")</f>
        <v/>
      </c>
      <c r="AK1275">
        <f>IF($C1275="","",IF(OR($AD1275=TRUE(),$AD1275="TRUE"),0,1))</f>
        <v/>
      </c>
      <c r="AL1275">
        <f>IF($AI1275=1,IFERROR(IF(VALUE($C1275)&lt;100000000,VALUE($C1275),1000000000),IFERROR(IF(VALUE(MID($C1275,2,20))&lt;100000000,VALUE(MID($C1275,2,20)),1000000000),1000000000))+ROW()/100000,"")</f>
        <v/>
      </c>
    </row>
    <row r="1276">
      <c r="J1276" s="7" t="n"/>
      <c r="K1276" s="7" t="n"/>
      <c r="R1276" s="7">
        <f>IF($C1276="","",Q1276*AC1276/100)</f>
        <v/>
      </c>
      <c r="S1276" s="11" t="n"/>
      <c r="U1276" s="11" t="n"/>
      <c r="AA1276" s="7" t="n"/>
      <c r="AC1276" s="7" t="n"/>
      <c r="AE1276">
        <f>IF($C1276="","",IF($AK1276=1,Settings!$C$6,Settings!$C$7)*1)</f>
        <v/>
      </c>
      <c r="AF1276" s="7">
        <f>IF($C1276="","",AE1276*AC1276)</f>
        <v/>
      </c>
      <c r="AG1276" s="7">
        <f>IF($C1276="","",AC1276-AF1276)</f>
        <v/>
      </c>
      <c r="AH1276" s="7">
        <f>IF($C1276="","",AG1276-R1276)</f>
        <v/>
      </c>
      <c r="AI1276">
        <f>IF($C1276="","",IF(COUNTIF($C$2:$C1276,$C1276)=1,1,0))</f>
        <v/>
      </c>
      <c r="AJ1276">
        <f>IF($AI1276=1,SUMPRODUCT(--($AL$2:$AL$1501&lt;$AL1276))+1,"")</f>
        <v/>
      </c>
      <c r="AK1276">
        <f>IF($C1276="","",IF(OR($AD1276=TRUE(),$AD1276="TRUE"),0,1))</f>
        <v/>
      </c>
      <c r="AL1276">
        <f>IF($AI1276=1,IFERROR(IF(VALUE($C1276)&lt;100000000,VALUE($C1276),1000000000),IFERROR(IF(VALUE(MID($C1276,2,20))&lt;100000000,VALUE(MID($C1276,2,20)),1000000000),1000000000))+ROW()/100000,"")</f>
        <v/>
      </c>
    </row>
    <row r="1277">
      <c r="J1277" s="7" t="n"/>
      <c r="K1277" s="7" t="n"/>
      <c r="R1277" s="7">
        <f>IF($C1277="","",Q1277*AC1277/100)</f>
        <v/>
      </c>
      <c r="S1277" s="11" t="n"/>
      <c r="U1277" s="11" t="n"/>
      <c r="AA1277" s="7" t="n"/>
      <c r="AC1277" s="7" t="n"/>
      <c r="AE1277">
        <f>IF($C1277="","",IF($AK1277=1,Settings!$C$6,Settings!$C$7)*1)</f>
        <v/>
      </c>
      <c r="AF1277" s="7">
        <f>IF($C1277="","",AE1277*AC1277)</f>
        <v/>
      </c>
      <c r="AG1277" s="7">
        <f>IF($C1277="","",AC1277-AF1277)</f>
        <v/>
      </c>
      <c r="AH1277" s="7">
        <f>IF($C1277="","",AG1277-R1277)</f>
        <v/>
      </c>
      <c r="AI1277">
        <f>IF($C1277="","",IF(COUNTIF($C$2:$C1277,$C1277)=1,1,0))</f>
        <v/>
      </c>
      <c r="AJ1277">
        <f>IF($AI1277=1,SUMPRODUCT(--($AL$2:$AL$1501&lt;$AL1277))+1,"")</f>
        <v/>
      </c>
      <c r="AK1277">
        <f>IF($C1277="","",IF(OR($AD1277=TRUE(),$AD1277="TRUE"),0,1))</f>
        <v/>
      </c>
      <c r="AL1277">
        <f>IF($AI1277=1,IFERROR(IF(VALUE($C1277)&lt;100000000,VALUE($C1277),1000000000),IFERROR(IF(VALUE(MID($C1277,2,20))&lt;100000000,VALUE(MID($C1277,2,20)),1000000000),1000000000))+ROW()/100000,"")</f>
        <v/>
      </c>
    </row>
    <row r="1278">
      <c r="J1278" s="7" t="n"/>
      <c r="K1278" s="7" t="n"/>
      <c r="R1278" s="7">
        <f>IF($C1278="","",Q1278*AC1278/100)</f>
        <v/>
      </c>
      <c r="S1278" s="11" t="n"/>
      <c r="U1278" s="11" t="n"/>
      <c r="AA1278" s="7" t="n"/>
      <c r="AC1278" s="7" t="n"/>
      <c r="AE1278">
        <f>IF($C1278="","",IF($AK1278=1,Settings!$C$6,Settings!$C$7)*1)</f>
        <v/>
      </c>
      <c r="AF1278" s="7">
        <f>IF($C1278="","",AE1278*AC1278)</f>
        <v/>
      </c>
      <c r="AG1278" s="7">
        <f>IF($C1278="","",AC1278-AF1278)</f>
        <v/>
      </c>
      <c r="AH1278" s="7">
        <f>IF($C1278="","",AG1278-R1278)</f>
        <v/>
      </c>
      <c r="AI1278">
        <f>IF($C1278="","",IF(COUNTIF($C$2:$C1278,$C1278)=1,1,0))</f>
        <v/>
      </c>
      <c r="AJ1278">
        <f>IF($AI1278=1,SUMPRODUCT(--($AL$2:$AL$1501&lt;$AL1278))+1,"")</f>
        <v/>
      </c>
      <c r="AK1278">
        <f>IF($C1278="","",IF(OR($AD1278=TRUE(),$AD1278="TRUE"),0,1))</f>
        <v/>
      </c>
      <c r="AL1278">
        <f>IF($AI1278=1,IFERROR(IF(VALUE($C1278)&lt;100000000,VALUE($C1278),1000000000),IFERROR(IF(VALUE(MID($C1278,2,20))&lt;100000000,VALUE(MID($C1278,2,20)),1000000000),1000000000))+ROW()/100000,"")</f>
        <v/>
      </c>
    </row>
    <row r="1279">
      <c r="J1279" s="7" t="n"/>
      <c r="K1279" s="7" t="n"/>
      <c r="R1279" s="7">
        <f>IF($C1279="","",Q1279*AC1279/100)</f>
        <v/>
      </c>
      <c r="S1279" s="11" t="n"/>
      <c r="U1279" s="11" t="n"/>
      <c r="AA1279" s="7" t="n"/>
      <c r="AC1279" s="7" t="n"/>
      <c r="AE1279">
        <f>IF($C1279="","",IF($AK1279=1,Settings!$C$6,Settings!$C$7)*1)</f>
        <v/>
      </c>
      <c r="AF1279" s="7">
        <f>IF($C1279="","",AE1279*AC1279)</f>
        <v/>
      </c>
      <c r="AG1279" s="7">
        <f>IF($C1279="","",AC1279-AF1279)</f>
        <v/>
      </c>
      <c r="AH1279" s="7">
        <f>IF($C1279="","",AG1279-R1279)</f>
        <v/>
      </c>
      <c r="AI1279">
        <f>IF($C1279="","",IF(COUNTIF($C$2:$C1279,$C1279)=1,1,0))</f>
        <v/>
      </c>
      <c r="AJ1279">
        <f>IF($AI1279=1,SUMPRODUCT(--($AL$2:$AL$1501&lt;$AL1279))+1,"")</f>
        <v/>
      </c>
      <c r="AK1279">
        <f>IF($C1279="","",IF(OR($AD1279=TRUE(),$AD1279="TRUE"),0,1))</f>
        <v/>
      </c>
      <c r="AL1279">
        <f>IF($AI1279=1,IFERROR(IF(VALUE($C1279)&lt;100000000,VALUE($C1279),1000000000),IFERROR(IF(VALUE(MID($C1279,2,20))&lt;100000000,VALUE(MID($C1279,2,20)),1000000000),1000000000))+ROW()/100000,"")</f>
        <v/>
      </c>
    </row>
    <row r="1280">
      <c r="J1280" s="7" t="n"/>
      <c r="K1280" s="7" t="n"/>
      <c r="R1280" s="7">
        <f>IF($C1280="","",Q1280*AC1280/100)</f>
        <v/>
      </c>
      <c r="S1280" s="11" t="n"/>
      <c r="U1280" s="11" t="n"/>
      <c r="AA1280" s="7" t="n"/>
      <c r="AC1280" s="7" t="n"/>
      <c r="AE1280">
        <f>IF($C1280="","",IF($AK1280=1,Settings!$C$6,Settings!$C$7)*1)</f>
        <v/>
      </c>
      <c r="AF1280" s="7">
        <f>IF($C1280="","",AE1280*AC1280)</f>
        <v/>
      </c>
      <c r="AG1280" s="7">
        <f>IF($C1280="","",AC1280-AF1280)</f>
        <v/>
      </c>
      <c r="AH1280" s="7">
        <f>IF($C1280="","",AG1280-R1280)</f>
        <v/>
      </c>
      <c r="AI1280">
        <f>IF($C1280="","",IF(COUNTIF($C$2:$C1280,$C1280)=1,1,0))</f>
        <v/>
      </c>
      <c r="AJ1280">
        <f>IF($AI1280=1,SUMPRODUCT(--($AL$2:$AL$1501&lt;$AL1280))+1,"")</f>
        <v/>
      </c>
      <c r="AK1280">
        <f>IF($C1280="","",IF(OR($AD1280=TRUE(),$AD1280="TRUE"),0,1))</f>
        <v/>
      </c>
      <c r="AL1280">
        <f>IF($AI1280=1,IFERROR(IF(VALUE($C1280)&lt;100000000,VALUE($C1280),1000000000),IFERROR(IF(VALUE(MID($C1280,2,20))&lt;100000000,VALUE(MID($C1280,2,20)),1000000000),1000000000))+ROW()/100000,"")</f>
        <v/>
      </c>
    </row>
    <row r="1281">
      <c r="J1281" s="7" t="n"/>
      <c r="K1281" s="7" t="n"/>
      <c r="R1281" s="7">
        <f>IF($C1281="","",Q1281*AC1281/100)</f>
        <v/>
      </c>
      <c r="S1281" s="11" t="n"/>
      <c r="U1281" s="11" t="n"/>
      <c r="AA1281" s="7" t="n"/>
      <c r="AC1281" s="7" t="n"/>
      <c r="AE1281">
        <f>IF($C1281="","",IF($AK1281=1,Settings!$C$6,Settings!$C$7)*1)</f>
        <v/>
      </c>
      <c r="AF1281" s="7">
        <f>IF($C1281="","",AE1281*AC1281)</f>
        <v/>
      </c>
      <c r="AG1281" s="7">
        <f>IF($C1281="","",AC1281-AF1281)</f>
        <v/>
      </c>
      <c r="AH1281" s="7">
        <f>IF($C1281="","",AG1281-R1281)</f>
        <v/>
      </c>
      <c r="AI1281">
        <f>IF($C1281="","",IF(COUNTIF($C$2:$C1281,$C1281)=1,1,0))</f>
        <v/>
      </c>
      <c r="AJ1281">
        <f>IF($AI1281=1,SUMPRODUCT(--($AL$2:$AL$1501&lt;$AL1281))+1,"")</f>
        <v/>
      </c>
      <c r="AK1281">
        <f>IF($C1281="","",IF(OR($AD1281=TRUE(),$AD1281="TRUE"),0,1))</f>
        <v/>
      </c>
      <c r="AL1281">
        <f>IF($AI1281=1,IFERROR(IF(VALUE($C1281)&lt;100000000,VALUE($C1281),1000000000),IFERROR(IF(VALUE(MID($C1281,2,20))&lt;100000000,VALUE(MID($C1281,2,20)),1000000000),1000000000))+ROW()/100000,"")</f>
        <v/>
      </c>
    </row>
    <row r="1282">
      <c r="J1282" s="7" t="n"/>
      <c r="K1282" s="7" t="n"/>
      <c r="R1282" s="7">
        <f>IF($C1282="","",Q1282*AC1282/100)</f>
        <v/>
      </c>
      <c r="S1282" s="11" t="n"/>
      <c r="U1282" s="11" t="n"/>
      <c r="AA1282" s="7" t="n"/>
      <c r="AC1282" s="7" t="n"/>
      <c r="AE1282">
        <f>IF($C1282="","",IF($AK1282=1,Settings!$C$6,Settings!$C$7)*1)</f>
        <v/>
      </c>
      <c r="AF1282" s="7">
        <f>IF($C1282="","",AE1282*AC1282)</f>
        <v/>
      </c>
      <c r="AG1282" s="7">
        <f>IF($C1282="","",AC1282-AF1282)</f>
        <v/>
      </c>
      <c r="AH1282" s="7">
        <f>IF($C1282="","",AG1282-R1282)</f>
        <v/>
      </c>
      <c r="AI1282">
        <f>IF($C1282="","",IF(COUNTIF($C$2:$C1282,$C1282)=1,1,0))</f>
        <v/>
      </c>
      <c r="AJ1282">
        <f>IF($AI1282=1,SUMPRODUCT(--($AL$2:$AL$1501&lt;$AL1282))+1,"")</f>
        <v/>
      </c>
      <c r="AK1282">
        <f>IF($C1282="","",IF(OR($AD1282=TRUE(),$AD1282="TRUE"),0,1))</f>
        <v/>
      </c>
      <c r="AL1282">
        <f>IF($AI1282=1,IFERROR(IF(VALUE($C1282)&lt;100000000,VALUE($C1282),1000000000),IFERROR(IF(VALUE(MID($C1282,2,20))&lt;100000000,VALUE(MID($C1282,2,20)),1000000000),1000000000))+ROW()/100000,"")</f>
        <v/>
      </c>
    </row>
    <row r="1283">
      <c r="J1283" s="7" t="n"/>
      <c r="K1283" s="7" t="n"/>
      <c r="R1283" s="7">
        <f>IF($C1283="","",Q1283*AC1283/100)</f>
        <v/>
      </c>
      <c r="S1283" s="11" t="n"/>
      <c r="U1283" s="11" t="n"/>
      <c r="AA1283" s="7" t="n"/>
      <c r="AC1283" s="7" t="n"/>
      <c r="AE1283">
        <f>IF($C1283="","",IF($AK1283=1,Settings!$C$6,Settings!$C$7)*1)</f>
        <v/>
      </c>
      <c r="AF1283" s="7">
        <f>IF($C1283="","",AE1283*AC1283)</f>
        <v/>
      </c>
      <c r="AG1283" s="7">
        <f>IF($C1283="","",AC1283-AF1283)</f>
        <v/>
      </c>
      <c r="AH1283" s="7">
        <f>IF($C1283="","",AG1283-R1283)</f>
        <v/>
      </c>
      <c r="AI1283">
        <f>IF($C1283="","",IF(COUNTIF($C$2:$C1283,$C1283)=1,1,0))</f>
        <v/>
      </c>
      <c r="AJ1283">
        <f>IF($AI1283=1,SUMPRODUCT(--($AL$2:$AL$1501&lt;$AL1283))+1,"")</f>
        <v/>
      </c>
      <c r="AK1283">
        <f>IF($C1283="","",IF(OR($AD1283=TRUE(),$AD1283="TRUE"),0,1))</f>
        <v/>
      </c>
      <c r="AL1283">
        <f>IF($AI1283=1,IFERROR(IF(VALUE($C1283)&lt;100000000,VALUE($C1283),1000000000),IFERROR(IF(VALUE(MID($C1283,2,20))&lt;100000000,VALUE(MID($C1283,2,20)),1000000000),1000000000))+ROW()/100000,"")</f>
        <v/>
      </c>
    </row>
    <row r="1284">
      <c r="J1284" s="7" t="n"/>
      <c r="K1284" s="7" t="n"/>
      <c r="R1284" s="7">
        <f>IF($C1284="","",Q1284*AC1284/100)</f>
        <v/>
      </c>
      <c r="S1284" s="11" t="n"/>
      <c r="U1284" s="11" t="n"/>
      <c r="AA1284" s="7" t="n"/>
      <c r="AC1284" s="7" t="n"/>
      <c r="AE1284">
        <f>IF($C1284="","",IF($AK1284=1,Settings!$C$6,Settings!$C$7)*1)</f>
        <v/>
      </c>
      <c r="AF1284" s="7">
        <f>IF($C1284="","",AE1284*AC1284)</f>
        <v/>
      </c>
      <c r="AG1284" s="7">
        <f>IF($C1284="","",AC1284-AF1284)</f>
        <v/>
      </c>
      <c r="AH1284" s="7">
        <f>IF($C1284="","",AG1284-R1284)</f>
        <v/>
      </c>
      <c r="AI1284">
        <f>IF($C1284="","",IF(COUNTIF($C$2:$C1284,$C1284)=1,1,0))</f>
        <v/>
      </c>
      <c r="AJ1284">
        <f>IF($AI1284=1,SUMPRODUCT(--($AL$2:$AL$1501&lt;$AL1284))+1,"")</f>
        <v/>
      </c>
      <c r="AK1284">
        <f>IF($C1284="","",IF(OR($AD1284=TRUE(),$AD1284="TRUE"),0,1))</f>
        <v/>
      </c>
      <c r="AL1284">
        <f>IF($AI1284=1,IFERROR(IF(VALUE($C1284)&lt;100000000,VALUE($C1284),1000000000),IFERROR(IF(VALUE(MID($C1284,2,20))&lt;100000000,VALUE(MID($C1284,2,20)),1000000000),1000000000))+ROW()/100000,"")</f>
        <v/>
      </c>
    </row>
    <row r="1285">
      <c r="J1285" s="7" t="n"/>
      <c r="K1285" s="7" t="n"/>
      <c r="R1285" s="7">
        <f>IF($C1285="","",Q1285*AC1285/100)</f>
        <v/>
      </c>
      <c r="S1285" s="11" t="n"/>
      <c r="U1285" s="11" t="n"/>
      <c r="AA1285" s="7" t="n"/>
      <c r="AC1285" s="7" t="n"/>
      <c r="AE1285">
        <f>IF($C1285="","",IF($AK1285=1,Settings!$C$6,Settings!$C$7)*1)</f>
        <v/>
      </c>
      <c r="AF1285" s="7">
        <f>IF($C1285="","",AE1285*AC1285)</f>
        <v/>
      </c>
      <c r="AG1285" s="7">
        <f>IF($C1285="","",AC1285-AF1285)</f>
        <v/>
      </c>
      <c r="AH1285" s="7">
        <f>IF($C1285="","",AG1285-R1285)</f>
        <v/>
      </c>
      <c r="AI1285">
        <f>IF($C1285="","",IF(COUNTIF($C$2:$C1285,$C1285)=1,1,0))</f>
        <v/>
      </c>
      <c r="AJ1285">
        <f>IF($AI1285=1,SUMPRODUCT(--($AL$2:$AL$1501&lt;$AL1285))+1,"")</f>
        <v/>
      </c>
      <c r="AK1285">
        <f>IF($C1285="","",IF(OR($AD1285=TRUE(),$AD1285="TRUE"),0,1))</f>
        <v/>
      </c>
      <c r="AL1285">
        <f>IF($AI1285=1,IFERROR(IF(VALUE($C1285)&lt;100000000,VALUE($C1285),1000000000),IFERROR(IF(VALUE(MID($C1285,2,20))&lt;100000000,VALUE(MID($C1285,2,20)),1000000000),1000000000))+ROW()/100000,"")</f>
        <v/>
      </c>
    </row>
    <row r="1286">
      <c r="J1286" s="7" t="n"/>
      <c r="K1286" s="7" t="n"/>
      <c r="R1286" s="7">
        <f>IF($C1286="","",Q1286*AC1286/100)</f>
        <v/>
      </c>
      <c r="S1286" s="11" t="n"/>
      <c r="U1286" s="11" t="n"/>
      <c r="AA1286" s="7" t="n"/>
      <c r="AC1286" s="7" t="n"/>
      <c r="AE1286">
        <f>IF($C1286="","",IF($AK1286=1,Settings!$C$6,Settings!$C$7)*1)</f>
        <v/>
      </c>
      <c r="AF1286" s="7">
        <f>IF($C1286="","",AE1286*AC1286)</f>
        <v/>
      </c>
      <c r="AG1286" s="7">
        <f>IF($C1286="","",AC1286-AF1286)</f>
        <v/>
      </c>
      <c r="AH1286" s="7">
        <f>IF($C1286="","",AG1286-R1286)</f>
        <v/>
      </c>
      <c r="AI1286">
        <f>IF($C1286="","",IF(COUNTIF($C$2:$C1286,$C1286)=1,1,0))</f>
        <v/>
      </c>
      <c r="AJ1286">
        <f>IF($AI1286=1,SUMPRODUCT(--($AL$2:$AL$1501&lt;$AL1286))+1,"")</f>
        <v/>
      </c>
      <c r="AK1286">
        <f>IF($C1286="","",IF(OR($AD1286=TRUE(),$AD1286="TRUE"),0,1))</f>
        <v/>
      </c>
      <c r="AL1286">
        <f>IF($AI1286=1,IFERROR(IF(VALUE($C1286)&lt;100000000,VALUE($C1286),1000000000),IFERROR(IF(VALUE(MID($C1286,2,20))&lt;100000000,VALUE(MID($C1286,2,20)),1000000000),1000000000))+ROW()/100000,"")</f>
        <v/>
      </c>
    </row>
    <row r="1287">
      <c r="J1287" s="7" t="n"/>
      <c r="K1287" s="7" t="n"/>
      <c r="R1287" s="7">
        <f>IF($C1287="","",Q1287*AC1287/100)</f>
        <v/>
      </c>
      <c r="S1287" s="11" t="n"/>
      <c r="U1287" s="11" t="n"/>
      <c r="AA1287" s="7" t="n"/>
      <c r="AC1287" s="7" t="n"/>
      <c r="AE1287">
        <f>IF($C1287="","",IF($AK1287=1,Settings!$C$6,Settings!$C$7)*1)</f>
        <v/>
      </c>
      <c r="AF1287" s="7">
        <f>IF($C1287="","",AE1287*AC1287)</f>
        <v/>
      </c>
      <c r="AG1287" s="7">
        <f>IF($C1287="","",AC1287-AF1287)</f>
        <v/>
      </c>
      <c r="AH1287" s="7">
        <f>IF($C1287="","",AG1287-R1287)</f>
        <v/>
      </c>
      <c r="AI1287">
        <f>IF($C1287="","",IF(COUNTIF($C$2:$C1287,$C1287)=1,1,0))</f>
        <v/>
      </c>
      <c r="AJ1287">
        <f>IF($AI1287=1,SUMPRODUCT(--($AL$2:$AL$1501&lt;$AL1287))+1,"")</f>
        <v/>
      </c>
      <c r="AK1287">
        <f>IF($C1287="","",IF(OR($AD1287=TRUE(),$AD1287="TRUE"),0,1))</f>
        <v/>
      </c>
      <c r="AL1287">
        <f>IF($AI1287=1,IFERROR(IF(VALUE($C1287)&lt;100000000,VALUE($C1287),1000000000),IFERROR(IF(VALUE(MID($C1287,2,20))&lt;100000000,VALUE(MID($C1287,2,20)),1000000000),1000000000))+ROW()/100000,"")</f>
        <v/>
      </c>
    </row>
    <row r="1288">
      <c r="J1288" s="7" t="n"/>
      <c r="K1288" s="7" t="n"/>
      <c r="R1288" s="7">
        <f>IF($C1288="","",Q1288*AC1288/100)</f>
        <v/>
      </c>
      <c r="S1288" s="11" t="n"/>
      <c r="U1288" s="11" t="n"/>
      <c r="AA1288" s="7" t="n"/>
      <c r="AC1288" s="7" t="n"/>
      <c r="AE1288">
        <f>IF($C1288="","",IF($AK1288=1,Settings!$C$6,Settings!$C$7)*1)</f>
        <v/>
      </c>
      <c r="AF1288" s="7">
        <f>IF($C1288="","",AE1288*AC1288)</f>
        <v/>
      </c>
      <c r="AG1288" s="7">
        <f>IF($C1288="","",AC1288-AF1288)</f>
        <v/>
      </c>
      <c r="AH1288" s="7">
        <f>IF($C1288="","",AG1288-R1288)</f>
        <v/>
      </c>
      <c r="AI1288">
        <f>IF($C1288="","",IF(COUNTIF($C$2:$C1288,$C1288)=1,1,0))</f>
        <v/>
      </c>
      <c r="AJ1288">
        <f>IF($AI1288=1,SUMPRODUCT(--($AL$2:$AL$1501&lt;$AL1288))+1,"")</f>
        <v/>
      </c>
      <c r="AK1288">
        <f>IF($C1288="","",IF(OR($AD1288=TRUE(),$AD1288="TRUE"),0,1))</f>
        <v/>
      </c>
      <c r="AL1288">
        <f>IF($AI1288=1,IFERROR(IF(VALUE($C1288)&lt;100000000,VALUE($C1288),1000000000),IFERROR(IF(VALUE(MID($C1288,2,20))&lt;100000000,VALUE(MID($C1288,2,20)),1000000000),1000000000))+ROW()/100000,"")</f>
        <v/>
      </c>
    </row>
    <row r="1289">
      <c r="J1289" s="7" t="n"/>
      <c r="K1289" s="7" t="n"/>
      <c r="R1289" s="7">
        <f>IF($C1289="","",Q1289*AC1289/100)</f>
        <v/>
      </c>
      <c r="S1289" s="11" t="n"/>
      <c r="U1289" s="11" t="n"/>
      <c r="AA1289" s="7" t="n"/>
      <c r="AC1289" s="7" t="n"/>
      <c r="AE1289">
        <f>IF($C1289="","",IF($AK1289=1,Settings!$C$6,Settings!$C$7)*1)</f>
        <v/>
      </c>
      <c r="AF1289" s="7">
        <f>IF($C1289="","",AE1289*AC1289)</f>
        <v/>
      </c>
      <c r="AG1289" s="7">
        <f>IF($C1289="","",AC1289-AF1289)</f>
        <v/>
      </c>
      <c r="AH1289" s="7">
        <f>IF($C1289="","",AG1289-R1289)</f>
        <v/>
      </c>
      <c r="AI1289">
        <f>IF($C1289="","",IF(COUNTIF($C$2:$C1289,$C1289)=1,1,0))</f>
        <v/>
      </c>
      <c r="AJ1289">
        <f>IF($AI1289=1,SUMPRODUCT(--($AL$2:$AL$1501&lt;$AL1289))+1,"")</f>
        <v/>
      </c>
      <c r="AK1289">
        <f>IF($C1289="","",IF(OR($AD1289=TRUE(),$AD1289="TRUE"),0,1))</f>
        <v/>
      </c>
      <c r="AL1289">
        <f>IF($AI1289=1,IFERROR(IF(VALUE($C1289)&lt;100000000,VALUE($C1289),1000000000),IFERROR(IF(VALUE(MID($C1289,2,20))&lt;100000000,VALUE(MID($C1289,2,20)),1000000000),1000000000))+ROW()/100000,"")</f>
        <v/>
      </c>
    </row>
    <row r="1290">
      <c r="J1290" s="7" t="n"/>
      <c r="K1290" s="7" t="n"/>
      <c r="R1290" s="7">
        <f>IF($C1290="","",Q1290*AC1290/100)</f>
        <v/>
      </c>
      <c r="S1290" s="11" t="n"/>
      <c r="U1290" s="11" t="n"/>
      <c r="AA1290" s="7" t="n"/>
      <c r="AC1290" s="7" t="n"/>
      <c r="AE1290">
        <f>IF($C1290="","",IF($AK1290=1,Settings!$C$6,Settings!$C$7)*1)</f>
        <v/>
      </c>
      <c r="AF1290" s="7">
        <f>IF($C1290="","",AE1290*AC1290)</f>
        <v/>
      </c>
      <c r="AG1290" s="7">
        <f>IF($C1290="","",AC1290-AF1290)</f>
        <v/>
      </c>
      <c r="AH1290" s="7">
        <f>IF($C1290="","",AG1290-R1290)</f>
        <v/>
      </c>
      <c r="AI1290">
        <f>IF($C1290="","",IF(COUNTIF($C$2:$C1290,$C1290)=1,1,0))</f>
        <v/>
      </c>
      <c r="AJ1290">
        <f>IF($AI1290=1,SUMPRODUCT(--($AL$2:$AL$1501&lt;$AL1290))+1,"")</f>
        <v/>
      </c>
      <c r="AK1290">
        <f>IF($C1290="","",IF(OR($AD1290=TRUE(),$AD1290="TRUE"),0,1))</f>
        <v/>
      </c>
      <c r="AL1290">
        <f>IF($AI1290=1,IFERROR(IF(VALUE($C1290)&lt;100000000,VALUE($C1290),1000000000),IFERROR(IF(VALUE(MID($C1290,2,20))&lt;100000000,VALUE(MID($C1290,2,20)),1000000000),1000000000))+ROW()/100000,"")</f>
        <v/>
      </c>
    </row>
    <row r="1291">
      <c r="J1291" s="7" t="n"/>
      <c r="K1291" s="7" t="n"/>
      <c r="R1291" s="7">
        <f>IF($C1291="","",Q1291*AC1291/100)</f>
        <v/>
      </c>
      <c r="S1291" s="11" t="n"/>
      <c r="U1291" s="11" t="n"/>
      <c r="AA1291" s="7" t="n"/>
      <c r="AC1291" s="7" t="n"/>
      <c r="AE1291">
        <f>IF($C1291="","",IF($AK1291=1,Settings!$C$6,Settings!$C$7)*1)</f>
        <v/>
      </c>
      <c r="AF1291" s="7">
        <f>IF($C1291="","",AE1291*AC1291)</f>
        <v/>
      </c>
      <c r="AG1291" s="7">
        <f>IF($C1291="","",AC1291-AF1291)</f>
        <v/>
      </c>
      <c r="AH1291" s="7">
        <f>IF($C1291="","",AG1291-R1291)</f>
        <v/>
      </c>
      <c r="AI1291">
        <f>IF($C1291="","",IF(COUNTIF($C$2:$C1291,$C1291)=1,1,0))</f>
        <v/>
      </c>
      <c r="AJ1291">
        <f>IF($AI1291=1,SUMPRODUCT(--($AL$2:$AL$1501&lt;$AL1291))+1,"")</f>
        <v/>
      </c>
      <c r="AK1291">
        <f>IF($C1291="","",IF(OR($AD1291=TRUE(),$AD1291="TRUE"),0,1))</f>
        <v/>
      </c>
      <c r="AL1291">
        <f>IF($AI1291=1,IFERROR(IF(VALUE($C1291)&lt;100000000,VALUE($C1291),1000000000),IFERROR(IF(VALUE(MID($C1291,2,20))&lt;100000000,VALUE(MID($C1291,2,20)),1000000000),1000000000))+ROW()/100000,"")</f>
        <v/>
      </c>
    </row>
    <row r="1292">
      <c r="J1292" s="7" t="n"/>
      <c r="K1292" s="7" t="n"/>
      <c r="R1292" s="7">
        <f>IF($C1292="","",Q1292*AC1292/100)</f>
        <v/>
      </c>
      <c r="S1292" s="11" t="n"/>
      <c r="U1292" s="11" t="n"/>
      <c r="AA1292" s="7" t="n"/>
      <c r="AC1292" s="7" t="n"/>
      <c r="AE1292">
        <f>IF($C1292="","",IF($AK1292=1,Settings!$C$6,Settings!$C$7)*1)</f>
        <v/>
      </c>
      <c r="AF1292" s="7">
        <f>IF($C1292="","",AE1292*AC1292)</f>
        <v/>
      </c>
      <c r="AG1292" s="7">
        <f>IF($C1292="","",AC1292-AF1292)</f>
        <v/>
      </c>
      <c r="AH1292" s="7">
        <f>IF($C1292="","",AG1292-R1292)</f>
        <v/>
      </c>
      <c r="AI1292">
        <f>IF($C1292="","",IF(COUNTIF($C$2:$C1292,$C1292)=1,1,0))</f>
        <v/>
      </c>
      <c r="AJ1292">
        <f>IF($AI1292=1,SUMPRODUCT(--($AL$2:$AL$1501&lt;$AL1292))+1,"")</f>
        <v/>
      </c>
      <c r="AK1292">
        <f>IF($C1292="","",IF(OR($AD1292=TRUE(),$AD1292="TRUE"),0,1))</f>
        <v/>
      </c>
      <c r="AL1292">
        <f>IF($AI1292=1,IFERROR(IF(VALUE($C1292)&lt;100000000,VALUE($C1292),1000000000),IFERROR(IF(VALUE(MID($C1292,2,20))&lt;100000000,VALUE(MID($C1292,2,20)),1000000000),1000000000))+ROW()/100000,"")</f>
        <v/>
      </c>
    </row>
    <row r="1293">
      <c r="J1293" s="7" t="n"/>
      <c r="K1293" s="7" t="n"/>
      <c r="R1293" s="7">
        <f>IF($C1293="","",Q1293*AC1293/100)</f>
        <v/>
      </c>
      <c r="S1293" s="11" t="n"/>
      <c r="U1293" s="11" t="n"/>
      <c r="AA1293" s="7" t="n"/>
      <c r="AC1293" s="7" t="n"/>
      <c r="AE1293">
        <f>IF($C1293="","",IF($AK1293=1,Settings!$C$6,Settings!$C$7)*1)</f>
        <v/>
      </c>
      <c r="AF1293" s="7">
        <f>IF($C1293="","",AE1293*AC1293)</f>
        <v/>
      </c>
      <c r="AG1293" s="7">
        <f>IF($C1293="","",AC1293-AF1293)</f>
        <v/>
      </c>
      <c r="AH1293" s="7">
        <f>IF($C1293="","",AG1293-R1293)</f>
        <v/>
      </c>
      <c r="AI1293">
        <f>IF($C1293="","",IF(COUNTIF($C$2:$C1293,$C1293)=1,1,0))</f>
        <v/>
      </c>
      <c r="AJ1293">
        <f>IF($AI1293=1,SUMPRODUCT(--($AL$2:$AL$1501&lt;$AL1293))+1,"")</f>
        <v/>
      </c>
      <c r="AK1293">
        <f>IF($C1293="","",IF(OR($AD1293=TRUE(),$AD1293="TRUE"),0,1))</f>
        <v/>
      </c>
      <c r="AL1293">
        <f>IF($AI1293=1,IFERROR(IF(VALUE($C1293)&lt;100000000,VALUE($C1293),1000000000),IFERROR(IF(VALUE(MID($C1293,2,20))&lt;100000000,VALUE(MID($C1293,2,20)),1000000000),1000000000))+ROW()/100000,"")</f>
        <v/>
      </c>
    </row>
    <row r="1294">
      <c r="J1294" s="7" t="n"/>
      <c r="K1294" s="7" t="n"/>
      <c r="R1294" s="7">
        <f>IF($C1294="","",Q1294*AC1294/100)</f>
        <v/>
      </c>
      <c r="S1294" s="11" t="n"/>
      <c r="U1294" s="11" t="n"/>
      <c r="AA1294" s="7" t="n"/>
      <c r="AC1294" s="7" t="n"/>
      <c r="AE1294">
        <f>IF($C1294="","",IF($AK1294=1,Settings!$C$6,Settings!$C$7)*1)</f>
        <v/>
      </c>
      <c r="AF1294" s="7">
        <f>IF($C1294="","",AE1294*AC1294)</f>
        <v/>
      </c>
      <c r="AG1294" s="7">
        <f>IF($C1294="","",AC1294-AF1294)</f>
        <v/>
      </c>
      <c r="AH1294" s="7">
        <f>IF($C1294="","",AG1294-R1294)</f>
        <v/>
      </c>
      <c r="AI1294">
        <f>IF($C1294="","",IF(COUNTIF($C$2:$C1294,$C1294)=1,1,0))</f>
        <v/>
      </c>
      <c r="AJ1294">
        <f>IF($AI1294=1,SUMPRODUCT(--($AL$2:$AL$1501&lt;$AL1294))+1,"")</f>
        <v/>
      </c>
      <c r="AK1294">
        <f>IF($C1294="","",IF(OR($AD1294=TRUE(),$AD1294="TRUE"),0,1))</f>
        <v/>
      </c>
      <c r="AL1294">
        <f>IF($AI1294=1,IFERROR(IF(VALUE($C1294)&lt;100000000,VALUE($C1294),1000000000),IFERROR(IF(VALUE(MID($C1294,2,20))&lt;100000000,VALUE(MID($C1294,2,20)),1000000000),1000000000))+ROW()/100000,"")</f>
        <v/>
      </c>
    </row>
    <row r="1295">
      <c r="J1295" s="7" t="n"/>
      <c r="K1295" s="7" t="n"/>
      <c r="R1295" s="7">
        <f>IF($C1295="","",Q1295*AC1295/100)</f>
        <v/>
      </c>
      <c r="S1295" s="11" t="n"/>
      <c r="U1295" s="11" t="n"/>
      <c r="AA1295" s="7" t="n"/>
      <c r="AC1295" s="7" t="n"/>
      <c r="AE1295">
        <f>IF($C1295="","",IF($AK1295=1,Settings!$C$6,Settings!$C$7)*1)</f>
        <v/>
      </c>
      <c r="AF1295" s="7">
        <f>IF($C1295="","",AE1295*AC1295)</f>
        <v/>
      </c>
      <c r="AG1295" s="7">
        <f>IF($C1295="","",AC1295-AF1295)</f>
        <v/>
      </c>
      <c r="AH1295" s="7">
        <f>IF($C1295="","",AG1295-R1295)</f>
        <v/>
      </c>
      <c r="AI1295">
        <f>IF($C1295="","",IF(COUNTIF($C$2:$C1295,$C1295)=1,1,0))</f>
        <v/>
      </c>
      <c r="AJ1295">
        <f>IF($AI1295=1,SUMPRODUCT(--($AL$2:$AL$1501&lt;$AL1295))+1,"")</f>
        <v/>
      </c>
      <c r="AK1295">
        <f>IF($C1295="","",IF(OR($AD1295=TRUE(),$AD1295="TRUE"),0,1))</f>
        <v/>
      </c>
      <c r="AL1295">
        <f>IF($AI1295=1,IFERROR(IF(VALUE($C1295)&lt;100000000,VALUE($C1295),1000000000),IFERROR(IF(VALUE(MID($C1295,2,20))&lt;100000000,VALUE(MID($C1295,2,20)),1000000000),1000000000))+ROW()/100000,"")</f>
        <v/>
      </c>
    </row>
    <row r="1296">
      <c r="J1296" s="7" t="n"/>
      <c r="K1296" s="7" t="n"/>
      <c r="R1296" s="7">
        <f>IF($C1296="","",Q1296*AC1296/100)</f>
        <v/>
      </c>
      <c r="S1296" s="11" t="n"/>
      <c r="U1296" s="11" t="n"/>
      <c r="AA1296" s="7" t="n"/>
      <c r="AC1296" s="7" t="n"/>
      <c r="AE1296">
        <f>IF($C1296="","",IF($AK1296=1,Settings!$C$6,Settings!$C$7)*1)</f>
        <v/>
      </c>
      <c r="AF1296" s="7">
        <f>IF($C1296="","",AE1296*AC1296)</f>
        <v/>
      </c>
      <c r="AG1296" s="7">
        <f>IF($C1296="","",AC1296-AF1296)</f>
        <v/>
      </c>
      <c r="AH1296" s="7">
        <f>IF($C1296="","",AG1296-R1296)</f>
        <v/>
      </c>
      <c r="AI1296">
        <f>IF($C1296="","",IF(COUNTIF($C$2:$C1296,$C1296)=1,1,0))</f>
        <v/>
      </c>
      <c r="AJ1296">
        <f>IF($AI1296=1,SUMPRODUCT(--($AL$2:$AL$1501&lt;$AL1296))+1,"")</f>
        <v/>
      </c>
      <c r="AK1296">
        <f>IF($C1296="","",IF(OR($AD1296=TRUE(),$AD1296="TRUE"),0,1))</f>
        <v/>
      </c>
      <c r="AL1296">
        <f>IF($AI1296=1,IFERROR(IF(VALUE($C1296)&lt;100000000,VALUE($C1296),1000000000),IFERROR(IF(VALUE(MID($C1296,2,20))&lt;100000000,VALUE(MID($C1296,2,20)),1000000000),1000000000))+ROW()/100000,"")</f>
        <v/>
      </c>
    </row>
    <row r="1297">
      <c r="J1297" s="7" t="n"/>
      <c r="K1297" s="7" t="n"/>
      <c r="R1297" s="7">
        <f>IF($C1297="","",Q1297*AC1297/100)</f>
        <v/>
      </c>
      <c r="S1297" s="11" t="n"/>
      <c r="U1297" s="11" t="n"/>
      <c r="AA1297" s="7" t="n"/>
      <c r="AC1297" s="7" t="n"/>
      <c r="AE1297">
        <f>IF($C1297="","",IF($AK1297=1,Settings!$C$6,Settings!$C$7)*1)</f>
        <v/>
      </c>
      <c r="AF1297" s="7">
        <f>IF($C1297="","",AE1297*AC1297)</f>
        <v/>
      </c>
      <c r="AG1297" s="7">
        <f>IF($C1297="","",AC1297-AF1297)</f>
        <v/>
      </c>
      <c r="AH1297" s="7">
        <f>IF($C1297="","",AG1297-R1297)</f>
        <v/>
      </c>
      <c r="AI1297">
        <f>IF($C1297="","",IF(COUNTIF($C$2:$C1297,$C1297)=1,1,0))</f>
        <v/>
      </c>
      <c r="AJ1297">
        <f>IF($AI1297=1,SUMPRODUCT(--($AL$2:$AL$1501&lt;$AL1297))+1,"")</f>
        <v/>
      </c>
      <c r="AK1297">
        <f>IF($C1297="","",IF(OR($AD1297=TRUE(),$AD1297="TRUE"),0,1))</f>
        <v/>
      </c>
      <c r="AL1297">
        <f>IF($AI1297=1,IFERROR(IF(VALUE($C1297)&lt;100000000,VALUE($C1297),1000000000),IFERROR(IF(VALUE(MID($C1297,2,20))&lt;100000000,VALUE(MID($C1297,2,20)),1000000000),1000000000))+ROW()/100000,"")</f>
        <v/>
      </c>
    </row>
    <row r="1298">
      <c r="J1298" s="7" t="n"/>
      <c r="K1298" s="7" t="n"/>
      <c r="R1298" s="7">
        <f>IF($C1298="","",Q1298*AC1298/100)</f>
        <v/>
      </c>
      <c r="S1298" s="11" t="n"/>
      <c r="U1298" s="11" t="n"/>
      <c r="AA1298" s="7" t="n"/>
      <c r="AC1298" s="7" t="n"/>
      <c r="AE1298">
        <f>IF($C1298="","",IF($AK1298=1,Settings!$C$6,Settings!$C$7)*1)</f>
        <v/>
      </c>
      <c r="AF1298" s="7">
        <f>IF($C1298="","",AE1298*AC1298)</f>
        <v/>
      </c>
      <c r="AG1298" s="7">
        <f>IF($C1298="","",AC1298-AF1298)</f>
        <v/>
      </c>
      <c r="AH1298" s="7">
        <f>IF($C1298="","",AG1298-R1298)</f>
        <v/>
      </c>
      <c r="AI1298">
        <f>IF($C1298="","",IF(COUNTIF($C$2:$C1298,$C1298)=1,1,0))</f>
        <v/>
      </c>
      <c r="AJ1298">
        <f>IF($AI1298=1,SUMPRODUCT(--($AL$2:$AL$1501&lt;$AL1298))+1,"")</f>
        <v/>
      </c>
      <c r="AK1298">
        <f>IF($C1298="","",IF(OR($AD1298=TRUE(),$AD1298="TRUE"),0,1))</f>
        <v/>
      </c>
      <c r="AL1298">
        <f>IF($AI1298=1,IFERROR(IF(VALUE($C1298)&lt;100000000,VALUE($C1298),1000000000),IFERROR(IF(VALUE(MID($C1298,2,20))&lt;100000000,VALUE(MID($C1298,2,20)),1000000000),1000000000))+ROW()/100000,"")</f>
        <v/>
      </c>
    </row>
    <row r="1299">
      <c r="J1299" s="7" t="n"/>
      <c r="K1299" s="7" t="n"/>
      <c r="R1299" s="7">
        <f>IF($C1299="","",Q1299*AC1299/100)</f>
        <v/>
      </c>
      <c r="S1299" s="11" t="n"/>
      <c r="U1299" s="11" t="n"/>
      <c r="AA1299" s="7" t="n"/>
      <c r="AC1299" s="7" t="n"/>
      <c r="AE1299">
        <f>IF($C1299="","",IF($AK1299=1,Settings!$C$6,Settings!$C$7)*1)</f>
        <v/>
      </c>
      <c r="AF1299" s="7">
        <f>IF($C1299="","",AE1299*AC1299)</f>
        <v/>
      </c>
      <c r="AG1299" s="7">
        <f>IF($C1299="","",AC1299-AF1299)</f>
        <v/>
      </c>
      <c r="AH1299" s="7">
        <f>IF($C1299="","",AG1299-R1299)</f>
        <v/>
      </c>
      <c r="AI1299">
        <f>IF($C1299="","",IF(COUNTIF($C$2:$C1299,$C1299)=1,1,0))</f>
        <v/>
      </c>
      <c r="AJ1299">
        <f>IF($AI1299=1,SUMPRODUCT(--($AL$2:$AL$1501&lt;$AL1299))+1,"")</f>
        <v/>
      </c>
      <c r="AK1299">
        <f>IF($C1299="","",IF(OR($AD1299=TRUE(),$AD1299="TRUE"),0,1))</f>
        <v/>
      </c>
      <c r="AL1299">
        <f>IF($AI1299=1,IFERROR(IF(VALUE($C1299)&lt;100000000,VALUE($C1299),1000000000),IFERROR(IF(VALUE(MID($C1299,2,20))&lt;100000000,VALUE(MID($C1299,2,20)),1000000000),1000000000))+ROW()/100000,"")</f>
        <v/>
      </c>
    </row>
    <row r="1300">
      <c r="J1300" s="7" t="n"/>
      <c r="K1300" s="7" t="n"/>
      <c r="R1300" s="7">
        <f>IF($C1300="","",Q1300*AC1300/100)</f>
        <v/>
      </c>
      <c r="S1300" s="11" t="n"/>
      <c r="U1300" s="11" t="n"/>
      <c r="AA1300" s="7" t="n"/>
      <c r="AC1300" s="7" t="n"/>
      <c r="AE1300">
        <f>IF($C1300="","",IF($AK1300=1,Settings!$C$6,Settings!$C$7)*1)</f>
        <v/>
      </c>
      <c r="AF1300" s="7">
        <f>IF($C1300="","",AE1300*AC1300)</f>
        <v/>
      </c>
      <c r="AG1300" s="7">
        <f>IF($C1300="","",AC1300-AF1300)</f>
        <v/>
      </c>
      <c r="AH1300" s="7">
        <f>IF($C1300="","",AG1300-R1300)</f>
        <v/>
      </c>
      <c r="AI1300">
        <f>IF($C1300="","",IF(COUNTIF($C$2:$C1300,$C1300)=1,1,0))</f>
        <v/>
      </c>
      <c r="AJ1300">
        <f>IF($AI1300=1,SUMPRODUCT(--($AL$2:$AL$1501&lt;$AL1300))+1,"")</f>
        <v/>
      </c>
      <c r="AK1300">
        <f>IF($C1300="","",IF(OR($AD1300=TRUE(),$AD1300="TRUE"),0,1))</f>
        <v/>
      </c>
      <c r="AL1300">
        <f>IF($AI1300=1,IFERROR(IF(VALUE($C1300)&lt;100000000,VALUE($C1300),1000000000),IFERROR(IF(VALUE(MID($C1300,2,20))&lt;100000000,VALUE(MID($C1300,2,20)),1000000000),1000000000))+ROW()/100000,"")</f>
        <v/>
      </c>
    </row>
    <row r="1301">
      <c r="J1301" s="7" t="n"/>
      <c r="K1301" s="7" t="n"/>
      <c r="R1301" s="7">
        <f>IF($C1301="","",Q1301*AC1301/100)</f>
        <v/>
      </c>
      <c r="S1301" s="11" t="n"/>
      <c r="U1301" s="11" t="n"/>
      <c r="AA1301" s="7" t="n"/>
      <c r="AC1301" s="7" t="n"/>
      <c r="AE1301">
        <f>IF($C1301="","",IF($AK1301=1,Settings!$C$6,Settings!$C$7)*1)</f>
        <v/>
      </c>
      <c r="AF1301" s="7">
        <f>IF($C1301="","",AE1301*AC1301)</f>
        <v/>
      </c>
      <c r="AG1301" s="7">
        <f>IF($C1301="","",AC1301-AF1301)</f>
        <v/>
      </c>
      <c r="AH1301" s="7">
        <f>IF($C1301="","",AG1301-R1301)</f>
        <v/>
      </c>
      <c r="AI1301">
        <f>IF($C1301="","",IF(COUNTIF($C$2:$C1301,$C1301)=1,1,0))</f>
        <v/>
      </c>
      <c r="AJ1301">
        <f>IF($AI1301=1,SUMPRODUCT(--($AL$2:$AL$1501&lt;$AL1301))+1,"")</f>
        <v/>
      </c>
      <c r="AK1301">
        <f>IF($C1301="","",IF(OR($AD1301=TRUE(),$AD1301="TRUE"),0,1))</f>
        <v/>
      </c>
      <c r="AL1301">
        <f>IF($AI1301=1,IFERROR(IF(VALUE($C1301)&lt;100000000,VALUE($C1301),1000000000),IFERROR(IF(VALUE(MID($C1301,2,20))&lt;100000000,VALUE(MID($C1301,2,20)),1000000000),1000000000))+ROW()/100000,"")</f>
        <v/>
      </c>
    </row>
    <row r="1302">
      <c r="J1302" s="7" t="n"/>
      <c r="K1302" s="7" t="n"/>
      <c r="R1302" s="7">
        <f>IF($C1302="","",Q1302*AC1302/100)</f>
        <v/>
      </c>
      <c r="S1302" s="11" t="n"/>
      <c r="U1302" s="11" t="n"/>
      <c r="AA1302" s="7" t="n"/>
      <c r="AC1302" s="7" t="n"/>
      <c r="AE1302">
        <f>IF($C1302="","",IF($AK1302=1,Settings!$C$6,Settings!$C$7)*1)</f>
        <v/>
      </c>
      <c r="AF1302" s="7">
        <f>IF($C1302="","",AE1302*AC1302)</f>
        <v/>
      </c>
      <c r="AG1302" s="7">
        <f>IF($C1302="","",AC1302-AF1302)</f>
        <v/>
      </c>
      <c r="AH1302" s="7">
        <f>IF($C1302="","",AG1302-R1302)</f>
        <v/>
      </c>
      <c r="AI1302">
        <f>IF($C1302="","",IF(COUNTIF($C$2:$C1302,$C1302)=1,1,0))</f>
        <v/>
      </c>
      <c r="AJ1302">
        <f>IF($AI1302=1,SUMPRODUCT(--($AL$2:$AL$1501&lt;$AL1302))+1,"")</f>
        <v/>
      </c>
      <c r="AK1302">
        <f>IF($C1302="","",IF(OR($AD1302=TRUE(),$AD1302="TRUE"),0,1))</f>
        <v/>
      </c>
      <c r="AL1302">
        <f>IF($AI1302=1,IFERROR(IF(VALUE($C1302)&lt;100000000,VALUE($C1302),1000000000),IFERROR(IF(VALUE(MID($C1302,2,20))&lt;100000000,VALUE(MID($C1302,2,20)),1000000000),1000000000))+ROW()/100000,"")</f>
        <v/>
      </c>
    </row>
    <row r="1303">
      <c r="J1303" s="7" t="n"/>
      <c r="K1303" s="7" t="n"/>
      <c r="R1303" s="7">
        <f>IF($C1303="","",Q1303*AC1303/100)</f>
        <v/>
      </c>
      <c r="S1303" s="11" t="n"/>
      <c r="U1303" s="11" t="n"/>
      <c r="AA1303" s="7" t="n"/>
      <c r="AC1303" s="7" t="n"/>
      <c r="AE1303">
        <f>IF($C1303="","",IF($AK1303=1,Settings!$C$6,Settings!$C$7)*1)</f>
        <v/>
      </c>
      <c r="AF1303" s="7">
        <f>IF($C1303="","",AE1303*AC1303)</f>
        <v/>
      </c>
      <c r="AG1303" s="7">
        <f>IF($C1303="","",AC1303-AF1303)</f>
        <v/>
      </c>
      <c r="AH1303" s="7">
        <f>IF($C1303="","",AG1303-R1303)</f>
        <v/>
      </c>
      <c r="AI1303">
        <f>IF($C1303="","",IF(COUNTIF($C$2:$C1303,$C1303)=1,1,0))</f>
        <v/>
      </c>
      <c r="AJ1303">
        <f>IF($AI1303=1,SUMPRODUCT(--($AL$2:$AL$1501&lt;$AL1303))+1,"")</f>
        <v/>
      </c>
      <c r="AK1303">
        <f>IF($C1303="","",IF(OR($AD1303=TRUE(),$AD1303="TRUE"),0,1))</f>
        <v/>
      </c>
      <c r="AL1303">
        <f>IF($AI1303=1,IFERROR(IF(VALUE($C1303)&lt;100000000,VALUE($C1303),1000000000),IFERROR(IF(VALUE(MID($C1303,2,20))&lt;100000000,VALUE(MID($C1303,2,20)),1000000000),1000000000))+ROW()/100000,"")</f>
        <v/>
      </c>
    </row>
    <row r="1304">
      <c r="J1304" s="7" t="n"/>
      <c r="K1304" s="7" t="n"/>
      <c r="R1304" s="7">
        <f>IF($C1304="","",Q1304*AC1304/100)</f>
        <v/>
      </c>
      <c r="S1304" s="11" t="n"/>
      <c r="U1304" s="11" t="n"/>
      <c r="AA1304" s="7" t="n"/>
      <c r="AC1304" s="7" t="n"/>
      <c r="AE1304">
        <f>IF($C1304="","",IF($AK1304=1,Settings!$C$6,Settings!$C$7)*1)</f>
        <v/>
      </c>
      <c r="AF1304" s="7">
        <f>IF($C1304="","",AE1304*AC1304)</f>
        <v/>
      </c>
      <c r="AG1304" s="7">
        <f>IF($C1304="","",AC1304-AF1304)</f>
        <v/>
      </c>
      <c r="AH1304" s="7">
        <f>IF($C1304="","",AG1304-R1304)</f>
        <v/>
      </c>
      <c r="AI1304">
        <f>IF($C1304="","",IF(COUNTIF($C$2:$C1304,$C1304)=1,1,0))</f>
        <v/>
      </c>
      <c r="AJ1304">
        <f>IF($AI1304=1,SUMPRODUCT(--($AL$2:$AL$1501&lt;$AL1304))+1,"")</f>
        <v/>
      </c>
      <c r="AK1304">
        <f>IF($C1304="","",IF(OR($AD1304=TRUE(),$AD1304="TRUE"),0,1))</f>
        <v/>
      </c>
      <c r="AL1304">
        <f>IF($AI1304=1,IFERROR(IF(VALUE($C1304)&lt;100000000,VALUE($C1304),1000000000),IFERROR(IF(VALUE(MID($C1304,2,20))&lt;100000000,VALUE(MID($C1304,2,20)),1000000000),1000000000))+ROW()/100000,"")</f>
        <v/>
      </c>
    </row>
    <row r="1305">
      <c r="J1305" s="7" t="n"/>
      <c r="K1305" s="7" t="n"/>
      <c r="R1305" s="7">
        <f>IF($C1305="","",Q1305*AC1305/100)</f>
        <v/>
      </c>
      <c r="S1305" s="11" t="n"/>
      <c r="U1305" s="11" t="n"/>
      <c r="AA1305" s="7" t="n"/>
      <c r="AC1305" s="7" t="n"/>
      <c r="AE1305">
        <f>IF($C1305="","",IF($AK1305=1,Settings!$C$6,Settings!$C$7)*1)</f>
        <v/>
      </c>
      <c r="AF1305" s="7">
        <f>IF($C1305="","",AE1305*AC1305)</f>
        <v/>
      </c>
      <c r="AG1305" s="7">
        <f>IF($C1305="","",AC1305-AF1305)</f>
        <v/>
      </c>
      <c r="AH1305" s="7">
        <f>IF($C1305="","",AG1305-R1305)</f>
        <v/>
      </c>
      <c r="AI1305">
        <f>IF($C1305="","",IF(COUNTIF($C$2:$C1305,$C1305)=1,1,0))</f>
        <v/>
      </c>
      <c r="AJ1305">
        <f>IF($AI1305=1,SUMPRODUCT(--($AL$2:$AL$1501&lt;$AL1305))+1,"")</f>
        <v/>
      </c>
      <c r="AK1305">
        <f>IF($C1305="","",IF(OR($AD1305=TRUE(),$AD1305="TRUE"),0,1))</f>
        <v/>
      </c>
      <c r="AL1305">
        <f>IF($AI1305=1,IFERROR(IF(VALUE($C1305)&lt;100000000,VALUE($C1305),1000000000),IFERROR(IF(VALUE(MID($C1305,2,20))&lt;100000000,VALUE(MID($C1305,2,20)),1000000000),1000000000))+ROW()/100000,"")</f>
        <v/>
      </c>
    </row>
    <row r="1306">
      <c r="J1306" s="7" t="n"/>
      <c r="K1306" s="7" t="n"/>
      <c r="R1306" s="7">
        <f>IF($C1306="","",Q1306*AC1306/100)</f>
        <v/>
      </c>
      <c r="S1306" s="11" t="n"/>
      <c r="U1306" s="11" t="n"/>
      <c r="AA1306" s="7" t="n"/>
      <c r="AC1306" s="7" t="n"/>
      <c r="AE1306">
        <f>IF($C1306="","",IF($AK1306=1,Settings!$C$6,Settings!$C$7)*1)</f>
        <v/>
      </c>
      <c r="AF1306" s="7">
        <f>IF($C1306="","",AE1306*AC1306)</f>
        <v/>
      </c>
      <c r="AG1306" s="7">
        <f>IF($C1306="","",AC1306-AF1306)</f>
        <v/>
      </c>
      <c r="AH1306" s="7">
        <f>IF($C1306="","",AG1306-R1306)</f>
        <v/>
      </c>
      <c r="AI1306">
        <f>IF($C1306="","",IF(COUNTIF($C$2:$C1306,$C1306)=1,1,0))</f>
        <v/>
      </c>
      <c r="AJ1306">
        <f>IF($AI1306=1,SUMPRODUCT(--($AL$2:$AL$1501&lt;$AL1306))+1,"")</f>
        <v/>
      </c>
      <c r="AK1306">
        <f>IF($C1306="","",IF(OR($AD1306=TRUE(),$AD1306="TRUE"),0,1))</f>
        <v/>
      </c>
      <c r="AL1306">
        <f>IF($AI1306=1,IFERROR(IF(VALUE($C1306)&lt;100000000,VALUE($C1306),1000000000),IFERROR(IF(VALUE(MID($C1306,2,20))&lt;100000000,VALUE(MID($C1306,2,20)),1000000000),1000000000))+ROW()/100000,"")</f>
        <v/>
      </c>
    </row>
    <row r="1307">
      <c r="J1307" s="7" t="n"/>
      <c r="K1307" s="7" t="n"/>
      <c r="R1307" s="7">
        <f>IF($C1307="","",Q1307*AC1307/100)</f>
        <v/>
      </c>
      <c r="S1307" s="11" t="n"/>
      <c r="U1307" s="11" t="n"/>
      <c r="AA1307" s="7" t="n"/>
      <c r="AC1307" s="7" t="n"/>
      <c r="AE1307">
        <f>IF($C1307="","",IF($AK1307=1,Settings!$C$6,Settings!$C$7)*1)</f>
        <v/>
      </c>
      <c r="AF1307" s="7">
        <f>IF($C1307="","",AE1307*AC1307)</f>
        <v/>
      </c>
      <c r="AG1307" s="7">
        <f>IF($C1307="","",AC1307-AF1307)</f>
        <v/>
      </c>
      <c r="AH1307" s="7">
        <f>IF($C1307="","",AG1307-R1307)</f>
        <v/>
      </c>
      <c r="AI1307">
        <f>IF($C1307="","",IF(COUNTIF($C$2:$C1307,$C1307)=1,1,0))</f>
        <v/>
      </c>
      <c r="AJ1307">
        <f>IF($AI1307=1,SUMPRODUCT(--($AL$2:$AL$1501&lt;$AL1307))+1,"")</f>
        <v/>
      </c>
      <c r="AK1307">
        <f>IF($C1307="","",IF(OR($AD1307=TRUE(),$AD1307="TRUE"),0,1))</f>
        <v/>
      </c>
      <c r="AL1307">
        <f>IF($AI1307=1,IFERROR(IF(VALUE($C1307)&lt;100000000,VALUE($C1307),1000000000),IFERROR(IF(VALUE(MID($C1307,2,20))&lt;100000000,VALUE(MID($C1307,2,20)),1000000000),1000000000))+ROW()/100000,"")</f>
        <v/>
      </c>
    </row>
    <row r="1308">
      <c r="J1308" s="7" t="n"/>
      <c r="K1308" s="7" t="n"/>
      <c r="R1308" s="7">
        <f>IF($C1308="","",Q1308*AC1308/100)</f>
        <v/>
      </c>
      <c r="S1308" s="11" t="n"/>
      <c r="U1308" s="11" t="n"/>
      <c r="AA1308" s="7" t="n"/>
      <c r="AC1308" s="7" t="n"/>
      <c r="AE1308">
        <f>IF($C1308="","",IF($AK1308=1,Settings!$C$6,Settings!$C$7)*1)</f>
        <v/>
      </c>
      <c r="AF1308" s="7">
        <f>IF($C1308="","",AE1308*AC1308)</f>
        <v/>
      </c>
      <c r="AG1308" s="7">
        <f>IF($C1308="","",AC1308-AF1308)</f>
        <v/>
      </c>
      <c r="AH1308" s="7">
        <f>IF($C1308="","",AG1308-R1308)</f>
        <v/>
      </c>
      <c r="AI1308">
        <f>IF($C1308="","",IF(COUNTIF($C$2:$C1308,$C1308)=1,1,0))</f>
        <v/>
      </c>
      <c r="AJ1308">
        <f>IF($AI1308=1,SUMPRODUCT(--($AL$2:$AL$1501&lt;$AL1308))+1,"")</f>
        <v/>
      </c>
      <c r="AK1308">
        <f>IF($C1308="","",IF(OR($AD1308=TRUE(),$AD1308="TRUE"),0,1))</f>
        <v/>
      </c>
      <c r="AL1308">
        <f>IF($AI1308=1,IFERROR(IF(VALUE($C1308)&lt;100000000,VALUE($C1308),1000000000),IFERROR(IF(VALUE(MID($C1308,2,20))&lt;100000000,VALUE(MID($C1308,2,20)),1000000000),1000000000))+ROW()/100000,"")</f>
        <v/>
      </c>
    </row>
    <row r="1309">
      <c r="J1309" s="7" t="n"/>
      <c r="K1309" s="7" t="n"/>
      <c r="R1309" s="7">
        <f>IF($C1309="","",Q1309*AC1309/100)</f>
        <v/>
      </c>
      <c r="S1309" s="11" t="n"/>
      <c r="U1309" s="11" t="n"/>
      <c r="AA1309" s="7" t="n"/>
      <c r="AC1309" s="7" t="n"/>
      <c r="AE1309">
        <f>IF($C1309="","",IF($AK1309=1,Settings!$C$6,Settings!$C$7)*1)</f>
        <v/>
      </c>
      <c r="AF1309" s="7">
        <f>IF($C1309="","",AE1309*AC1309)</f>
        <v/>
      </c>
      <c r="AG1309" s="7">
        <f>IF($C1309="","",AC1309-AF1309)</f>
        <v/>
      </c>
      <c r="AH1309" s="7">
        <f>IF($C1309="","",AG1309-R1309)</f>
        <v/>
      </c>
      <c r="AI1309">
        <f>IF($C1309="","",IF(COUNTIF($C$2:$C1309,$C1309)=1,1,0))</f>
        <v/>
      </c>
      <c r="AJ1309">
        <f>IF($AI1309=1,SUMPRODUCT(--($AL$2:$AL$1501&lt;$AL1309))+1,"")</f>
        <v/>
      </c>
      <c r="AK1309">
        <f>IF($C1309="","",IF(OR($AD1309=TRUE(),$AD1309="TRUE"),0,1))</f>
        <v/>
      </c>
      <c r="AL1309">
        <f>IF($AI1309=1,IFERROR(IF(VALUE($C1309)&lt;100000000,VALUE($C1309),1000000000),IFERROR(IF(VALUE(MID($C1309,2,20))&lt;100000000,VALUE(MID($C1309,2,20)),1000000000),1000000000))+ROW()/100000,"")</f>
        <v/>
      </c>
    </row>
    <row r="1310">
      <c r="J1310" s="7" t="n"/>
      <c r="K1310" s="7" t="n"/>
      <c r="R1310" s="7">
        <f>IF($C1310="","",Q1310*AC1310/100)</f>
        <v/>
      </c>
      <c r="S1310" s="11" t="n"/>
      <c r="U1310" s="11" t="n"/>
      <c r="AA1310" s="7" t="n"/>
      <c r="AC1310" s="7" t="n"/>
      <c r="AE1310">
        <f>IF($C1310="","",IF($AK1310=1,Settings!$C$6,Settings!$C$7)*1)</f>
        <v/>
      </c>
      <c r="AF1310" s="7">
        <f>IF($C1310="","",AE1310*AC1310)</f>
        <v/>
      </c>
      <c r="AG1310" s="7">
        <f>IF($C1310="","",AC1310-AF1310)</f>
        <v/>
      </c>
      <c r="AH1310" s="7">
        <f>IF($C1310="","",AG1310-R1310)</f>
        <v/>
      </c>
      <c r="AI1310">
        <f>IF($C1310="","",IF(COUNTIF($C$2:$C1310,$C1310)=1,1,0))</f>
        <v/>
      </c>
      <c r="AJ1310">
        <f>IF($AI1310=1,SUMPRODUCT(--($AL$2:$AL$1501&lt;$AL1310))+1,"")</f>
        <v/>
      </c>
      <c r="AK1310">
        <f>IF($C1310="","",IF(OR($AD1310=TRUE(),$AD1310="TRUE"),0,1))</f>
        <v/>
      </c>
      <c r="AL1310">
        <f>IF($AI1310=1,IFERROR(IF(VALUE($C1310)&lt;100000000,VALUE($C1310),1000000000),IFERROR(IF(VALUE(MID($C1310,2,20))&lt;100000000,VALUE(MID($C1310,2,20)),1000000000),1000000000))+ROW()/100000,"")</f>
        <v/>
      </c>
    </row>
    <row r="1311">
      <c r="J1311" s="7" t="n"/>
      <c r="K1311" s="7" t="n"/>
      <c r="R1311" s="7">
        <f>IF($C1311="","",Q1311*AC1311/100)</f>
        <v/>
      </c>
      <c r="S1311" s="11" t="n"/>
      <c r="U1311" s="11" t="n"/>
      <c r="AA1311" s="7" t="n"/>
      <c r="AC1311" s="7" t="n"/>
      <c r="AE1311">
        <f>IF($C1311="","",IF($AK1311=1,Settings!$C$6,Settings!$C$7)*1)</f>
        <v/>
      </c>
      <c r="AF1311" s="7">
        <f>IF($C1311="","",AE1311*AC1311)</f>
        <v/>
      </c>
      <c r="AG1311" s="7">
        <f>IF($C1311="","",AC1311-AF1311)</f>
        <v/>
      </c>
      <c r="AH1311" s="7">
        <f>IF($C1311="","",AG1311-R1311)</f>
        <v/>
      </c>
      <c r="AI1311">
        <f>IF($C1311="","",IF(COUNTIF($C$2:$C1311,$C1311)=1,1,0))</f>
        <v/>
      </c>
      <c r="AJ1311">
        <f>IF($AI1311=1,SUMPRODUCT(--($AL$2:$AL$1501&lt;$AL1311))+1,"")</f>
        <v/>
      </c>
      <c r="AK1311">
        <f>IF($C1311="","",IF(OR($AD1311=TRUE(),$AD1311="TRUE"),0,1))</f>
        <v/>
      </c>
      <c r="AL1311">
        <f>IF($AI1311=1,IFERROR(IF(VALUE($C1311)&lt;100000000,VALUE($C1311),1000000000),IFERROR(IF(VALUE(MID($C1311,2,20))&lt;100000000,VALUE(MID($C1311,2,20)),1000000000),1000000000))+ROW()/100000,"")</f>
        <v/>
      </c>
    </row>
    <row r="1312">
      <c r="J1312" s="7" t="n"/>
      <c r="K1312" s="7" t="n"/>
      <c r="R1312" s="7">
        <f>IF($C1312="","",Q1312*AC1312/100)</f>
        <v/>
      </c>
      <c r="S1312" s="11" t="n"/>
      <c r="U1312" s="11" t="n"/>
      <c r="AA1312" s="7" t="n"/>
      <c r="AC1312" s="7" t="n"/>
      <c r="AE1312">
        <f>IF($C1312="","",IF($AK1312=1,Settings!$C$6,Settings!$C$7)*1)</f>
        <v/>
      </c>
      <c r="AF1312" s="7">
        <f>IF($C1312="","",AE1312*AC1312)</f>
        <v/>
      </c>
      <c r="AG1312" s="7">
        <f>IF($C1312="","",AC1312-AF1312)</f>
        <v/>
      </c>
      <c r="AH1312" s="7">
        <f>IF($C1312="","",AG1312-R1312)</f>
        <v/>
      </c>
      <c r="AI1312">
        <f>IF($C1312="","",IF(COUNTIF($C$2:$C1312,$C1312)=1,1,0))</f>
        <v/>
      </c>
      <c r="AJ1312">
        <f>IF($AI1312=1,SUMPRODUCT(--($AL$2:$AL$1501&lt;$AL1312))+1,"")</f>
        <v/>
      </c>
      <c r="AK1312">
        <f>IF($C1312="","",IF(OR($AD1312=TRUE(),$AD1312="TRUE"),0,1))</f>
        <v/>
      </c>
      <c r="AL1312">
        <f>IF($AI1312=1,IFERROR(IF(VALUE($C1312)&lt;100000000,VALUE($C1312),1000000000),IFERROR(IF(VALUE(MID($C1312,2,20))&lt;100000000,VALUE(MID($C1312,2,20)),1000000000),1000000000))+ROW()/100000,"")</f>
        <v/>
      </c>
    </row>
    <row r="1313">
      <c r="J1313" s="7" t="n"/>
      <c r="K1313" s="7" t="n"/>
      <c r="R1313" s="7">
        <f>IF($C1313="","",Q1313*AC1313/100)</f>
        <v/>
      </c>
      <c r="S1313" s="11" t="n"/>
      <c r="U1313" s="11" t="n"/>
      <c r="AA1313" s="7" t="n"/>
      <c r="AC1313" s="7" t="n"/>
      <c r="AE1313">
        <f>IF($C1313="","",IF($AK1313=1,Settings!$C$6,Settings!$C$7)*1)</f>
        <v/>
      </c>
      <c r="AF1313" s="7">
        <f>IF($C1313="","",AE1313*AC1313)</f>
        <v/>
      </c>
      <c r="AG1313" s="7">
        <f>IF($C1313="","",AC1313-AF1313)</f>
        <v/>
      </c>
      <c r="AH1313" s="7">
        <f>IF($C1313="","",AG1313-R1313)</f>
        <v/>
      </c>
      <c r="AI1313">
        <f>IF($C1313="","",IF(COUNTIF($C$2:$C1313,$C1313)=1,1,0))</f>
        <v/>
      </c>
      <c r="AJ1313">
        <f>IF($AI1313=1,SUMPRODUCT(--($AL$2:$AL$1501&lt;$AL1313))+1,"")</f>
        <v/>
      </c>
      <c r="AK1313">
        <f>IF($C1313="","",IF(OR($AD1313=TRUE(),$AD1313="TRUE"),0,1))</f>
        <v/>
      </c>
      <c r="AL1313">
        <f>IF($AI1313=1,IFERROR(IF(VALUE($C1313)&lt;100000000,VALUE($C1313),1000000000),IFERROR(IF(VALUE(MID($C1313,2,20))&lt;100000000,VALUE(MID($C1313,2,20)),1000000000),1000000000))+ROW()/100000,"")</f>
        <v/>
      </c>
    </row>
    <row r="1314">
      <c r="J1314" s="7" t="n"/>
      <c r="K1314" s="7" t="n"/>
      <c r="R1314" s="7">
        <f>IF($C1314="","",Q1314*AC1314/100)</f>
        <v/>
      </c>
      <c r="S1314" s="11" t="n"/>
      <c r="U1314" s="11" t="n"/>
      <c r="AA1314" s="7" t="n"/>
      <c r="AC1314" s="7" t="n"/>
      <c r="AE1314">
        <f>IF($C1314="","",IF($AK1314=1,Settings!$C$6,Settings!$C$7)*1)</f>
        <v/>
      </c>
      <c r="AF1314" s="7">
        <f>IF($C1314="","",AE1314*AC1314)</f>
        <v/>
      </c>
      <c r="AG1314" s="7">
        <f>IF($C1314="","",AC1314-AF1314)</f>
        <v/>
      </c>
      <c r="AH1314" s="7">
        <f>IF($C1314="","",AG1314-R1314)</f>
        <v/>
      </c>
      <c r="AI1314">
        <f>IF($C1314="","",IF(COUNTIF($C$2:$C1314,$C1314)=1,1,0))</f>
        <v/>
      </c>
      <c r="AJ1314">
        <f>IF($AI1314=1,SUMPRODUCT(--($AL$2:$AL$1501&lt;$AL1314))+1,"")</f>
        <v/>
      </c>
      <c r="AK1314">
        <f>IF($C1314="","",IF(OR($AD1314=TRUE(),$AD1314="TRUE"),0,1))</f>
        <v/>
      </c>
      <c r="AL1314">
        <f>IF($AI1314=1,IFERROR(IF(VALUE($C1314)&lt;100000000,VALUE($C1314),1000000000),IFERROR(IF(VALUE(MID($C1314,2,20))&lt;100000000,VALUE(MID($C1314,2,20)),1000000000),1000000000))+ROW()/100000,"")</f>
        <v/>
      </c>
    </row>
    <row r="1315">
      <c r="J1315" s="7" t="n"/>
      <c r="K1315" s="7" t="n"/>
      <c r="R1315" s="7">
        <f>IF($C1315="","",Q1315*AC1315/100)</f>
        <v/>
      </c>
      <c r="S1315" s="11" t="n"/>
      <c r="U1315" s="11" t="n"/>
      <c r="AA1315" s="7" t="n"/>
      <c r="AC1315" s="7" t="n"/>
      <c r="AE1315">
        <f>IF($C1315="","",IF($AK1315=1,Settings!$C$6,Settings!$C$7)*1)</f>
        <v/>
      </c>
      <c r="AF1315" s="7">
        <f>IF($C1315="","",AE1315*AC1315)</f>
        <v/>
      </c>
      <c r="AG1315" s="7">
        <f>IF($C1315="","",AC1315-AF1315)</f>
        <v/>
      </c>
      <c r="AH1315" s="7">
        <f>IF($C1315="","",AG1315-R1315)</f>
        <v/>
      </c>
      <c r="AI1315">
        <f>IF($C1315="","",IF(COUNTIF($C$2:$C1315,$C1315)=1,1,0))</f>
        <v/>
      </c>
      <c r="AJ1315">
        <f>IF($AI1315=1,SUMPRODUCT(--($AL$2:$AL$1501&lt;$AL1315))+1,"")</f>
        <v/>
      </c>
      <c r="AK1315">
        <f>IF($C1315="","",IF(OR($AD1315=TRUE(),$AD1315="TRUE"),0,1))</f>
        <v/>
      </c>
      <c r="AL1315">
        <f>IF($AI1315=1,IFERROR(IF(VALUE($C1315)&lt;100000000,VALUE($C1315),1000000000),IFERROR(IF(VALUE(MID($C1315,2,20))&lt;100000000,VALUE(MID($C1315,2,20)),1000000000),1000000000))+ROW()/100000,"")</f>
        <v/>
      </c>
    </row>
    <row r="1316">
      <c r="J1316" s="7" t="n"/>
      <c r="K1316" s="7" t="n"/>
      <c r="R1316" s="7">
        <f>IF($C1316="","",Q1316*AC1316/100)</f>
        <v/>
      </c>
      <c r="S1316" s="11" t="n"/>
      <c r="U1316" s="11" t="n"/>
      <c r="AA1316" s="7" t="n"/>
      <c r="AC1316" s="7" t="n"/>
      <c r="AE1316">
        <f>IF($C1316="","",IF($AK1316=1,Settings!$C$6,Settings!$C$7)*1)</f>
        <v/>
      </c>
      <c r="AF1316" s="7">
        <f>IF($C1316="","",AE1316*AC1316)</f>
        <v/>
      </c>
      <c r="AG1316" s="7">
        <f>IF($C1316="","",AC1316-AF1316)</f>
        <v/>
      </c>
      <c r="AH1316" s="7">
        <f>IF($C1316="","",AG1316-R1316)</f>
        <v/>
      </c>
      <c r="AI1316">
        <f>IF($C1316="","",IF(COUNTIF($C$2:$C1316,$C1316)=1,1,0))</f>
        <v/>
      </c>
      <c r="AJ1316">
        <f>IF($AI1316=1,SUMPRODUCT(--($AL$2:$AL$1501&lt;$AL1316))+1,"")</f>
        <v/>
      </c>
      <c r="AK1316">
        <f>IF($C1316="","",IF(OR($AD1316=TRUE(),$AD1316="TRUE"),0,1))</f>
        <v/>
      </c>
      <c r="AL1316">
        <f>IF($AI1316=1,IFERROR(IF(VALUE($C1316)&lt;100000000,VALUE($C1316),1000000000),IFERROR(IF(VALUE(MID($C1316,2,20))&lt;100000000,VALUE(MID($C1316,2,20)),1000000000),1000000000))+ROW()/100000,"")</f>
        <v/>
      </c>
    </row>
    <row r="1317">
      <c r="J1317" s="7" t="n"/>
      <c r="K1317" s="7" t="n"/>
      <c r="R1317" s="7">
        <f>IF($C1317="","",Q1317*AC1317/100)</f>
        <v/>
      </c>
      <c r="S1317" s="11" t="n"/>
      <c r="U1317" s="11" t="n"/>
      <c r="AA1317" s="7" t="n"/>
      <c r="AC1317" s="7" t="n"/>
      <c r="AE1317">
        <f>IF($C1317="","",IF($AK1317=1,Settings!$C$6,Settings!$C$7)*1)</f>
        <v/>
      </c>
      <c r="AF1317" s="7">
        <f>IF($C1317="","",AE1317*AC1317)</f>
        <v/>
      </c>
      <c r="AG1317" s="7">
        <f>IF($C1317="","",AC1317-AF1317)</f>
        <v/>
      </c>
      <c r="AH1317" s="7">
        <f>IF($C1317="","",AG1317-R1317)</f>
        <v/>
      </c>
      <c r="AI1317">
        <f>IF($C1317="","",IF(COUNTIF($C$2:$C1317,$C1317)=1,1,0))</f>
        <v/>
      </c>
      <c r="AJ1317">
        <f>IF($AI1317=1,SUMPRODUCT(--($AL$2:$AL$1501&lt;$AL1317))+1,"")</f>
        <v/>
      </c>
      <c r="AK1317">
        <f>IF($C1317="","",IF(OR($AD1317=TRUE(),$AD1317="TRUE"),0,1))</f>
        <v/>
      </c>
      <c r="AL1317">
        <f>IF($AI1317=1,IFERROR(IF(VALUE($C1317)&lt;100000000,VALUE($C1317),1000000000),IFERROR(IF(VALUE(MID($C1317,2,20))&lt;100000000,VALUE(MID($C1317,2,20)),1000000000),1000000000))+ROW()/100000,"")</f>
        <v/>
      </c>
    </row>
    <row r="1318">
      <c r="J1318" s="7" t="n"/>
      <c r="K1318" s="7" t="n"/>
      <c r="R1318" s="7">
        <f>IF($C1318="","",Q1318*AC1318/100)</f>
        <v/>
      </c>
      <c r="S1318" s="11" t="n"/>
      <c r="U1318" s="11" t="n"/>
      <c r="AA1318" s="7" t="n"/>
      <c r="AC1318" s="7" t="n"/>
      <c r="AE1318">
        <f>IF($C1318="","",IF($AK1318=1,Settings!$C$6,Settings!$C$7)*1)</f>
        <v/>
      </c>
      <c r="AF1318" s="7">
        <f>IF($C1318="","",AE1318*AC1318)</f>
        <v/>
      </c>
      <c r="AG1318" s="7">
        <f>IF($C1318="","",AC1318-AF1318)</f>
        <v/>
      </c>
      <c r="AH1318" s="7">
        <f>IF($C1318="","",AG1318-R1318)</f>
        <v/>
      </c>
      <c r="AI1318">
        <f>IF($C1318="","",IF(COUNTIF($C$2:$C1318,$C1318)=1,1,0))</f>
        <v/>
      </c>
      <c r="AJ1318">
        <f>IF($AI1318=1,SUMPRODUCT(--($AL$2:$AL$1501&lt;$AL1318))+1,"")</f>
        <v/>
      </c>
      <c r="AK1318">
        <f>IF($C1318="","",IF(OR($AD1318=TRUE(),$AD1318="TRUE"),0,1))</f>
        <v/>
      </c>
      <c r="AL1318">
        <f>IF($AI1318=1,IFERROR(IF(VALUE($C1318)&lt;100000000,VALUE($C1318),1000000000),IFERROR(IF(VALUE(MID($C1318,2,20))&lt;100000000,VALUE(MID($C1318,2,20)),1000000000),1000000000))+ROW()/100000,"")</f>
        <v/>
      </c>
    </row>
    <row r="1319">
      <c r="J1319" s="7" t="n"/>
      <c r="K1319" s="7" t="n"/>
      <c r="R1319" s="7">
        <f>IF($C1319="","",Q1319*AC1319/100)</f>
        <v/>
      </c>
      <c r="S1319" s="11" t="n"/>
      <c r="U1319" s="11" t="n"/>
      <c r="AA1319" s="7" t="n"/>
      <c r="AC1319" s="7" t="n"/>
      <c r="AE1319">
        <f>IF($C1319="","",IF($AK1319=1,Settings!$C$6,Settings!$C$7)*1)</f>
        <v/>
      </c>
      <c r="AF1319" s="7">
        <f>IF($C1319="","",AE1319*AC1319)</f>
        <v/>
      </c>
      <c r="AG1319" s="7">
        <f>IF($C1319="","",AC1319-AF1319)</f>
        <v/>
      </c>
      <c r="AH1319" s="7">
        <f>IF($C1319="","",AG1319-R1319)</f>
        <v/>
      </c>
      <c r="AI1319">
        <f>IF($C1319="","",IF(COUNTIF($C$2:$C1319,$C1319)=1,1,0))</f>
        <v/>
      </c>
      <c r="AJ1319">
        <f>IF($AI1319=1,SUMPRODUCT(--($AL$2:$AL$1501&lt;$AL1319))+1,"")</f>
        <v/>
      </c>
      <c r="AK1319">
        <f>IF($C1319="","",IF(OR($AD1319=TRUE(),$AD1319="TRUE"),0,1))</f>
        <v/>
      </c>
      <c r="AL1319">
        <f>IF($AI1319=1,IFERROR(IF(VALUE($C1319)&lt;100000000,VALUE($C1319),1000000000),IFERROR(IF(VALUE(MID($C1319,2,20))&lt;100000000,VALUE(MID($C1319,2,20)),1000000000),1000000000))+ROW()/100000,"")</f>
        <v/>
      </c>
    </row>
    <row r="1320">
      <c r="J1320" s="7" t="n"/>
      <c r="K1320" s="7" t="n"/>
      <c r="R1320" s="7">
        <f>IF($C1320="","",Q1320*AC1320/100)</f>
        <v/>
      </c>
      <c r="S1320" s="11" t="n"/>
      <c r="U1320" s="11" t="n"/>
      <c r="AA1320" s="7" t="n"/>
      <c r="AC1320" s="7" t="n"/>
      <c r="AE1320">
        <f>IF($C1320="","",IF($AK1320=1,Settings!$C$6,Settings!$C$7)*1)</f>
        <v/>
      </c>
      <c r="AF1320" s="7">
        <f>IF($C1320="","",AE1320*AC1320)</f>
        <v/>
      </c>
      <c r="AG1320" s="7">
        <f>IF($C1320="","",AC1320-AF1320)</f>
        <v/>
      </c>
      <c r="AH1320" s="7">
        <f>IF($C1320="","",AG1320-R1320)</f>
        <v/>
      </c>
      <c r="AI1320">
        <f>IF($C1320="","",IF(COUNTIF($C$2:$C1320,$C1320)=1,1,0))</f>
        <v/>
      </c>
      <c r="AJ1320">
        <f>IF($AI1320=1,SUMPRODUCT(--($AL$2:$AL$1501&lt;$AL1320))+1,"")</f>
        <v/>
      </c>
      <c r="AK1320">
        <f>IF($C1320="","",IF(OR($AD1320=TRUE(),$AD1320="TRUE"),0,1))</f>
        <v/>
      </c>
      <c r="AL1320">
        <f>IF($AI1320=1,IFERROR(IF(VALUE($C1320)&lt;100000000,VALUE($C1320),1000000000),IFERROR(IF(VALUE(MID($C1320,2,20))&lt;100000000,VALUE(MID($C1320,2,20)),1000000000),1000000000))+ROW()/100000,"")</f>
        <v/>
      </c>
    </row>
    <row r="1321">
      <c r="J1321" s="7" t="n"/>
      <c r="K1321" s="7" t="n"/>
      <c r="R1321" s="7">
        <f>IF($C1321="","",Q1321*AC1321/100)</f>
        <v/>
      </c>
      <c r="S1321" s="11" t="n"/>
      <c r="U1321" s="11" t="n"/>
      <c r="AA1321" s="7" t="n"/>
      <c r="AC1321" s="7" t="n"/>
      <c r="AE1321">
        <f>IF($C1321="","",IF($AK1321=1,Settings!$C$6,Settings!$C$7)*1)</f>
        <v/>
      </c>
      <c r="AF1321" s="7">
        <f>IF($C1321="","",AE1321*AC1321)</f>
        <v/>
      </c>
      <c r="AG1321" s="7">
        <f>IF($C1321="","",AC1321-AF1321)</f>
        <v/>
      </c>
      <c r="AH1321" s="7">
        <f>IF($C1321="","",AG1321-R1321)</f>
        <v/>
      </c>
      <c r="AI1321">
        <f>IF($C1321="","",IF(COUNTIF($C$2:$C1321,$C1321)=1,1,0))</f>
        <v/>
      </c>
      <c r="AJ1321">
        <f>IF($AI1321=1,SUMPRODUCT(--($AL$2:$AL$1501&lt;$AL1321))+1,"")</f>
        <v/>
      </c>
      <c r="AK1321">
        <f>IF($C1321="","",IF(OR($AD1321=TRUE(),$AD1321="TRUE"),0,1))</f>
        <v/>
      </c>
      <c r="AL1321">
        <f>IF($AI1321=1,IFERROR(IF(VALUE($C1321)&lt;100000000,VALUE($C1321),1000000000),IFERROR(IF(VALUE(MID($C1321,2,20))&lt;100000000,VALUE(MID($C1321,2,20)),1000000000),1000000000))+ROW()/100000,"")</f>
        <v/>
      </c>
    </row>
    <row r="1322">
      <c r="J1322" s="7" t="n"/>
      <c r="K1322" s="7" t="n"/>
      <c r="R1322" s="7">
        <f>IF($C1322="","",Q1322*AC1322/100)</f>
        <v/>
      </c>
      <c r="S1322" s="11" t="n"/>
      <c r="U1322" s="11" t="n"/>
      <c r="AA1322" s="7" t="n"/>
      <c r="AC1322" s="7" t="n"/>
      <c r="AE1322">
        <f>IF($C1322="","",IF($AK1322=1,Settings!$C$6,Settings!$C$7)*1)</f>
        <v/>
      </c>
      <c r="AF1322" s="7">
        <f>IF($C1322="","",AE1322*AC1322)</f>
        <v/>
      </c>
      <c r="AG1322" s="7">
        <f>IF($C1322="","",AC1322-AF1322)</f>
        <v/>
      </c>
      <c r="AH1322" s="7">
        <f>IF($C1322="","",AG1322-R1322)</f>
        <v/>
      </c>
      <c r="AI1322">
        <f>IF($C1322="","",IF(COUNTIF($C$2:$C1322,$C1322)=1,1,0))</f>
        <v/>
      </c>
      <c r="AJ1322">
        <f>IF($AI1322=1,SUMPRODUCT(--($AL$2:$AL$1501&lt;$AL1322))+1,"")</f>
        <v/>
      </c>
      <c r="AK1322">
        <f>IF($C1322="","",IF(OR($AD1322=TRUE(),$AD1322="TRUE"),0,1))</f>
        <v/>
      </c>
      <c r="AL1322">
        <f>IF($AI1322=1,IFERROR(IF(VALUE($C1322)&lt;100000000,VALUE($C1322),1000000000),IFERROR(IF(VALUE(MID($C1322,2,20))&lt;100000000,VALUE(MID($C1322,2,20)),1000000000),1000000000))+ROW()/100000,"")</f>
        <v/>
      </c>
    </row>
    <row r="1323">
      <c r="J1323" s="7" t="n"/>
      <c r="K1323" s="7" t="n"/>
      <c r="R1323" s="7">
        <f>IF($C1323="","",Q1323*AC1323/100)</f>
        <v/>
      </c>
      <c r="S1323" s="11" t="n"/>
      <c r="U1323" s="11" t="n"/>
      <c r="AA1323" s="7" t="n"/>
      <c r="AC1323" s="7" t="n"/>
      <c r="AE1323">
        <f>IF($C1323="","",IF($AK1323=1,Settings!$C$6,Settings!$C$7)*1)</f>
        <v/>
      </c>
      <c r="AF1323" s="7">
        <f>IF($C1323="","",AE1323*AC1323)</f>
        <v/>
      </c>
      <c r="AG1323" s="7">
        <f>IF($C1323="","",AC1323-AF1323)</f>
        <v/>
      </c>
      <c r="AH1323" s="7">
        <f>IF($C1323="","",AG1323-R1323)</f>
        <v/>
      </c>
      <c r="AI1323">
        <f>IF($C1323="","",IF(COUNTIF($C$2:$C1323,$C1323)=1,1,0))</f>
        <v/>
      </c>
      <c r="AJ1323">
        <f>IF($AI1323=1,SUMPRODUCT(--($AL$2:$AL$1501&lt;$AL1323))+1,"")</f>
        <v/>
      </c>
      <c r="AK1323">
        <f>IF($C1323="","",IF(OR($AD1323=TRUE(),$AD1323="TRUE"),0,1))</f>
        <v/>
      </c>
      <c r="AL1323">
        <f>IF($AI1323=1,IFERROR(IF(VALUE($C1323)&lt;100000000,VALUE($C1323),1000000000),IFERROR(IF(VALUE(MID($C1323,2,20))&lt;100000000,VALUE(MID($C1323,2,20)),1000000000),1000000000))+ROW()/100000,"")</f>
        <v/>
      </c>
    </row>
    <row r="1324">
      <c r="J1324" s="7" t="n"/>
      <c r="K1324" s="7" t="n"/>
      <c r="R1324" s="7">
        <f>IF($C1324="","",Q1324*AC1324/100)</f>
        <v/>
      </c>
      <c r="S1324" s="11" t="n"/>
      <c r="U1324" s="11" t="n"/>
      <c r="AA1324" s="7" t="n"/>
      <c r="AC1324" s="7" t="n"/>
      <c r="AE1324">
        <f>IF($C1324="","",IF($AK1324=1,Settings!$C$6,Settings!$C$7)*1)</f>
        <v/>
      </c>
      <c r="AF1324" s="7">
        <f>IF($C1324="","",AE1324*AC1324)</f>
        <v/>
      </c>
      <c r="AG1324" s="7">
        <f>IF($C1324="","",AC1324-AF1324)</f>
        <v/>
      </c>
      <c r="AH1324" s="7">
        <f>IF($C1324="","",AG1324-R1324)</f>
        <v/>
      </c>
      <c r="AI1324">
        <f>IF($C1324="","",IF(COUNTIF($C$2:$C1324,$C1324)=1,1,0))</f>
        <v/>
      </c>
      <c r="AJ1324">
        <f>IF($AI1324=1,SUMPRODUCT(--($AL$2:$AL$1501&lt;$AL1324))+1,"")</f>
        <v/>
      </c>
      <c r="AK1324">
        <f>IF($C1324="","",IF(OR($AD1324=TRUE(),$AD1324="TRUE"),0,1))</f>
        <v/>
      </c>
      <c r="AL1324">
        <f>IF($AI1324=1,IFERROR(IF(VALUE($C1324)&lt;100000000,VALUE($C1324),1000000000),IFERROR(IF(VALUE(MID($C1324,2,20))&lt;100000000,VALUE(MID($C1324,2,20)),1000000000),1000000000))+ROW()/100000,"")</f>
        <v/>
      </c>
    </row>
    <row r="1325">
      <c r="J1325" s="7" t="n"/>
      <c r="K1325" s="7" t="n"/>
      <c r="R1325" s="7">
        <f>IF($C1325="","",Q1325*AC1325/100)</f>
        <v/>
      </c>
      <c r="S1325" s="11" t="n"/>
      <c r="U1325" s="11" t="n"/>
      <c r="AA1325" s="7" t="n"/>
      <c r="AC1325" s="7" t="n"/>
      <c r="AE1325">
        <f>IF($C1325="","",IF($AK1325=1,Settings!$C$6,Settings!$C$7)*1)</f>
        <v/>
      </c>
      <c r="AF1325" s="7">
        <f>IF($C1325="","",AE1325*AC1325)</f>
        <v/>
      </c>
      <c r="AG1325" s="7">
        <f>IF($C1325="","",AC1325-AF1325)</f>
        <v/>
      </c>
      <c r="AH1325" s="7">
        <f>IF($C1325="","",AG1325-R1325)</f>
        <v/>
      </c>
      <c r="AI1325">
        <f>IF($C1325="","",IF(COUNTIF($C$2:$C1325,$C1325)=1,1,0))</f>
        <v/>
      </c>
      <c r="AJ1325">
        <f>IF($AI1325=1,SUMPRODUCT(--($AL$2:$AL$1501&lt;$AL1325))+1,"")</f>
        <v/>
      </c>
      <c r="AK1325">
        <f>IF($C1325="","",IF(OR($AD1325=TRUE(),$AD1325="TRUE"),0,1))</f>
        <v/>
      </c>
      <c r="AL1325">
        <f>IF($AI1325=1,IFERROR(IF(VALUE($C1325)&lt;100000000,VALUE($C1325),1000000000),IFERROR(IF(VALUE(MID($C1325,2,20))&lt;100000000,VALUE(MID($C1325,2,20)),1000000000),1000000000))+ROW()/100000,"")</f>
        <v/>
      </c>
    </row>
    <row r="1326">
      <c r="J1326" s="7" t="n"/>
      <c r="K1326" s="7" t="n"/>
      <c r="R1326" s="7">
        <f>IF($C1326="","",Q1326*AC1326/100)</f>
        <v/>
      </c>
      <c r="S1326" s="11" t="n"/>
      <c r="U1326" s="11" t="n"/>
      <c r="AA1326" s="7" t="n"/>
      <c r="AC1326" s="7" t="n"/>
      <c r="AE1326">
        <f>IF($C1326="","",IF($AK1326=1,Settings!$C$6,Settings!$C$7)*1)</f>
        <v/>
      </c>
      <c r="AF1326" s="7">
        <f>IF($C1326="","",AE1326*AC1326)</f>
        <v/>
      </c>
      <c r="AG1326" s="7">
        <f>IF($C1326="","",AC1326-AF1326)</f>
        <v/>
      </c>
      <c r="AH1326" s="7">
        <f>IF($C1326="","",AG1326-R1326)</f>
        <v/>
      </c>
      <c r="AI1326">
        <f>IF($C1326="","",IF(COUNTIF($C$2:$C1326,$C1326)=1,1,0))</f>
        <v/>
      </c>
      <c r="AJ1326">
        <f>IF($AI1326=1,SUMPRODUCT(--($AL$2:$AL$1501&lt;$AL1326))+1,"")</f>
        <v/>
      </c>
      <c r="AK1326">
        <f>IF($C1326="","",IF(OR($AD1326=TRUE(),$AD1326="TRUE"),0,1))</f>
        <v/>
      </c>
      <c r="AL1326">
        <f>IF($AI1326=1,IFERROR(IF(VALUE($C1326)&lt;100000000,VALUE($C1326),1000000000),IFERROR(IF(VALUE(MID($C1326,2,20))&lt;100000000,VALUE(MID($C1326,2,20)),1000000000),1000000000))+ROW()/100000,"")</f>
        <v/>
      </c>
    </row>
    <row r="1327">
      <c r="J1327" s="7" t="n"/>
      <c r="K1327" s="7" t="n"/>
      <c r="R1327" s="7">
        <f>IF($C1327="","",Q1327*AC1327/100)</f>
        <v/>
      </c>
      <c r="S1327" s="11" t="n"/>
      <c r="U1327" s="11" t="n"/>
      <c r="AA1327" s="7" t="n"/>
      <c r="AC1327" s="7" t="n"/>
      <c r="AE1327">
        <f>IF($C1327="","",IF($AK1327=1,Settings!$C$6,Settings!$C$7)*1)</f>
        <v/>
      </c>
      <c r="AF1327" s="7">
        <f>IF($C1327="","",AE1327*AC1327)</f>
        <v/>
      </c>
      <c r="AG1327" s="7">
        <f>IF($C1327="","",AC1327-AF1327)</f>
        <v/>
      </c>
      <c r="AH1327" s="7">
        <f>IF($C1327="","",AG1327-R1327)</f>
        <v/>
      </c>
      <c r="AI1327">
        <f>IF($C1327="","",IF(COUNTIF($C$2:$C1327,$C1327)=1,1,0))</f>
        <v/>
      </c>
      <c r="AJ1327">
        <f>IF($AI1327=1,SUMPRODUCT(--($AL$2:$AL$1501&lt;$AL1327))+1,"")</f>
        <v/>
      </c>
      <c r="AK1327">
        <f>IF($C1327="","",IF(OR($AD1327=TRUE(),$AD1327="TRUE"),0,1))</f>
        <v/>
      </c>
      <c r="AL1327">
        <f>IF($AI1327=1,IFERROR(IF(VALUE($C1327)&lt;100000000,VALUE($C1327),1000000000),IFERROR(IF(VALUE(MID($C1327,2,20))&lt;100000000,VALUE(MID($C1327,2,20)),1000000000),1000000000))+ROW()/100000,"")</f>
        <v/>
      </c>
    </row>
    <row r="1328">
      <c r="J1328" s="7" t="n"/>
      <c r="K1328" s="7" t="n"/>
      <c r="R1328" s="7">
        <f>IF($C1328="","",Q1328*AC1328/100)</f>
        <v/>
      </c>
      <c r="S1328" s="11" t="n"/>
      <c r="U1328" s="11" t="n"/>
      <c r="AA1328" s="7" t="n"/>
      <c r="AC1328" s="7" t="n"/>
      <c r="AE1328">
        <f>IF($C1328="","",IF($AK1328=1,Settings!$C$6,Settings!$C$7)*1)</f>
        <v/>
      </c>
      <c r="AF1328" s="7">
        <f>IF($C1328="","",AE1328*AC1328)</f>
        <v/>
      </c>
      <c r="AG1328" s="7">
        <f>IF($C1328="","",AC1328-AF1328)</f>
        <v/>
      </c>
      <c r="AH1328" s="7">
        <f>IF($C1328="","",AG1328-R1328)</f>
        <v/>
      </c>
      <c r="AI1328">
        <f>IF($C1328="","",IF(COUNTIF($C$2:$C1328,$C1328)=1,1,0))</f>
        <v/>
      </c>
      <c r="AJ1328">
        <f>IF($AI1328=1,SUMPRODUCT(--($AL$2:$AL$1501&lt;$AL1328))+1,"")</f>
        <v/>
      </c>
      <c r="AK1328">
        <f>IF($C1328="","",IF(OR($AD1328=TRUE(),$AD1328="TRUE"),0,1))</f>
        <v/>
      </c>
      <c r="AL1328">
        <f>IF($AI1328=1,IFERROR(IF(VALUE($C1328)&lt;100000000,VALUE($C1328),1000000000),IFERROR(IF(VALUE(MID($C1328,2,20))&lt;100000000,VALUE(MID($C1328,2,20)),1000000000),1000000000))+ROW()/100000,"")</f>
        <v/>
      </c>
    </row>
    <row r="1329">
      <c r="J1329" s="7" t="n"/>
      <c r="K1329" s="7" t="n"/>
      <c r="R1329" s="7">
        <f>IF($C1329="","",Q1329*AC1329/100)</f>
        <v/>
      </c>
      <c r="S1329" s="11" t="n"/>
      <c r="U1329" s="11" t="n"/>
      <c r="AA1329" s="7" t="n"/>
      <c r="AC1329" s="7" t="n"/>
      <c r="AE1329">
        <f>IF($C1329="","",IF($AK1329=1,Settings!$C$6,Settings!$C$7)*1)</f>
        <v/>
      </c>
      <c r="AF1329" s="7">
        <f>IF($C1329="","",AE1329*AC1329)</f>
        <v/>
      </c>
      <c r="AG1329" s="7">
        <f>IF($C1329="","",AC1329-AF1329)</f>
        <v/>
      </c>
      <c r="AH1329" s="7">
        <f>IF($C1329="","",AG1329-R1329)</f>
        <v/>
      </c>
      <c r="AI1329">
        <f>IF($C1329="","",IF(COUNTIF($C$2:$C1329,$C1329)=1,1,0))</f>
        <v/>
      </c>
      <c r="AJ1329">
        <f>IF($AI1329=1,SUMPRODUCT(--($AL$2:$AL$1501&lt;$AL1329))+1,"")</f>
        <v/>
      </c>
      <c r="AK1329">
        <f>IF($C1329="","",IF(OR($AD1329=TRUE(),$AD1329="TRUE"),0,1))</f>
        <v/>
      </c>
      <c r="AL1329">
        <f>IF($AI1329=1,IFERROR(IF(VALUE($C1329)&lt;100000000,VALUE($C1329),1000000000),IFERROR(IF(VALUE(MID($C1329,2,20))&lt;100000000,VALUE(MID($C1329,2,20)),1000000000),1000000000))+ROW()/100000,"")</f>
        <v/>
      </c>
    </row>
    <row r="1330">
      <c r="J1330" s="7" t="n"/>
      <c r="K1330" s="7" t="n"/>
      <c r="R1330" s="7">
        <f>IF($C1330="","",Q1330*AC1330/100)</f>
        <v/>
      </c>
      <c r="S1330" s="11" t="n"/>
      <c r="U1330" s="11" t="n"/>
      <c r="AA1330" s="7" t="n"/>
      <c r="AC1330" s="7" t="n"/>
      <c r="AE1330">
        <f>IF($C1330="","",IF($AK1330=1,Settings!$C$6,Settings!$C$7)*1)</f>
        <v/>
      </c>
      <c r="AF1330" s="7">
        <f>IF($C1330="","",AE1330*AC1330)</f>
        <v/>
      </c>
      <c r="AG1330" s="7">
        <f>IF($C1330="","",AC1330-AF1330)</f>
        <v/>
      </c>
      <c r="AH1330" s="7">
        <f>IF($C1330="","",AG1330-R1330)</f>
        <v/>
      </c>
      <c r="AI1330">
        <f>IF($C1330="","",IF(COUNTIF($C$2:$C1330,$C1330)=1,1,0))</f>
        <v/>
      </c>
      <c r="AJ1330">
        <f>IF($AI1330=1,SUMPRODUCT(--($AL$2:$AL$1501&lt;$AL1330))+1,"")</f>
        <v/>
      </c>
      <c r="AK1330">
        <f>IF($C1330="","",IF(OR($AD1330=TRUE(),$AD1330="TRUE"),0,1))</f>
        <v/>
      </c>
      <c r="AL1330">
        <f>IF($AI1330=1,IFERROR(IF(VALUE($C1330)&lt;100000000,VALUE($C1330),1000000000),IFERROR(IF(VALUE(MID($C1330,2,20))&lt;100000000,VALUE(MID($C1330,2,20)),1000000000),1000000000))+ROW()/100000,"")</f>
        <v/>
      </c>
    </row>
    <row r="1331">
      <c r="J1331" s="7" t="n"/>
      <c r="K1331" s="7" t="n"/>
      <c r="R1331" s="7">
        <f>IF($C1331="","",Q1331*AC1331/100)</f>
        <v/>
      </c>
      <c r="S1331" s="11" t="n"/>
      <c r="U1331" s="11" t="n"/>
      <c r="AA1331" s="7" t="n"/>
      <c r="AC1331" s="7" t="n"/>
      <c r="AE1331">
        <f>IF($C1331="","",IF($AK1331=1,Settings!$C$6,Settings!$C$7)*1)</f>
        <v/>
      </c>
      <c r="AF1331" s="7">
        <f>IF($C1331="","",AE1331*AC1331)</f>
        <v/>
      </c>
      <c r="AG1331" s="7">
        <f>IF($C1331="","",AC1331-AF1331)</f>
        <v/>
      </c>
      <c r="AH1331" s="7">
        <f>IF($C1331="","",AG1331-R1331)</f>
        <v/>
      </c>
      <c r="AI1331">
        <f>IF($C1331="","",IF(COUNTIF($C$2:$C1331,$C1331)=1,1,0))</f>
        <v/>
      </c>
      <c r="AJ1331">
        <f>IF($AI1331=1,SUMPRODUCT(--($AL$2:$AL$1501&lt;$AL1331))+1,"")</f>
        <v/>
      </c>
      <c r="AK1331">
        <f>IF($C1331="","",IF(OR($AD1331=TRUE(),$AD1331="TRUE"),0,1))</f>
        <v/>
      </c>
      <c r="AL1331">
        <f>IF($AI1331=1,IFERROR(IF(VALUE($C1331)&lt;100000000,VALUE($C1331),1000000000),IFERROR(IF(VALUE(MID($C1331,2,20))&lt;100000000,VALUE(MID($C1331,2,20)),1000000000),1000000000))+ROW()/100000,"")</f>
        <v/>
      </c>
    </row>
    <row r="1332">
      <c r="J1332" s="7" t="n"/>
      <c r="K1332" s="7" t="n"/>
      <c r="R1332" s="7">
        <f>IF($C1332="","",Q1332*AC1332/100)</f>
        <v/>
      </c>
      <c r="S1332" s="11" t="n"/>
      <c r="U1332" s="11" t="n"/>
      <c r="AA1332" s="7" t="n"/>
      <c r="AC1332" s="7" t="n"/>
      <c r="AE1332">
        <f>IF($C1332="","",IF($AK1332=1,Settings!$C$6,Settings!$C$7)*1)</f>
        <v/>
      </c>
      <c r="AF1332" s="7">
        <f>IF($C1332="","",AE1332*AC1332)</f>
        <v/>
      </c>
      <c r="AG1332" s="7">
        <f>IF($C1332="","",AC1332-AF1332)</f>
        <v/>
      </c>
      <c r="AH1332" s="7">
        <f>IF($C1332="","",AG1332-R1332)</f>
        <v/>
      </c>
      <c r="AI1332">
        <f>IF($C1332="","",IF(COUNTIF($C$2:$C1332,$C1332)=1,1,0))</f>
        <v/>
      </c>
      <c r="AJ1332">
        <f>IF($AI1332=1,SUMPRODUCT(--($AL$2:$AL$1501&lt;$AL1332))+1,"")</f>
        <v/>
      </c>
      <c r="AK1332">
        <f>IF($C1332="","",IF(OR($AD1332=TRUE(),$AD1332="TRUE"),0,1))</f>
        <v/>
      </c>
      <c r="AL1332">
        <f>IF($AI1332=1,IFERROR(IF(VALUE($C1332)&lt;100000000,VALUE($C1332),1000000000),IFERROR(IF(VALUE(MID($C1332,2,20))&lt;100000000,VALUE(MID($C1332,2,20)),1000000000),1000000000))+ROW()/100000,"")</f>
        <v/>
      </c>
    </row>
    <row r="1333">
      <c r="J1333" s="7" t="n"/>
      <c r="K1333" s="7" t="n"/>
      <c r="R1333" s="7">
        <f>IF($C1333="","",Q1333*AC1333/100)</f>
        <v/>
      </c>
      <c r="S1333" s="11" t="n"/>
      <c r="U1333" s="11" t="n"/>
      <c r="AA1333" s="7" t="n"/>
      <c r="AC1333" s="7" t="n"/>
      <c r="AE1333">
        <f>IF($C1333="","",IF($AK1333=1,Settings!$C$6,Settings!$C$7)*1)</f>
        <v/>
      </c>
      <c r="AF1333" s="7">
        <f>IF($C1333="","",AE1333*AC1333)</f>
        <v/>
      </c>
      <c r="AG1333" s="7">
        <f>IF($C1333="","",AC1333-AF1333)</f>
        <v/>
      </c>
      <c r="AH1333" s="7">
        <f>IF($C1333="","",AG1333-R1333)</f>
        <v/>
      </c>
      <c r="AI1333">
        <f>IF($C1333="","",IF(COUNTIF($C$2:$C1333,$C1333)=1,1,0))</f>
        <v/>
      </c>
      <c r="AJ1333">
        <f>IF($AI1333=1,SUMPRODUCT(--($AL$2:$AL$1501&lt;$AL1333))+1,"")</f>
        <v/>
      </c>
      <c r="AK1333">
        <f>IF($C1333="","",IF(OR($AD1333=TRUE(),$AD1333="TRUE"),0,1))</f>
        <v/>
      </c>
      <c r="AL1333">
        <f>IF($AI1333=1,IFERROR(IF(VALUE($C1333)&lt;100000000,VALUE($C1333),1000000000),IFERROR(IF(VALUE(MID($C1333,2,20))&lt;100000000,VALUE(MID($C1333,2,20)),1000000000),1000000000))+ROW()/100000,"")</f>
        <v/>
      </c>
    </row>
    <row r="1334">
      <c r="J1334" s="7" t="n"/>
      <c r="K1334" s="7" t="n"/>
      <c r="R1334" s="7">
        <f>IF($C1334="","",Q1334*AC1334/100)</f>
        <v/>
      </c>
      <c r="S1334" s="11" t="n"/>
      <c r="U1334" s="11" t="n"/>
      <c r="AA1334" s="7" t="n"/>
      <c r="AC1334" s="7" t="n"/>
      <c r="AE1334">
        <f>IF($C1334="","",IF($AK1334=1,Settings!$C$6,Settings!$C$7)*1)</f>
        <v/>
      </c>
      <c r="AF1334" s="7">
        <f>IF($C1334="","",AE1334*AC1334)</f>
        <v/>
      </c>
      <c r="AG1334" s="7">
        <f>IF($C1334="","",AC1334-AF1334)</f>
        <v/>
      </c>
      <c r="AH1334" s="7">
        <f>IF($C1334="","",AG1334-R1334)</f>
        <v/>
      </c>
      <c r="AI1334">
        <f>IF($C1334="","",IF(COUNTIF($C$2:$C1334,$C1334)=1,1,0))</f>
        <v/>
      </c>
      <c r="AJ1334">
        <f>IF($AI1334=1,SUMPRODUCT(--($AL$2:$AL$1501&lt;$AL1334))+1,"")</f>
        <v/>
      </c>
      <c r="AK1334">
        <f>IF($C1334="","",IF(OR($AD1334=TRUE(),$AD1334="TRUE"),0,1))</f>
        <v/>
      </c>
      <c r="AL1334">
        <f>IF($AI1334=1,IFERROR(IF(VALUE($C1334)&lt;100000000,VALUE($C1334),1000000000),IFERROR(IF(VALUE(MID($C1334,2,20))&lt;100000000,VALUE(MID($C1334,2,20)),1000000000),1000000000))+ROW()/100000,"")</f>
        <v/>
      </c>
    </row>
    <row r="1335">
      <c r="J1335" s="7" t="n"/>
      <c r="K1335" s="7" t="n"/>
      <c r="R1335" s="7">
        <f>IF($C1335="","",Q1335*AC1335/100)</f>
        <v/>
      </c>
      <c r="S1335" s="11" t="n"/>
      <c r="U1335" s="11" t="n"/>
      <c r="AA1335" s="7" t="n"/>
      <c r="AC1335" s="7" t="n"/>
      <c r="AE1335">
        <f>IF($C1335="","",IF($AK1335=1,Settings!$C$6,Settings!$C$7)*1)</f>
        <v/>
      </c>
      <c r="AF1335" s="7">
        <f>IF($C1335="","",AE1335*AC1335)</f>
        <v/>
      </c>
      <c r="AG1335" s="7">
        <f>IF($C1335="","",AC1335-AF1335)</f>
        <v/>
      </c>
      <c r="AH1335" s="7">
        <f>IF($C1335="","",AG1335-R1335)</f>
        <v/>
      </c>
      <c r="AI1335">
        <f>IF($C1335="","",IF(COUNTIF($C$2:$C1335,$C1335)=1,1,0))</f>
        <v/>
      </c>
      <c r="AJ1335">
        <f>IF($AI1335=1,SUMPRODUCT(--($AL$2:$AL$1501&lt;$AL1335))+1,"")</f>
        <v/>
      </c>
      <c r="AK1335">
        <f>IF($C1335="","",IF(OR($AD1335=TRUE(),$AD1335="TRUE"),0,1))</f>
        <v/>
      </c>
      <c r="AL1335">
        <f>IF($AI1335=1,IFERROR(IF(VALUE($C1335)&lt;100000000,VALUE($C1335),1000000000),IFERROR(IF(VALUE(MID($C1335,2,20))&lt;100000000,VALUE(MID($C1335,2,20)),1000000000),1000000000))+ROW()/100000,"")</f>
        <v/>
      </c>
    </row>
    <row r="1336">
      <c r="J1336" s="7" t="n"/>
      <c r="K1336" s="7" t="n"/>
      <c r="R1336" s="7">
        <f>IF($C1336="","",Q1336*AC1336/100)</f>
        <v/>
      </c>
      <c r="S1336" s="11" t="n"/>
      <c r="U1336" s="11" t="n"/>
      <c r="AA1336" s="7" t="n"/>
      <c r="AC1336" s="7" t="n"/>
      <c r="AE1336">
        <f>IF($C1336="","",IF($AK1336=1,Settings!$C$6,Settings!$C$7)*1)</f>
        <v/>
      </c>
      <c r="AF1336" s="7">
        <f>IF($C1336="","",AE1336*AC1336)</f>
        <v/>
      </c>
      <c r="AG1336" s="7">
        <f>IF($C1336="","",AC1336-AF1336)</f>
        <v/>
      </c>
      <c r="AH1336" s="7">
        <f>IF($C1336="","",AG1336-R1336)</f>
        <v/>
      </c>
      <c r="AI1336">
        <f>IF($C1336="","",IF(COUNTIF($C$2:$C1336,$C1336)=1,1,0))</f>
        <v/>
      </c>
      <c r="AJ1336">
        <f>IF($AI1336=1,SUMPRODUCT(--($AL$2:$AL$1501&lt;$AL1336))+1,"")</f>
        <v/>
      </c>
      <c r="AK1336">
        <f>IF($C1336="","",IF(OR($AD1336=TRUE(),$AD1336="TRUE"),0,1))</f>
        <v/>
      </c>
      <c r="AL1336">
        <f>IF($AI1336=1,IFERROR(IF(VALUE($C1336)&lt;100000000,VALUE($C1336),1000000000),IFERROR(IF(VALUE(MID($C1336,2,20))&lt;100000000,VALUE(MID($C1336,2,20)),1000000000),1000000000))+ROW()/100000,"")</f>
        <v/>
      </c>
    </row>
    <row r="1337">
      <c r="J1337" s="7" t="n"/>
      <c r="K1337" s="7" t="n"/>
      <c r="R1337" s="7">
        <f>IF($C1337="","",Q1337*AC1337/100)</f>
        <v/>
      </c>
      <c r="S1337" s="11" t="n"/>
      <c r="U1337" s="11" t="n"/>
      <c r="AA1337" s="7" t="n"/>
      <c r="AC1337" s="7" t="n"/>
      <c r="AE1337">
        <f>IF($C1337="","",IF($AK1337=1,Settings!$C$6,Settings!$C$7)*1)</f>
        <v/>
      </c>
      <c r="AF1337" s="7">
        <f>IF($C1337="","",AE1337*AC1337)</f>
        <v/>
      </c>
      <c r="AG1337" s="7">
        <f>IF($C1337="","",AC1337-AF1337)</f>
        <v/>
      </c>
      <c r="AH1337" s="7">
        <f>IF($C1337="","",AG1337-R1337)</f>
        <v/>
      </c>
      <c r="AI1337">
        <f>IF($C1337="","",IF(COUNTIF($C$2:$C1337,$C1337)=1,1,0))</f>
        <v/>
      </c>
      <c r="AJ1337">
        <f>IF($AI1337=1,SUMPRODUCT(--($AL$2:$AL$1501&lt;$AL1337))+1,"")</f>
        <v/>
      </c>
      <c r="AK1337">
        <f>IF($C1337="","",IF(OR($AD1337=TRUE(),$AD1337="TRUE"),0,1))</f>
        <v/>
      </c>
      <c r="AL1337">
        <f>IF($AI1337=1,IFERROR(IF(VALUE($C1337)&lt;100000000,VALUE($C1337),1000000000),IFERROR(IF(VALUE(MID($C1337,2,20))&lt;100000000,VALUE(MID($C1337,2,20)),1000000000),1000000000))+ROW()/100000,"")</f>
        <v/>
      </c>
    </row>
    <row r="1338">
      <c r="J1338" s="7" t="n"/>
      <c r="K1338" s="7" t="n"/>
      <c r="R1338" s="7">
        <f>IF($C1338="","",Q1338*AC1338/100)</f>
        <v/>
      </c>
      <c r="S1338" s="11" t="n"/>
      <c r="U1338" s="11" t="n"/>
      <c r="AA1338" s="7" t="n"/>
      <c r="AC1338" s="7" t="n"/>
      <c r="AE1338">
        <f>IF($C1338="","",IF($AK1338=1,Settings!$C$6,Settings!$C$7)*1)</f>
        <v/>
      </c>
      <c r="AF1338" s="7">
        <f>IF($C1338="","",AE1338*AC1338)</f>
        <v/>
      </c>
      <c r="AG1338" s="7">
        <f>IF($C1338="","",AC1338-AF1338)</f>
        <v/>
      </c>
      <c r="AH1338" s="7">
        <f>IF($C1338="","",AG1338-R1338)</f>
        <v/>
      </c>
      <c r="AI1338">
        <f>IF($C1338="","",IF(COUNTIF($C$2:$C1338,$C1338)=1,1,0))</f>
        <v/>
      </c>
      <c r="AJ1338">
        <f>IF($AI1338=1,SUMPRODUCT(--($AL$2:$AL$1501&lt;$AL1338))+1,"")</f>
        <v/>
      </c>
      <c r="AK1338">
        <f>IF($C1338="","",IF(OR($AD1338=TRUE(),$AD1338="TRUE"),0,1))</f>
        <v/>
      </c>
      <c r="AL1338">
        <f>IF($AI1338=1,IFERROR(IF(VALUE($C1338)&lt;100000000,VALUE($C1338),1000000000),IFERROR(IF(VALUE(MID($C1338,2,20))&lt;100000000,VALUE(MID($C1338,2,20)),1000000000),1000000000))+ROW()/100000,"")</f>
        <v/>
      </c>
    </row>
    <row r="1339">
      <c r="J1339" s="7" t="n"/>
      <c r="K1339" s="7" t="n"/>
      <c r="R1339" s="7">
        <f>IF($C1339="","",Q1339*AC1339/100)</f>
        <v/>
      </c>
      <c r="S1339" s="11" t="n"/>
      <c r="U1339" s="11" t="n"/>
      <c r="AA1339" s="7" t="n"/>
      <c r="AC1339" s="7" t="n"/>
      <c r="AE1339">
        <f>IF($C1339="","",IF($AK1339=1,Settings!$C$6,Settings!$C$7)*1)</f>
        <v/>
      </c>
      <c r="AF1339" s="7">
        <f>IF($C1339="","",AE1339*AC1339)</f>
        <v/>
      </c>
      <c r="AG1339" s="7">
        <f>IF($C1339="","",AC1339-AF1339)</f>
        <v/>
      </c>
      <c r="AH1339" s="7">
        <f>IF($C1339="","",AG1339-R1339)</f>
        <v/>
      </c>
      <c r="AI1339">
        <f>IF($C1339="","",IF(COUNTIF($C$2:$C1339,$C1339)=1,1,0))</f>
        <v/>
      </c>
      <c r="AJ1339">
        <f>IF($AI1339=1,SUMPRODUCT(--($AL$2:$AL$1501&lt;$AL1339))+1,"")</f>
        <v/>
      </c>
      <c r="AK1339">
        <f>IF($C1339="","",IF(OR($AD1339=TRUE(),$AD1339="TRUE"),0,1))</f>
        <v/>
      </c>
      <c r="AL1339">
        <f>IF($AI1339=1,IFERROR(IF(VALUE($C1339)&lt;100000000,VALUE($C1339),1000000000),IFERROR(IF(VALUE(MID($C1339,2,20))&lt;100000000,VALUE(MID($C1339,2,20)),1000000000),1000000000))+ROW()/100000,"")</f>
        <v/>
      </c>
    </row>
    <row r="1340">
      <c r="J1340" s="7" t="n"/>
      <c r="K1340" s="7" t="n"/>
      <c r="R1340" s="7">
        <f>IF($C1340="","",Q1340*AC1340/100)</f>
        <v/>
      </c>
      <c r="S1340" s="11" t="n"/>
      <c r="U1340" s="11" t="n"/>
      <c r="AA1340" s="7" t="n"/>
      <c r="AC1340" s="7" t="n"/>
      <c r="AE1340">
        <f>IF($C1340="","",IF($AK1340=1,Settings!$C$6,Settings!$C$7)*1)</f>
        <v/>
      </c>
      <c r="AF1340" s="7">
        <f>IF($C1340="","",AE1340*AC1340)</f>
        <v/>
      </c>
      <c r="AG1340" s="7">
        <f>IF($C1340="","",AC1340-AF1340)</f>
        <v/>
      </c>
      <c r="AH1340" s="7">
        <f>IF($C1340="","",AG1340-R1340)</f>
        <v/>
      </c>
      <c r="AI1340">
        <f>IF($C1340="","",IF(COUNTIF($C$2:$C1340,$C1340)=1,1,0))</f>
        <v/>
      </c>
      <c r="AJ1340">
        <f>IF($AI1340=1,SUMPRODUCT(--($AL$2:$AL$1501&lt;$AL1340))+1,"")</f>
        <v/>
      </c>
      <c r="AK1340">
        <f>IF($C1340="","",IF(OR($AD1340=TRUE(),$AD1340="TRUE"),0,1))</f>
        <v/>
      </c>
      <c r="AL1340">
        <f>IF($AI1340=1,IFERROR(IF(VALUE($C1340)&lt;100000000,VALUE($C1340),1000000000),IFERROR(IF(VALUE(MID($C1340,2,20))&lt;100000000,VALUE(MID($C1340,2,20)),1000000000),1000000000))+ROW()/100000,"")</f>
        <v/>
      </c>
    </row>
    <row r="1341">
      <c r="J1341" s="7" t="n"/>
      <c r="K1341" s="7" t="n"/>
      <c r="R1341" s="7">
        <f>IF($C1341="","",Q1341*AC1341/100)</f>
        <v/>
      </c>
      <c r="S1341" s="11" t="n"/>
      <c r="U1341" s="11" t="n"/>
      <c r="AA1341" s="7" t="n"/>
      <c r="AC1341" s="7" t="n"/>
      <c r="AE1341">
        <f>IF($C1341="","",IF($AK1341=1,Settings!$C$6,Settings!$C$7)*1)</f>
        <v/>
      </c>
      <c r="AF1341" s="7">
        <f>IF($C1341="","",AE1341*AC1341)</f>
        <v/>
      </c>
      <c r="AG1341" s="7">
        <f>IF($C1341="","",AC1341-AF1341)</f>
        <v/>
      </c>
      <c r="AH1341" s="7">
        <f>IF($C1341="","",AG1341-R1341)</f>
        <v/>
      </c>
      <c r="AI1341">
        <f>IF($C1341="","",IF(COUNTIF($C$2:$C1341,$C1341)=1,1,0))</f>
        <v/>
      </c>
      <c r="AJ1341">
        <f>IF($AI1341=1,SUMPRODUCT(--($AL$2:$AL$1501&lt;$AL1341))+1,"")</f>
        <v/>
      </c>
      <c r="AK1341">
        <f>IF($C1341="","",IF(OR($AD1341=TRUE(),$AD1341="TRUE"),0,1))</f>
        <v/>
      </c>
      <c r="AL1341">
        <f>IF($AI1341=1,IFERROR(IF(VALUE($C1341)&lt;100000000,VALUE($C1341),1000000000),IFERROR(IF(VALUE(MID($C1341,2,20))&lt;100000000,VALUE(MID($C1341,2,20)),1000000000),1000000000))+ROW()/100000,"")</f>
        <v/>
      </c>
    </row>
    <row r="1342">
      <c r="J1342" s="7" t="n"/>
      <c r="K1342" s="7" t="n"/>
      <c r="R1342" s="7">
        <f>IF($C1342="","",Q1342*AC1342/100)</f>
        <v/>
      </c>
      <c r="S1342" s="11" t="n"/>
      <c r="U1342" s="11" t="n"/>
      <c r="AA1342" s="7" t="n"/>
      <c r="AC1342" s="7" t="n"/>
      <c r="AE1342">
        <f>IF($C1342="","",IF($AK1342=1,Settings!$C$6,Settings!$C$7)*1)</f>
        <v/>
      </c>
      <c r="AF1342" s="7">
        <f>IF($C1342="","",AE1342*AC1342)</f>
        <v/>
      </c>
      <c r="AG1342" s="7">
        <f>IF($C1342="","",AC1342-AF1342)</f>
        <v/>
      </c>
      <c r="AH1342" s="7">
        <f>IF($C1342="","",AG1342-R1342)</f>
        <v/>
      </c>
      <c r="AI1342">
        <f>IF($C1342="","",IF(COUNTIF($C$2:$C1342,$C1342)=1,1,0))</f>
        <v/>
      </c>
      <c r="AJ1342">
        <f>IF($AI1342=1,SUMPRODUCT(--($AL$2:$AL$1501&lt;$AL1342))+1,"")</f>
        <v/>
      </c>
      <c r="AK1342">
        <f>IF($C1342="","",IF(OR($AD1342=TRUE(),$AD1342="TRUE"),0,1))</f>
        <v/>
      </c>
      <c r="AL1342">
        <f>IF($AI1342=1,IFERROR(IF(VALUE($C1342)&lt;100000000,VALUE($C1342),1000000000),IFERROR(IF(VALUE(MID($C1342,2,20))&lt;100000000,VALUE(MID($C1342,2,20)),1000000000),1000000000))+ROW()/100000,"")</f>
        <v/>
      </c>
    </row>
    <row r="1343">
      <c r="J1343" s="7" t="n"/>
      <c r="K1343" s="7" t="n"/>
      <c r="R1343" s="7">
        <f>IF($C1343="","",Q1343*AC1343/100)</f>
        <v/>
      </c>
      <c r="S1343" s="11" t="n"/>
      <c r="U1343" s="11" t="n"/>
      <c r="AA1343" s="7" t="n"/>
      <c r="AC1343" s="7" t="n"/>
      <c r="AE1343">
        <f>IF($C1343="","",IF($AK1343=1,Settings!$C$6,Settings!$C$7)*1)</f>
        <v/>
      </c>
      <c r="AF1343" s="7">
        <f>IF($C1343="","",AE1343*AC1343)</f>
        <v/>
      </c>
      <c r="AG1343" s="7">
        <f>IF($C1343="","",AC1343-AF1343)</f>
        <v/>
      </c>
      <c r="AH1343" s="7">
        <f>IF($C1343="","",AG1343-R1343)</f>
        <v/>
      </c>
      <c r="AI1343">
        <f>IF($C1343="","",IF(COUNTIF($C$2:$C1343,$C1343)=1,1,0))</f>
        <v/>
      </c>
      <c r="AJ1343">
        <f>IF($AI1343=1,SUMPRODUCT(--($AL$2:$AL$1501&lt;$AL1343))+1,"")</f>
        <v/>
      </c>
      <c r="AK1343">
        <f>IF($C1343="","",IF(OR($AD1343=TRUE(),$AD1343="TRUE"),0,1))</f>
        <v/>
      </c>
      <c r="AL1343">
        <f>IF($AI1343=1,IFERROR(IF(VALUE($C1343)&lt;100000000,VALUE($C1343),1000000000),IFERROR(IF(VALUE(MID($C1343,2,20))&lt;100000000,VALUE(MID($C1343,2,20)),1000000000),1000000000))+ROW()/100000,"")</f>
        <v/>
      </c>
    </row>
    <row r="1344">
      <c r="J1344" s="7" t="n"/>
      <c r="K1344" s="7" t="n"/>
      <c r="R1344" s="7">
        <f>IF($C1344="","",Q1344*AC1344/100)</f>
        <v/>
      </c>
      <c r="S1344" s="11" t="n"/>
      <c r="U1344" s="11" t="n"/>
      <c r="AA1344" s="7" t="n"/>
      <c r="AC1344" s="7" t="n"/>
      <c r="AE1344">
        <f>IF($C1344="","",IF($AK1344=1,Settings!$C$6,Settings!$C$7)*1)</f>
        <v/>
      </c>
      <c r="AF1344" s="7">
        <f>IF($C1344="","",AE1344*AC1344)</f>
        <v/>
      </c>
      <c r="AG1344" s="7">
        <f>IF($C1344="","",AC1344-AF1344)</f>
        <v/>
      </c>
      <c r="AH1344" s="7">
        <f>IF($C1344="","",AG1344-R1344)</f>
        <v/>
      </c>
      <c r="AI1344">
        <f>IF($C1344="","",IF(COUNTIF($C$2:$C1344,$C1344)=1,1,0))</f>
        <v/>
      </c>
      <c r="AJ1344">
        <f>IF($AI1344=1,SUMPRODUCT(--($AL$2:$AL$1501&lt;$AL1344))+1,"")</f>
        <v/>
      </c>
      <c r="AK1344">
        <f>IF($C1344="","",IF(OR($AD1344=TRUE(),$AD1344="TRUE"),0,1))</f>
        <v/>
      </c>
      <c r="AL1344">
        <f>IF($AI1344=1,IFERROR(IF(VALUE($C1344)&lt;100000000,VALUE($C1344),1000000000),IFERROR(IF(VALUE(MID($C1344,2,20))&lt;100000000,VALUE(MID($C1344,2,20)),1000000000),1000000000))+ROW()/100000,"")</f>
        <v/>
      </c>
    </row>
    <row r="1345">
      <c r="J1345" s="7" t="n"/>
      <c r="K1345" s="7" t="n"/>
      <c r="R1345" s="7">
        <f>IF($C1345="","",Q1345*AC1345/100)</f>
        <v/>
      </c>
      <c r="S1345" s="11" t="n"/>
      <c r="U1345" s="11" t="n"/>
      <c r="AA1345" s="7" t="n"/>
      <c r="AC1345" s="7" t="n"/>
      <c r="AE1345">
        <f>IF($C1345="","",IF($AK1345=1,Settings!$C$6,Settings!$C$7)*1)</f>
        <v/>
      </c>
      <c r="AF1345" s="7">
        <f>IF($C1345="","",AE1345*AC1345)</f>
        <v/>
      </c>
      <c r="AG1345" s="7">
        <f>IF($C1345="","",AC1345-AF1345)</f>
        <v/>
      </c>
      <c r="AH1345" s="7">
        <f>IF($C1345="","",AG1345-R1345)</f>
        <v/>
      </c>
      <c r="AI1345">
        <f>IF($C1345="","",IF(COUNTIF($C$2:$C1345,$C1345)=1,1,0))</f>
        <v/>
      </c>
      <c r="AJ1345">
        <f>IF($AI1345=1,SUMPRODUCT(--($AL$2:$AL$1501&lt;$AL1345))+1,"")</f>
        <v/>
      </c>
      <c r="AK1345">
        <f>IF($C1345="","",IF(OR($AD1345=TRUE(),$AD1345="TRUE"),0,1))</f>
        <v/>
      </c>
      <c r="AL1345">
        <f>IF($AI1345=1,IFERROR(IF(VALUE($C1345)&lt;100000000,VALUE($C1345),1000000000),IFERROR(IF(VALUE(MID($C1345,2,20))&lt;100000000,VALUE(MID($C1345,2,20)),1000000000),1000000000))+ROW()/100000,"")</f>
        <v/>
      </c>
    </row>
    <row r="1346">
      <c r="J1346" s="7" t="n"/>
      <c r="K1346" s="7" t="n"/>
      <c r="R1346" s="7">
        <f>IF($C1346="","",Q1346*AC1346/100)</f>
        <v/>
      </c>
      <c r="S1346" s="11" t="n"/>
      <c r="U1346" s="11" t="n"/>
      <c r="AA1346" s="7" t="n"/>
      <c r="AC1346" s="7" t="n"/>
      <c r="AE1346">
        <f>IF($C1346="","",IF($AK1346=1,Settings!$C$6,Settings!$C$7)*1)</f>
        <v/>
      </c>
      <c r="AF1346" s="7">
        <f>IF($C1346="","",AE1346*AC1346)</f>
        <v/>
      </c>
      <c r="AG1346" s="7">
        <f>IF($C1346="","",AC1346-AF1346)</f>
        <v/>
      </c>
      <c r="AH1346" s="7">
        <f>IF($C1346="","",AG1346-R1346)</f>
        <v/>
      </c>
      <c r="AI1346">
        <f>IF($C1346="","",IF(COUNTIF($C$2:$C1346,$C1346)=1,1,0))</f>
        <v/>
      </c>
      <c r="AJ1346">
        <f>IF($AI1346=1,SUMPRODUCT(--($AL$2:$AL$1501&lt;$AL1346))+1,"")</f>
        <v/>
      </c>
      <c r="AK1346">
        <f>IF($C1346="","",IF(OR($AD1346=TRUE(),$AD1346="TRUE"),0,1))</f>
        <v/>
      </c>
      <c r="AL1346">
        <f>IF($AI1346=1,IFERROR(IF(VALUE($C1346)&lt;100000000,VALUE($C1346),1000000000),IFERROR(IF(VALUE(MID($C1346,2,20))&lt;100000000,VALUE(MID($C1346,2,20)),1000000000),1000000000))+ROW()/100000,"")</f>
        <v/>
      </c>
    </row>
    <row r="1347">
      <c r="J1347" s="7" t="n"/>
      <c r="K1347" s="7" t="n"/>
      <c r="R1347" s="7">
        <f>IF($C1347="","",Q1347*AC1347/100)</f>
        <v/>
      </c>
      <c r="S1347" s="11" t="n"/>
      <c r="U1347" s="11" t="n"/>
      <c r="AA1347" s="7" t="n"/>
      <c r="AC1347" s="7" t="n"/>
      <c r="AE1347">
        <f>IF($C1347="","",IF($AK1347=1,Settings!$C$6,Settings!$C$7)*1)</f>
        <v/>
      </c>
      <c r="AF1347" s="7">
        <f>IF($C1347="","",AE1347*AC1347)</f>
        <v/>
      </c>
      <c r="AG1347" s="7">
        <f>IF($C1347="","",AC1347-AF1347)</f>
        <v/>
      </c>
      <c r="AH1347" s="7">
        <f>IF($C1347="","",AG1347-R1347)</f>
        <v/>
      </c>
      <c r="AI1347">
        <f>IF($C1347="","",IF(COUNTIF($C$2:$C1347,$C1347)=1,1,0))</f>
        <v/>
      </c>
      <c r="AJ1347">
        <f>IF($AI1347=1,SUMPRODUCT(--($AL$2:$AL$1501&lt;$AL1347))+1,"")</f>
        <v/>
      </c>
      <c r="AK1347">
        <f>IF($C1347="","",IF(OR($AD1347=TRUE(),$AD1347="TRUE"),0,1))</f>
        <v/>
      </c>
      <c r="AL1347">
        <f>IF($AI1347=1,IFERROR(IF(VALUE($C1347)&lt;100000000,VALUE($C1347),1000000000),IFERROR(IF(VALUE(MID($C1347,2,20))&lt;100000000,VALUE(MID($C1347,2,20)),1000000000),1000000000))+ROW()/100000,"")</f>
        <v/>
      </c>
    </row>
    <row r="1348">
      <c r="J1348" s="7" t="n"/>
      <c r="K1348" s="7" t="n"/>
      <c r="R1348" s="7">
        <f>IF($C1348="","",Q1348*AC1348/100)</f>
        <v/>
      </c>
      <c r="S1348" s="11" t="n"/>
      <c r="U1348" s="11" t="n"/>
      <c r="AA1348" s="7" t="n"/>
      <c r="AC1348" s="7" t="n"/>
      <c r="AE1348">
        <f>IF($C1348="","",IF($AK1348=1,Settings!$C$6,Settings!$C$7)*1)</f>
        <v/>
      </c>
      <c r="AF1348" s="7">
        <f>IF($C1348="","",AE1348*AC1348)</f>
        <v/>
      </c>
      <c r="AG1348" s="7">
        <f>IF($C1348="","",AC1348-AF1348)</f>
        <v/>
      </c>
      <c r="AH1348" s="7">
        <f>IF($C1348="","",AG1348-R1348)</f>
        <v/>
      </c>
      <c r="AI1348">
        <f>IF($C1348="","",IF(COUNTIF($C$2:$C1348,$C1348)=1,1,0))</f>
        <v/>
      </c>
      <c r="AJ1348">
        <f>IF($AI1348=1,SUMPRODUCT(--($AL$2:$AL$1501&lt;$AL1348))+1,"")</f>
        <v/>
      </c>
      <c r="AK1348">
        <f>IF($C1348="","",IF(OR($AD1348=TRUE(),$AD1348="TRUE"),0,1))</f>
        <v/>
      </c>
      <c r="AL1348">
        <f>IF($AI1348=1,IFERROR(IF(VALUE($C1348)&lt;100000000,VALUE($C1348),1000000000),IFERROR(IF(VALUE(MID($C1348,2,20))&lt;100000000,VALUE(MID($C1348,2,20)),1000000000),1000000000))+ROW()/100000,"")</f>
        <v/>
      </c>
    </row>
    <row r="1349">
      <c r="J1349" s="7" t="n"/>
      <c r="K1349" s="7" t="n"/>
      <c r="R1349" s="7">
        <f>IF($C1349="","",Q1349*AC1349/100)</f>
        <v/>
      </c>
      <c r="S1349" s="11" t="n"/>
      <c r="U1349" s="11" t="n"/>
      <c r="AA1349" s="7" t="n"/>
      <c r="AC1349" s="7" t="n"/>
      <c r="AE1349">
        <f>IF($C1349="","",IF($AK1349=1,Settings!$C$6,Settings!$C$7)*1)</f>
        <v/>
      </c>
      <c r="AF1349" s="7">
        <f>IF($C1349="","",AE1349*AC1349)</f>
        <v/>
      </c>
      <c r="AG1349" s="7">
        <f>IF($C1349="","",AC1349-AF1349)</f>
        <v/>
      </c>
      <c r="AH1349" s="7">
        <f>IF($C1349="","",AG1349-R1349)</f>
        <v/>
      </c>
      <c r="AI1349">
        <f>IF($C1349="","",IF(COUNTIF($C$2:$C1349,$C1349)=1,1,0))</f>
        <v/>
      </c>
      <c r="AJ1349">
        <f>IF($AI1349=1,SUMPRODUCT(--($AL$2:$AL$1501&lt;$AL1349))+1,"")</f>
        <v/>
      </c>
      <c r="AK1349">
        <f>IF($C1349="","",IF(OR($AD1349=TRUE(),$AD1349="TRUE"),0,1))</f>
        <v/>
      </c>
      <c r="AL1349">
        <f>IF($AI1349=1,IFERROR(IF(VALUE($C1349)&lt;100000000,VALUE($C1349),1000000000),IFERROR(IF(VALUE(MID($C1349,2,20))&lt;100000000,VALUE(MID($C1349,2,20)),1000000000),1000000000))+ROW()/100000,"")</f>
        <v/>
      </c>
    </row>
    <row r="1350">
      <c r="J1350" s="7" t="n"/>
      <c r="K1350" s="7" t="n"/>
      <c r="R1350" s="7">
        <f>IF($C1350="","",Q1350*AC1350/100)</f>
        <v/>
      </c>
      <c r="S1350" s="11" t="n"/>
      <c r="U1350" s="11" t="n"/>
      <c r="AA1350" s="7" t="n"/>
      <c r="AC1350" s="7" t="n"/>
      <c r="AE1350">
        <f>IF($C1350="","",IF($AK1350=1,Settings!$C$6,Settings!$C$7)*1)</f>
        <v/>
      </c>
      <c r="AF1350" s="7">
        <f>IF($C1350="","",AE1350*AC1350)</f>
        <v/>
      </c>
      <c r="AG1350" s="7">
        <f>IF($C1350="","",AC1350-AF1350)</f>
        <v/>
      </c>
      <c r="AH1350" s="7">
        <f>IF($C1350="","",AG1350-R1350)</f>
        <v/>
      </c>
      <c r="AI1350">
        <f>IF($C1350="","",IF(COUNTIF($C$2:$C1350,$C1350)=1,1,0))</f>
        <v/>
      </c>
      <c r="AJ1350">
        <f>IF($AI1350=1,SUMPRODUCT(--($AL$2:$AL$1501&lt;$AL1350))+1,"")</f>
        <v/>
      </c>
      <c r="AK1350">
        <f>IF($C1350="","",IF(OR($AD1350=TRUE(),$AD1350="TRUE"),0,1))</f>
        <v/>
      </c>
      <c r="AL1350">
        <f>IF($AI1350=1,IFERROR(IF(VALUE($C1350)&lt;100000000,VALUE($C1350),1000000000),IFERROR(IF(VALUE(MID($C1350,2,20))&lt;100000000,VALUE(MID($C1350,2,20)),1000000000),1000000000))+ROW()/100000,"")</f>
        <v/>
      </c>
    </row>
    <row r="1351">
      <c r="J1351" s="7" t="n"/>
      <c r="K1351" s="7" t="n"/>
      <c r="R1351" s="7">
        <f>IF($C1351="","",Q1351*AC1351/100)</f>
        <v/>
      </c>
      <c r="S1351" s="11" t="n"/>
      <c r="U1351" s="11" t="n"/>
      <c r="AA1351" s="7" t="n"/>
      <c r="AC1351" s="7" t="n"/>
      <c r="AE1351">
        <f>IF($C1351="","",IF($AK1351=1,Settings!$C$6,Settings!$C$7)*1)</f>
        <v/>
      </c>
      <c r="AF1351" s="7">
        <f>IF($C1351="","",AE1351*AC1351)</f>
        <v/>
      </c>
      <c r="AG1351" s="7">
        <f>IF($C1351="","",AC1351-AF1351)</f>
        <v/>
      </c>
      <c r="AH1351" s="7">
        <f>IF($C1351="","",AG1351-R1351)</f>
        <v/>
      </c>
      <c r="AI1351">
        <f>IF($C1351="","",IF(COUNTIF($C$2:$C1351,$C1351)=1,1,0))</f>
        <v/>
      </c>
      <c r="AJ1351">
        <f>IF($AI1351=1,SUMPRODUCT(--($AL$2:$AL$1501&lt;$AL1351))+1,"")</f>
        <v/>
      </c>
      <c r="AK1351">
        <f>IF($C1351="","",IF(OR($AD1351=TRUE(),$AD1351="TRUE"),0,1))</f>
        <v/>
      </c>
      <c r="AL1351">
        <f>IF($AI1351=1,IFERROR(IF(VALUE($C1351)&lt;100000000,VALUE($C1351),1000000000),IFERROR(IF(VALUE(MID($C1351,2,20))&lt;100000000,VALUE(MID($C1351,2,20)),1000000000),1000000000))+ROW()/100000,"")</f>
        <v/>
      </c>
    </row>
    <row r="1352">
      <c r="J1352" s="7" t="n"/>
      <c r="K1352" s="7" t="n"/>
      <c r="R1352" s="7">
        <f>IF($C1352="","",Q1352*AC1352/100)</f>
        <v/>
      </c>
      <c r="S1352" s="11" t="n"/>
      <c r="U1352" s="11" t="n"/>
      <c r="AA1352" s="7" t="n"/>
      <c r="AC1352" s="7" t="n"/>
      <c r="AE1352">
        <f>IF($C1352="","",IF($AK1352=1,Settings!$C$6,Settings!$C$7)*1)</f>
        <v/>
      </c>
      <c r="AF1352" s="7">
        <f>IF($C1352="","",AE1352*AC1352)</f>
        <v/>
      </c>
      <c r="AG1352" s="7">
        <f>IF($C1352="","",AC1352-AF1352)</f>
        <v/>
      </c>
      <c r="AH1352" s="7">
        <f>IF($C1352="","",AG1352-R1352)</f>
        <v/>
      </c>
      <c r="AI1352">
        <f>IF($C1352="","",IF(COUNTIF($C$2:$C1352,$C1352)=1,1,0))</f>
        <v/>
      </c>
      <c r="AJ1352">
        <f>IF($AI1352=1,SUMPRODUCT(--($AL$2:$AL$1501&lt;$AL1352))+1,"")</f>
        <v/>
      </c>
      <c r="AK1352">
        <f>IF($C1352="","",IF(OR($AD1352=TRUE(),$AD1352="TRUE"),0,1))</f>
        <v/>
      </c>
      <c r="AL1352">
        <f>IF($AI1352=1,IFERROR(IF(VALUE($C1352)&lt;100000000,VALUE($C1352),1000000000),IFERROR(IF(VALUE(MID($C1352,2,20))&lt;100000000,VALUE(MID($C1352,2,20)),1000000000),1000000000))+ROW()/100000,"")</f>
        <v/>
      </c>
    </row>
    <row r="1353">
      <c r="J1353" s="7" t="n"/>
      <c r="K1353" s="7" t="n"/>
      <c r="R1353" s="7">
        <f>IF($C1353="","",Q1353*AC1353/100)</f>
        <v/>
      </c>
      <c r="S1353" s="11" t="n"/>
      <c r="U1353" s="11" t="n"/>
      <c r="AA1353" s="7" t="n"/>
      <c r="AC1353" s="7" t="n"/>
      <c r="AE1353">
        <f>IF($C1353="","",IF($AK1353=1,Settings!$C$6,Settings!$C$7)*1)</f>
        <v/>
      </c>
      <c r="AF1353" s="7">
        <f>IF($C1353="","",AE1353*AC1353)</f>
        <v/>
      </c>
      <c r="AG1353" s="7">
        <f>IF($C1353="","",AC1353-AF1353)</f>
        <v/>
      </c>
      <c r="AH1353" s="7">
        <f>IF($C1353="","",AG1353-R1353)</f>
        <v/>
      </c>
      <c r="AI1353">
        <f>IF($C1353="","",IF(COUNTIF($C$2:$C1353,$C1353)=1,1,0))</f>
        <v/>
      </c>
      <c r="AJ1353">
        <f>IF($AI1353=1,SUMPRODUCT(--($AL$2:$AL$1501&lt;$AL1353))+1,"")</f>
        <v/>
      </c>
      <c r="AK1353">
        <f>IF($C1353="","",IF(OR($AD1353=TRUE(),$AD1353="TRUE"),0,1))</f>
        <v/>
      </c>
      <c r="AL1353">
        <f>IF($AI1353=1,IFERROR(IF(VALUE($C1353)&lt;100000000,VALUE($C1353),1000000000),IFERROR(IF(VALUE(MID($C1353,2,20))&lt;100000000,VALUE(MID($C1353,2,20)),1000000000),1000000000))+ROW()/100000,"")</f>
        <v/>
      </c>
    </row>
    <row r="1354">
      <c r="J1354" s="7" t="n"/>
      <c r="K1354" s="7" t="n"/>
      <c r="R1354" s="7">
        <f>IF($C1354="","",Q1354*AC1354/100)</f>
        <v/>
      </c>
      <c r="S1354" s="11" t="n"/>
      <c r="U1354" s="11" t="n"/>
      <c r="AA1354" s="7" t="n"/>
      <c r="AC1354" s="7" t="n"/>
      <c r="AE1354">
        <f>IF($C1354="","",IF($AK1354=1,Settings!$C$6,Settings!$C$7)*1)</f>
        <v/>
      </c>
      <c r="AF1354" s="7">
        <f>IF($C1354="","",AE1354*AC1354)</f>
        <v/>
      </c>
      <c r="AG1354" s="7">
        <f>IF($C1354="","",AC1354-AF1354)</f>
        <v/>
      </c>
      <c r="AH1354" s="7">
        <f>IF($C1354="","",AG1354-R1354)</f>
        <v/>
      </c>
      <c r="AI1354">
        <f>IF($C1354="","",IF(COUNTIF($C$2:$C1354,$C1354)=1,1,0))</f>
        <v/>
      </c>
      <c r="AJ1354">
        <f>IF($AI1354=1,SUMPRODUCT(--($AL$2:$AL$1501&lt;$AL1354))+1,"")</f>
        <v/>
      </c>
      <c r="AK1354">
        <f>IF($C1354="","",IF(OR($AD1354=TRUE(),$AD1354="TRUE"),0,1))</f>
        <v/>
      </c>
      <c r="AL1354">
        <f>IF($AI1354=1,IFERROR(IF(VALUE($C1354)&lt;100000000,VALUE($C1354),1000000000),IFERROR(IF(VALUE(MID($C1354,2,20))&lt;100000000,VALUE(MID($C1354,2,20)),1000000000),1000000000))+ROW()/100000,"")</f>
        <v/>
      </c>
    </row>
    <row r="1355">
      <c r="J1355" s="7" t="n"/>
      <c r="K1355" s="7" t="n"/>
      <c r="R1355" s="7">
        <f>IF($C1355="","",Q1355*AC1355/100)</f>
        <v/>
      </c>
      <c r="S1355" s="11" t="n"/>
      <c r="U1355" s="11" t="n"/>
      <c r="AA1355" s="7" t="n"/>
      <c r="AC1355" s="7" t="n"/>
      <c r="AE1355">
        <f>IF($C1355="","",IF($AK1355=1,Settings!$C$6,Settings!$C$7)*1)</f>
        <v/>
      </c>
      <c r="AF1355" s="7">
        <f>IF($C1355="","",AE1355*AC1355)</f>
        <v/>
      </c>
      <c r="AG1355" s="7">
        <f>IF($C1355="","",AC1355-AF1355)</f>
        <v/>
      </c>
      <c r="AH1355" s="7">
        <f>IF($C1355="","",AG1355-R1355)</f>
        <v/>
      </c>
      <c r="AI1355">
        <f>IF($C1355="","",IF(COUNTIF($C$2:$C1355,$C1355)=1,1,0))</f>
        <v/>
      </c>
      <c r="AJ1355">
        <f>IF($AI1355=1,SUMPRODUCT(--($AL$2:$AL$1501&lt;$AL1355))+1,"")</f>
        <v/>
      </c>
      <c r="AK1355">
        <f>IF($C1355="","",IF(OR($AD1355=TRUE(),$AD1355="TRUE"),0,1))</f>
        <v/>
      </c>
      <c r="AL1355">
        <f>IF($AI1355=1,IFERROR(IF(VALUE($C1355)&lt;100000000,VALUE($C1355),1000000000),IFERROR(IF(VALUE(MID($C1355,2,20))&lt;100000000,VALUE(MID($C1355,2,20)),1000000000),1000000000))+ROW()/100000,"")</f>
        <v/>
      </c>
    </row>
    <row r="1356">
      <c r="J1356" s="7" t="n"/>
      <c r="K1356" s="7" t="n"/>
      <c r="R1356" s="7">
        <f>IF($C1356="","",Q1356*AC1356/100)</f>
        <v/>
      </c>
      <c r="S1356" s="11" t="n"/>
      <c r="U1356" s="11" t="n"/>
      <c r="AA1356" s="7" t="n"/>
      <c r="AC1356" s="7" t="n"/>
      <c r="AE1356">
        <f>IF($C1356="","",IF($AK1356=1,Settings!$C$6,Settings!$C$7)*1)</f>
        <v/>
      </c>
      <c r="AF1356" s="7">
        <f>IF($C1356="","",AE1356*AC1356)</f>
        <v/>
      </c>
      <c r="AG1356" s="7">
        <f>IF($C1356="","",AC1356-AF1356)</f>
        <v/>
      </c>
      <c r="AH1356" s="7">
        <f>IF($C1356="","",AG1356-R1356)</f>
        <v/>
      </c>
      <c r="AI1356">
        <f>IF($C1356="","",IF(COUNTIF($C$2:$C1356,$C1356)=1,1,0))</f>
        <v/>
      </c>
      <c r="AJ1356">
        <f>IF($AI1356=1,SUMPRODUCT(--($AL$2:$AL$1501&lt;$AL1356))+1,"")</f>
        <v/>
      </c>
      <c r="AK1356">
        <f>IF($C1356="","",IF(OR($AD1356=TRUE(),$AD1356="TRUE"),0,1))</f>
        <v/>
      </c>
      <c r="AL1356">
        <f>IF($AI1356=1,IFERROR(IF(VALUE($C1356)&lt;100000000,VALUE($C1356),1000000000),IFERROR(IF(VALUE(MID($C1356,2,20))&lt;100000000,VALUE(MID($C1356,2,20)),1000000000),1000000000))+ROW()/100000,"")</f>
        <v/>
      </c>
    </row>
    <row r="1357">
      <c r="J1357" s="7" t="n"/>
      <c r="K1357" s="7" t="n"/>
      <c r="R1357" s="7">
        <f>IF($C1357="","",Q1357*AC1357/100)</f>
        <v/>
      </c>
      <c r="S1357" s="11" t="n"/>
      <c r="U1357" s="11" t="n"/>
      <c r="AA1357" s="7" t="n"/>
      <c r="AC1357" s="7" t="n"/>
      <c r="AE1357">
        <f>IF($C1357="","",IF($AK1357=1,Settings!$C$6,Settings!$C$7)*1)</f>
        <v/>
      </c>
      <c r="AF1357" s="7">
        <f>IF($C1357="","",AE1357*AC1357)</f>
        <v/>
      </c>
      <c r="AG1357" s="7">
        <f>IF($C1357="","",AC1357-AF1357)</f>
        <v/>
      </c>
      <c r="AH1357" s="7">
        <f>IF($C1357="","",AG1357-R1357)</f>
        <v/>
      </c>
      <c r="AI1357">
        <f>IF($C1357="","",IF(COUNTIF($C$2:$C1357,$C1357)=1,1,0))</f>
        <v/>
      </c>
      <c r="AJ1357">
        <f>IF($AI1357=1,SUMPRODUCT(--($AL$2:$AL$1501&lt;$AL1357))+1,"")</f>
        <v/>
      </c>
      <c r="AK1357">
        <f>IF($C1357="","",IF(OR($AD1357=TRUE(),$AD1357="TRUE"),0,1))</f>
        <v/>
      </c>
      <c r="AL1357">
        <f>IF($AI1357=1,IFERROR(IF(VALUE($C1357)&lt;100000000,VALUE($C1357),1000000000),IFERROR(IF(VALUE(MID($C1357,2,20))&lt;100000000,VALUE(MID($C1357,2,20)),1000000000),1000000000))+ROW()/100000,"")</f>
        <v/>
      </c>
    </row>
    <row r="1358">
      <c r="J1358" s="7" t="n"/>
      <c r="K1358" s="7" t="n"/>
      <c r="R1358" s="7">
        <f>IF($C1358="","",Q1358*AC1358/100)</f>
        <v/>
      </c>
      <c r="S1358" s="11" t="n"/>
      <c r="U1358" s="11" t="n"/>
      <c r="AA1358" s="7" t="n"/>
      <c r="AC1358" s="7" t="n"/>
      <c r="AE1358">
        <f>IF($C1358="","",IF($AK1358=1,Settings!$C$6,Settings!$C$7)*1)</f>
        <v/>
      </c>
      <c r="AF1358" s="7">
        <f>IF($C1358="","",AE1358*AC1358)</f>
        <v/>
      </c>
      <c r="AG1358" s="7">
        <f>IF($C1358="","",AC1358-AF1358)</f>
        <v/>
      </c>
      <c r="AH1358" s="7">
        <f>IF($C1358="","",AG1358-R1358)</f>
        <v/>
      </c>
      <c r="AI1358">
        <f>IF($C1358="","",IF(COUNTIF($C$2:$C1358,$C1358)=1,1,0))</f>
        <v/>
      </c>
      <c r="AJ1358">
        <f>IF($AI1358=1,SUMPRODUCT(--($AL$2:$AL$1501&lt;$AL1358))+1,"")</f>
        <v/>
      </c>
      <c r="AK1358">
        <f>IF($C1358="","",IF(OR($AD1358=TRUE(),$AD1358="TRUE"),0,1))</f>
        <v/>
      </c>
      <c r="AL1358">
        <f>IF($AI1358=1,IFERROR(IF(VALUE($C1358)&lt;100000000,VALUE($C1358),1000000000),IFERROR(IF(VALUE(MID($C1358,2,20))&lt;100000000,VALUE(MID($C1358,2,20)),1000000000),1000000000))+ROW()/100000,"")</f>
        <v/>
      </c>
    </row>
    <row r="1359">
      <c r="J1359" s="7" t="n"/>
      <c r="K1359" s="7" t="n"/>
      <c r="R1359" s="7">
        <f>IF($C1359="","",Q1359*AC1359/100)</f>
        <v/>
      </c>
      <c r="S1359" s="11" t="n"/>
      <c r="U1359" s="11" t="n"/>
      <c r="AA1359" s="7" t="n"/>
      <c r="AC1359" s="7" t="n"/>
      <c r="AE1359">
        <f>IF($C1359="","",IF($AK1359=1,Settings!$C$6,Settings!$C$7)*1)</f>
        <v/>
      </c>
      <c r="AF1359" s="7">
        <f>IF($C1359="","",AE1359*AC1359)</f>
        <v/>
      </c>
      <c r="AG1359" s="7">
        <f>IF($C1359="","",AC1359-AF1359)</f>
        <v/>
      </c>
      <c r="AH1359" s="7">
        <f>IF($C1359="","",AG1359-R1359)</f>
        <v/>
      </c>
      <c r="AI1359">
        <f>IF($C1359="","",IF(COUNTIF($C$2:$C1359,$C1359)=1,1,0))</f>
        <v/>
      </c>
      <c r="AJ1359">
        <f>IF($AI1359=1,SUMPRODUCT(--($AL$2:$AL$1501&lt;$AL1359))+1,"")</f>
        <v/>
      </c>
      <c r="AK1359">
        <f>IF($C1359="","",IF(OR($AD1359=TRUE(),$AD1359="TRUE"),0,1))</f>
        <v/>
      </c>
      <c r="AL1359">
        <f>IF($AI1359=1,IFERROR(IF(VALUE($C1359)&lt;100000000,VALUE($C1359),1000000000),IFERROR(IF(VALUE(MID($C1359,2,20))&lt;100000000,VALUE(MID($C1359,2,20)),1000000000),1000000000))+ROW()/100000,"")</f>
        <v/>
      </c>
    </row>
    <row r="1360">
      <c r="J1360" s="7" t="n"/>
      <c r="K1360" s="7" t="n"/>
      <c r="R1360" s="7">
        <f>IF($C1360="","",Q1360*AC1360/100)</f>
        <v/>
      </c>
      <c r="S1360" s="11" t="n"/>
      <c r="U1360" s="11" t="n"/>
      <c r="AA1360" s="7" t="n"/>
      <c r="AC1360" s="7" t="n"/>
      <c r="AE1360">
        <f>IF($C1360="","",IF($AK1360=1,Settings!$C$6,Settings!$C$7)*1)</f>
        <v/>
      </c>
      <c r="AF1360" s="7">
        <f>IF($C1360="","",AE1360*AC1360)</f>
        <v/>
      </c>
      <c r="AG1360" s="7">
        <f>IF($C1360="","",AC1360-AF1360)</f>
        <v/>
      </c>
      <c r="AH1360" s="7">
        <f>IF($C1360="","",AG1360-R1360)</f>
        <v/>
      </c>
      <c r="AI1360">
        <f>IF($C1360="","",IF(COUNTIF($C$2:$C1360,$C1360)=1,1,0))</f>
        <v/>
      </c>
      <c r="AJ1360">
        <f>IF($AI1360=1,SUMPRODUCT(--($AL$2:$AL$1501&lt;$AL1360))+1,"")</f>
        <v/>
      </c>
      <c r="AK1360">
        <f>IF($C1360="","",IF(OR($AD1360=TRUE(),$AD1360="TRUE"),0,1))</f>
        <v/>
      </c>
      <c r="AL1360">
        <f>IF($AI1360=1,IFERROR(IF(VALUE($C1360)&lt;100000000,VALUE($C1360),1000000000),IFERROR(IF(VALUE(MID($C1360,2,20))&lt;100000000,VALUE(MID($C1360,2,20)),1000000000),1000000000))+ROW()/100000,"")</f>
        <v/>
      </c>
    </row>
    <row r="1361">
      <c r="J1361" s="7" t="n"/>
      <c r="K1361" s="7" t="n"/>
      <c r="R1361" s="7">
        <f>IF($C1361="","",Q1361*AC1361/100)</f>
        <v/>
      </c>
      <c r="S1361" s="11" t="n"/>
      <c r="U1361" s="11" t="n"/>
      <c r="AA1361" s="7" t="n"/>
      <c r="AC1361" s="7" t="n"/>
      <c r="AE1361">
        <f>IF($C1361="","",IF($AK1361=1,Settings!$C$6,Settings!$C$7)*1)</f>
        <v/>
      </c>
      <c r="AF1361" s="7">
        <f>IF($C1361="","",AE1361*AC1361)</f>
        <v/>
      </c>
      <c r="AG1361" s="7">
        <f>IF($C1361="","",AC1361-AF1361)</f>
        <v/>
      </c>
      <c r="AH1361" s="7">
        <f>IF($C1361="","",AG1361-R1361)</f>
        <v/>
      </c>
      <c r="AI1361">
        <f>IF($C1361="","",IF(COUNTIF($C$2:$C1361,$C1361)=1,1,0))</f>
        <v/>
      </c>
      <c r="AJ1361">
        <f>IF($AI1361=1,SUMPRODUCT(--($AL$2:$AL$1501&lt;$AL1361))+1,"")</f>
        <v/>
      </c>
      <c r="AK1361">
        <f>IF($C1361="","",IF(OR($AD1361=TRUE(),$AD1361="TRUE"),0,1))</f>
        <v/>
      </c>
      <c r="AL1361">
        <f>IF($AI1361=1,IFERROR(IF(VALUE($C1361)&lt;100000000,VALUE($C1361),1000000000),IFERROR(IF(VALUE(MID($C1361,2,20))&lt;100000000,VALUE(MID($C1361,2,20)),1000000000),1000000000))+ROW()/100000,"")</f>
        <v/>
      </c>
    </row>
    <row r="1362">
      <c r="J1362" s="7" t="n"/>
      <c r="K1362" s="7" t="n"/>
      <c r="R1362" s="7">
        <f>IF($C1362="","",Q1362*AC1362/100)</f>
        <v/>
      </c>
      <c r="S1362" s="11" t="n"/>
      <c r="U1362" s="11" t="n"/>
      <c r="AA1362" s="7" t="n"/>
      <c r="AC1362" s="7" t="n"/>
      <c r="AE1362">
        <f>IF($C1362="","",IF($AK1362=1,Settings!$C$6,Settings!$C$7)*1)</f>
        <v/>
      </c>
      <c r="AF1362" s="7">
        <f>IF($C1362="","",AE1362*AC1362)</f>
        <v/>
      </c>
      <c r="AG1362" s="7">
        <f>IF($C1362="","",AC1362-AF1362)</f>
        <v/>
      </c>
      <c r="AH1362" s="7">
        <f>IF($C1362="","",AG1362-R1362)</f>
        <v/>
      </c>
      <c r="AI1362">
        <f>IF($C1362="","",IF(COUNTIF($C$2:$C1362,$C1362)=1,1,0))</f>
        <v/>
      </c>
      <c r="AJ1362">
        <f>IF($AI1362=1,SUMPRODUCT(--($AL$2:$AL$1501&lt;$AL1362))+1,"")</f>
        <v/>
      </c>
      <c r="AK1362">
        <f>IF($C1362="","",IF(OR($AD1362=TRUE(),$AD1362="TRUE"),0,1))</f>
        <v/>
      </c>
      <c r="AL1362">
        <f>IF($AI1362=1,IFERROR(IF(VALUE($C1362)&lt;100000000,VALUE($C1362),1000000000),IFERROR(IF(VALUE(MID($C1362,2,20))&lt;100000000,VALUE(MID($C1362,2,20)),1000000000),1000000000))+ROW()/100000,"")</f>
        <v/>
      </c>
    </row>
    <row r="1363">
      <c r="J1363" s="7" t="n"/>
      <c r="K1363" s="7" t="n"/>
      <c r="R1363" s="7">
        <f>IF($C1363="","",Q1363*AC1363/100)</f>
        <v/>
      </c>
      <c r="S1363" s="11" t="n"/>
      <c r="U1363" s="11" t="n"/>
      <c r="AA1363" s="7" t="n"/>
      <c r="AC1363" s="7" t="n"/>
      <c r="AE1363">
        <f>IF($C1363="","",IF($AK1363=1,Settings!$C$6,Settings!$C$7)*1)</f>
        <v/>
      </c>
      <c r="AF1363" s="7">
        <f>IF($C1363="","",AE1363*AC1363)</f>
        <v/>
      </c>
      <c r="AG1363" s="7">
        <f>IF($C1363="","",AC1363-AF1363)</f>
        <v/>
      </c>
      <c r="AH1363" s="7">
        <f>IF($C1363="","",AG1363-R1363)</f>
        <v/>
      </c>
      <c r="AI1363">
        <f>IF($C1363="","",IF(COUNTIF($C$2:$C1363,$C1363)=1,1,0))</f>
        <v/>
      </c>
      <c r="AJ1363">
        <f>IF($AI1363=1,SUMPRODUCT(--($AL$2:$AL$1501&lt;$AL1363))+1,"")</f>
        <v/>
      </c>
      <c r="AK1363">
        <f>IF($C1363="","",IF(OR($AD1363=TRUE(),$AD1363="TRUE"),0,1))</f>
        <v/>
      </c>
      <c r="AL1363">
        <f>IF($AI1363=1,IFERROR(IF(VALUE($C1363)&lt;100000000,VALUE($C1363),1000000000),IFERROR(IF(VALUE(MID($C1363,2,20))&lt;100000000,VALUE(MID($C1363,2,20)),1000000000),1000000000))+ROW()/100000,"")</f>
        <v/>
      </c>
    </row>
    <row r="1364">
      <c r="J1364" s="7" t="n"/>
      <c r="K1364" s="7" t="n"/>
      <c r="R1364" s="7">
        <f>IF($C1364="","",Q1364*AC1364/100)</f>
        <v/>
      </c>
      <c r="S1364" s="11" t="n"/>
      <c r="U1364" s="11" t="n"/>
      <c r="AA1364" s="7" t="n"/>
      <c r="AC1364" s="7" t="n"/>
      <c r="AE1364">
        <f>IF($C1364="","",IF($AK1364=1,Settings!$C$6,Settings!$C$7)*1)</f>
        <v/>
      </c>
      <c r="AF1364" s="7">
        <f>IF($C1364="","",AE1364*AC1364)</f>
        <v/>
      </c>
      <c r="AG1364" s="7">
        <f>IF($C1364="","",AC1364-AF1364)</f>
        <v/>
      </c>
      <c r="AH1364" s="7">
        <f>IF($C1364="","",AG1364-R1364)</f>
        <v/>
      </c>
      <c r="AI1364">
        <f>IF($C1364="","",IF(COUNTIF($C$2:$C1364,$C1364)=1,1,0))</f>
        <v/>
      </c>
      <c r="AJ1364">
        <f>IF($AI1364=1,SUMPRODUCT(--($AL$2:$AL$1501&lt;$AL1364))+1,"")</f>
        <v/>
      </c>
      <c r="AK1364">
        <f>IF($C1364="","",IF(OR($AD1364=TRUE(),$AD1364="TRUE"),0,1))</f>
        <v/>
      </c>
      <c r="AL1364">
        <f>IF($AI1364=1,IFERROR(IF(VALUE($C1364)&lt;100000000,VALUE($C1364),1000000000),IFERROR(IF(VALUE(MID($C1364,2,20))&lt;100000000,VALUE(MID($C1364,2,20)),1000000000),1000000000))+ROW()/100000,"")</f>
        <v/>
      </c>
    </row>
    <row r="1365">
      <c r="J1365" s="7" t="n"/>
      <c r="K1365" s="7" t="n"/>
      <c r="R1365" s="7">
        <f>IF($C1365="","",Q1365*AC1365/100)</f>
        <v/>
      </c>
      <c r="S1365" s="11" t="n"/>
      <c r="U1365" s="11" t="n"/>
      <c r="AA1365" s="7" t="n"/>
      <c r="AC1365" s="7" t="n"/>
      <c r="AE1365">
        <f>IF($C1365="","",IF($AK1365=1,Settings!$C$6,Settings!$C$7)*1)</f>
        <v/>
      </c>
      <c r="AF1365" s="7">
        <f>IF($C1365="","",AE1365*AC1365)</f>
        <v/>
      </c>
      <c r="AG1365" s="7">
        <f>IF($C1365="","",AC1365-AF1365)</f>
        <v/>
      </c>
      <c r="AH1365" s="7">
        <f>IF($C1365="","",AG1365-R1365)</f>
        <v/>
      </c>
      <c r="AI1365">
        <f>IF($C1365="","",IF(COUNTIF($C$2:$C1365,$C1365)=1,1,0))</f>
        <v/>
      </c>
      <c r="AJ1365">
        <f>IF($AI1365=1,SUMPRODUCT(--($AL$2:$AL$1501&lt;$AL1365))+1,"")</f>
        <v/>
      </c>
      <c r="AK1365">
        <f>IF($C1365="","",IF(OR($AD1365=TRUE(),$AD1365="TRUE"),0,1))</f>
        <v/>
      </c>
      <c r="AL1365">
        <f>IF($AI1365=1,IFERROR(IF(VALUE($C1365)&lt;100000000,VALUE($C1365),1000000000),IFERROR(IF(VALUE(MID($C1365,2,20))&lt;100000000,VALUE(MID($C1365,2,20)),1000000000),1000000000))+ROW()/100000,"")</f>
        <v/>
      </c>
    </row>
    <row r="1366">
      <c r="J1366" s="7" t="n"/>
      <c r="K1366" s="7" t="n"/>
      <c r="R1366" s="7">
        <f>IF($C1366="","",Q1366*AC1366/100)</f>
        <v/>
      </c>
      <c r="S1366" s="11" t="n"/>
      <c r="U1366" s="11" t="n"/>
      <c r="AA1366" s="7" t="n"/>
      <c r="AC1366" s="7" t="n"/>
      <c r="AE1366">
        <f>IF($C1366="","",IF($AK1366=1,Settings!$C$6,Settings!$C$7)*1)</f>
        <v/>
      </c>
      <c r="AF1366" s="7">
        <f>IF($C1366="","",AE1366*AC1366)</f>
        <v/>
      </c>
      <c r="AG1366" s="7">
        <f>IF($C1366="","",AC1366-AF1366)</f>
        <v/>
      </c>
      <c r="AH1366" s="7">
        <f>IF($C1366="","",AG1366-R1366)</f>
        <v/>
      </c>
      <c r="AI1366">
        <f>IF($C1366="","",IF(COUNTIF($C$2:$C1366,$C1366)=1,1,0))</f>
        <v/>
      </c>
      <c r="AJ1366">
        <f>IF($AI1366=1,SUMPRODUCT(--($AL$2:$AL$1501&lt;$AL1366))+1,"")</f>
        <v/>
      </c>
      <c r="AK1366">
        <f>IF($C1366="","",IF(OR($AD1366=TRUE(),$AD1366="TRUE"),0,1))</f>
        <v/>
      </c>
      <c r="AL1366">
        <f>IF($AI1366=1,IFERROR(IF(VALUE($C1366)&lt;100000000,VALUE($C1366),1000000000),IFERROR(IF(VALUE(MID($C1366,2,20))&lt;100000000,VALUE(MID($C1366,2,20)),1000000000),1000000000))+ROW()/100000,"")</f>
        <v/>
      </c>
    </row>
    <row r="1367">
      <c r="J1367" s="7" t="n"/>
      <c r="K1367" s="7" t="n"/>
      <c r="R1367" s="7">
        <f>IF($C1367="","",Q1367*AC1367/100)</f>
        <v/>
      </c>
      <c r="S1367" s="11" t="n"/>
      <c r="U1367" s="11" t="n"/>
      <c r="AA1367" s="7" t="n"/>
      <c r="AC1367" s="7" t="n"/>
      <c r="AE1367">
        <f>IF($C1367="","",IF($AK1367=1,Settings!$C$6,Settings!$C$7)*1)</f>
        <v/>
      </c>
      <c r="AF1367" s="7">
        <f>IF($C1367="","",AE1367*AC1367)</f>
        <v/>
      </c>
      <c r="AG1367" s="7">
        <f>IF($C1367="","",AC1367-AF1367)</f>
        <v/>
      </c>
      <c r="AH1367" s="7">
        <f>IF($C1367="","",AG1367-R1367)</f>
        <v/>
      </c>
      <c r="AI1367">
        <f>IF($C1367="","",IF(COUNTIF($C$2:$C1367,$C1367)=1,1,0))</f>
        <v/>
      </c>
      <c r="AJ1367">
        <f>IF($AI1367=1,SUMPRODUCT(--($AL$2:$AL$1501&lt;$AL1367))+1,"")</f>
        <v/>
      </c>
      <c r="AK1367">
        <f>IF($C1367="","",IF(OR($AD1367=TRUE(),$AD1367="TRUE"),0,1))</f>
        <v/>
      </c>
      <c r="AL1367">
        <f>IF($AI1367=1,IFERROR(IF(VALUE($C1367)&lt;100000000,VALUE($C1367),1000000000),IFERROR(IF(VALUE(MID($C1367,2,20))&lt;100000000,VALUE(MID($C1367,2,20)),1000000000),1000000000))+ROW()/100000,"")</f>
        <v/>
      </c>
    </row>
    <row r="1368">
      <c r="J1368" s="7" t="n"/>
      <c r="K1368" s="7" t="n"/>
      <c r="R1368" s="7">
        <f>IF($C1368="","",Q1368*AC1368/100)</f>
        <v/>
      </c>
      <c r="S1368" s="11" t="n"/>
      <c r="U1368" s="11" t="n"/>
      <c r="AA1368" s="7" t="n"/>
      <c r="AC1368" s="7" t="n"/>
      <c r="AE1368">
        <f>IF($C1368="","",IF($AK1368=1,Settings!$C$6,Settings!$C$7)*1)</f>
        <v/>
      </c>
      <c r="AF1368" s="7">
        <f>IF($C1368="","",AE1368*AC1368)</f>
        <v/>
      </c>
      <c r="AG1368" s="7">
        <f>IF($C1368="","",AC1368-AF1368)</f>
        <v/>
      </c>
      <c r="AH1368" s="7">
        <f>IF($C1368="","",AG1368-R1368)</f>
        <v/>
      </c>
      <c r="AI1368">
        <f>IF($C1368="","",IF(COUNTIF($C$2:$C1368,$C1368)=1,1,0))</f>
        <v/>
      </c>
      <c r="AJ1368">
        <f>IF($AI1368=1,SUMPRODUCT(--($AL$2:$AL$1501&lt;$AL1368))+1,"")</f>
        <v/>
      </c>
      <c r="AK1368">
        <f>IF($C1368="","",IF(OR($AD1368=TRUE(),$AD1368="TRUE"),0,1))</f>
        <v/>
      </c>
      <c r="AL1368">
        <f>IF($AI1368=1,IFERROR(IF(VALUE($C1368)&lt;100000000,VALUE($C1368),1000000000),IFERROR(IF(VALUE(MID($C1368,2,20))&lt;100000000,VALUE(MID($C1368,2,20)),1000000000),1000000000))+ROW()/100000,"")</f>
        <v/>
      </c>
    </row>
    <row r="1369">
      <c r="J1369" s="7" t="n"/>
      <c r="K1369" s="7" t="n"/>
      <c r="R1369" s="7">
        <f>IF($C1369="","",Q1369*AC1369/100)</f>
        <v/>
      </c>
      <c r="S1369" s="11" t="n"/>
      <c r="U1369" s="11" t="n"/>
      <c r="AA1369" s="7" t="n"/>
      <c r="AC1369" s="7" t="n"/>
      <c r="AE1369">
        <f>IF($C1369="","",IF($AK1369=1,Settings!$C$6,Settings!$C$7)*1)</f>
        <v/>
      </c>
      <c r="AF1369" s="7">
        <f>IF($C1369="","",AE1369*AC1369)</f>
        <v/>
      </c>
      <c r="AG1369" s="7">
        <f>IF($C1369="","",AC1369-AF1369)</f>
        <v/>
      </c>
      <c r="AH1369" s="7">
        <f>IF($C1369="","",AG1369-R1369)</f>
        <v/>
      </c>
      <c r="AI1369">
        <f>IF($C1369="","",IF(COUNTIF($C$2:$C1369,$C1369)=1,1,0))</f>
        <v/>
      </c>
      <c r="AJ1369">
        <f>IF($AI1369=1,SUMPRODUCT(--($AL$2:$AL$1501&lt;$AL1369))+1,"")</f>
        <v/>
      </c>
      <c r="AK1369">
        <f>IF($C1369="","",IF(OR($AD1369=TRUE(),$AD1369="TRUE"),0,1))</f>
        <v/>
      </c>
      <c r="AL1369">
        <f>IF($AI1369=1,IFERROR(IF(VALUE($C1369)&lt;100000000,VALUE($C1369),1000000000),IFERROR(IF(VALUE(MID($C1369,2,20))&lt;100000000,VALUE(MID($C1369,2,20)),1000000000),1000000000))+ROW()/100000,"")</f>
        <v/>
      </c>
    </row>
    <row r="1370">
      <c r="J1370" s="7" t="n"/>
      <c r="K1370" s="7" t="n"/>
      <c r="R1370" s="7">
        <f>IF($C1370="","",Q1370*AC1370/100)</f>
        <v/>
      </c>
      <c r="S1370" s="11" t="n"/>
      <c r="U1370" s="11" t="n"/>
      <c r="AA1370" s="7" t="n"/>
      <c r="AC1370" s="7" t="n"/>
      <c r="AE1370">
        <f>IF($C1370="","",IF($AK1370=1,Settings!$C$6,Settings!$C$7)*1)</f>
        <v/>
      </c>
      <c r="AF1370" s="7">
        <f>IF($C1370="","",AE1370*AC1370)</f>
        <v/>
      </c>
      <c r="AG1370" s="7">
        <f>IF($C1370="","",AC1370-AF1370)</f>
        <v/>
      </c>
      <c r="AH1370" s="7">
        <f>IF($C1370="","",AG1370-R1370)</f>
        <v/>
      </c>
      <c r="AI1370">
        <f>IF($C1370="","",IF(COUNTIF($C$2:$C1370,$C1370)=1,1,0))</f>
        <v/>
      </c>
      <c r="AJ1370">
        <f>IF($AI1370=1,SUMPRODUCT(--($AL$2:$AL$1501&lt;$AL1370))+1,"")</f>
        <v/>
      </c>
      <c r="AK1370">
        <f>IF($C1370="","",IF(OR($AD1370=TRUE(),$AD1370="TRUE"),0,1))</f>
        <v/>
      </c>
      <c r="AL1370">
        <f>IF($AI1370=1,IFERROR(IF(VALUE($C1370)&lt;100000000,VALUE($C1370),1000000000),IFERROR(IF(VALUE(MID($C1370,2,20))&lt;100000000,VALUE(MID($C1370,2,20)),1000000000),1000000000))+ROW()/100000,"")</f>
        <v/>
      </c>
    </row>
    <row r="1371">
      <c r="J1371" s="7" t="n"/>
      <c r="K1371" s="7" t="n"/>
      <c r="R1371" s="7">
        <f>IF($C1371="","",Q1371*AC1371/100)</f>
        <v/>
      </c>
      <c r="S1371" s="11" t="n"/>
      <c r="U1371" s="11" t="n"/>
      <c r="AA1371" s="7" t="n"/>
      <c r="AC1371" s="7" t="n"/>
      <c r="AE1371">
        <f>IF($C1371="","",IF($AK1371=1,Settings!$C$6,Settings!$C$7)*1)</f>
        <v/>
      </c>
      <c r="AF1371" s="7">
        <f>IF($C1371="","",AE1371*AC1371)</f>
        <v/>
      </c>
      <c r="AG1371" s="7">
        <f>IF($C1371="","",AC1371-AF1371)</f>
        <v/>
      </c>
      <c r="AH1371" s="7">
        <f>IF($C1371="","",AG1371-R1371)</f>
        <v/>
      </c>
      <c r="AI1371">
        <f>IF($C1371="","",IF(COUNTIF($C$2:$C1371,$C1371)=1,1,0))</f>
        <v/>
      </c>
      <c r="AJ1371">
        <f>IF($AI1371=1,SUMPRODUCT(--($AL$2:$AL$1501&lt;$AL1371))+1,"")</f>
        <v/>
      </c>
      <c r="AK1371">
        <f>IF($C1371="","",IF(OR($AD1371=TRUE(),$AD1371="TRUE"),0,1))</f>
        <v/>
      </c>
      <c r="AL1371">
        <f>IF($AI1371=1,IFERROR(IF(VALUE($C1371)&lt;100000000,VALUE($C1371),1000000000),IFERROR(IF(VALUE(MID($C1371,2,20))&lt;100000000,VALUE(MID($C1371,2,20)),1000000000),1000000000))+ROW()/100000,"")</f>
        <v/>
      </c>
    </row>
    <row r="1372">
      <c r="J1372" s="7" t="n"/>
      <c r="K1372" s="7" t="n"/>
      <c r="R1372" s="7">
        <f>IF($C1372="","",Q1372*AC1372/100)</f>
        <v/>
      </c>
      <c r="S1372" s="11" t="n"/>
      <c r="U1372" s="11" t="n"/>
      <c r="AA1372" s="7" t="n"/>
      <c r="AC1372" s="7" t="n"/>
      <c r="AE1372">
        <f>IF($C1372="","",IF($AK1372=1,Settings!$C$6,Settings!$C$7)*1)</f>
        <v/>
      </c>
      <c r="AF1372" s="7">
        <f>IF($C1372="","",AE1372*AC1372)</f>
        <v/>
      </c>
      <c r="AG1372" s="7">
        <f>IF($C1372="","",AC1372-AF1372)</f>
        <v/>
      </c>
      <c r="AH1372" s="7">
        <f>IF($C1372="","",AG1372-R1372)</f>
        <v/>
      </c>
      <c r="AI1372">
        <f>IF($C1372="","",IF(COUNTIF($C$2:$C1372,$C1372)=1,1,0))</f>
        <v/>
      </c>
      <c r="AJ1372">
        <f>IF($AI1372=1,SUMPRODUCT(--($AL$2:$AL$1501&lt;$AL1372))+1,"")</f>
        <v/>
      </c>
      <c r="AK1372">
        <f>IF($C1372="","",IF(OR($AD1372=TRUE(),$AD1372="TRUE"),0,1))</f>
        <v/>
      </c>
      <c r="AL1372">
        <f>IF($AI1372=1,IFERROR(IF(VALUE($C1372)&lt;100000000,VALUE($C1372),1000000000),IFERROR(IF(VALUE(MID($C1372,2,20))&lt;100000000,VALUE(MID($C1372,2,20)),1000000000),1000000000))+ROW()/100000,"")</f>
        <v/>
      </c>
    </row>
    <row r="1373">
      <c r="J1373" s="7" t="n"/>
      <c r="K1373" s="7" t="n"/>
      <c r="R1373" s="7">
        <f>IF($C1373="","",Q1373*AC1373/100)</f>
        <v/>
      </c>
      <c r="S1373" s="11" t="n"/>
      <c r="U1373" s="11" t="n"/>
      <c r="AA1373" s="7" t="n"/>
      <c r="AC1373" s="7" t="n"/>
      <c r="AE1373">
        <f>IF($C1373="","",IF($AK1373=1,Settings!$C$6,Settings!$C$7)*1)</f>
        <v/>
      </c>
      <c r="AF1373" s="7">
        <f>IF($C1373="","",AE1373*AC1373)</f>
        <v/>
      </c>
      <c r="AG1373" s="7">
        <f>IF($C1373="","",AC1373-AF1373)</f>
        <v/>
      </c>
      <c r="AH1373" s="7">
        <f>IF($C1373="","",AG1373-R1373)</f>
        <v/>
      </c>
      <c r="AI1373">
        <f>IF($C1373="","",IF(COUNTIF($C$2:$C1373,$C1373)=1,1,0))</f>
        <v/>
      </c>
      <c r="AJ1373">
        <f>IF($AI1373=1,SUMPRODUCT(--($AL$2:$AL$1501&lt;$AL1373))+1,"")</f>
        <v/>
      </c>
      <c r="AK1373">
        <f>IF($C1373="","",IF(OR($AD1373=TRUE(),$AD1373="TRUE"),0,1))</f>
        <v/>
      </c>
      <c r="AL1373">
        <f>IF($AI1373=1,IFERROR(IF(VALUE($C1373)&lt;100000000,VALUE($C1373),1000000000),IFERROR(IF(VALUE(MID($C1373,2,20))&lt;100000000,VALUE(MID($C1373,2,20)),1000000000),1000000000))+ROW()/100000,"")</f>
        <v/>
      </c>
    </row>
    <row r="1374">
      <c r="J1374" s="7" t="n"/>
      <c r="K1374" s="7" t="n"/>
      <c r="R1374" s="7">
        <f>IF($C1374="","",Q1374*AC1374/100)</f>
        <v/>
      </c>
      <c r="S1374" s="11" t="n"/>
      <c r="U1374" s="11" t="n"/>
      <c r="AA1374" s="7" t="n"/>
      <c r="AC1374" s="7" t="n"/>
      <c r="AE1374">
        <f>IF($C1374="","",IF($AK1374=1,Settings!$C$6,Settings!$C$7)*1)</f>
        <v/>
      </c>
      <c r="AF1374" s="7">
        <f>IF($C1374="","",AE1374*AC1374)</f>
        <v/>
      </c>
      <c r="AG1374" s="7">
        <f>IF($C1374="","",AC1374-AF1374)</f>
        <v/>
      </c>
      <c r="AH1374" s="7">
        <f>IF($C1374="","",AG1374-R1374)</f>
        <v/>
      </c>
      <c r="AI1374">
        <f>IF($C1374="","",IF(COUNTIF($C$2:$C1374,$C1374)=1,1,0))</f>
        <v/>
      </c>
      <c r="AJ1374">
        <f>IF($AI1374=1,SUMPRODUCT(--($AL$2:$AL$1501&lt;$AL1374))+1,"")</f>
        <v/>
      </c>
      <c r="AK1374">
        <f>IF($C1374="","",IF(OR($AD1374=TRUE(),$AD1374="TRUE"),0,1))</f>
        <v/>
      </c>
      <c r="AL1374">
        <f>IF($AI1374=1,IFERROR(IF(VALUE($C1374)&lt;100000000,VALUE($C1374),1000000000),IFERROR(IF(VALUE(MID($C1374,2,20))&lt;100000000,VALUE(MID($C1374,2,20)),1000000000),1000000000))+ROW()/100000,"")</f>
        <v/>
      </c>
    </row>
    <row r="1375">
      <c r="J1375" s="7" t="n"/>
      <c r="K1375" s="7" t="n"/>
      <c r="R1375" s="7">
        <f>IF($C1375="","",Q1375*AC1375/100)</f>
        <v/>
      </c>
      <c r="S1375" s="11" t="n"/>
      <c r="U1375" s="11" t="n"/>
      <c r="AA1375" s="7" t="n"/>
      <c r="AC1375" s="7" t="n"/>
      <c r="AE1375">
        <f>IF($C1375="","",IF($AK1375=1,Settings!$C$6,Settings!$C$7)*1)</f>
        <v/>
      </c>
      <c r="AF1375" s="7">
        <f>IF($C1375="","",AE1375*AC1375)</f>
        <v/>
      </c>
      <c r="AG1375" s="7">
        <f>IF($C1375="","",AC1375-AF1375)</f>
        <v/>
      </c>
      <c r="AH1375" s="7">
        <f>IF($C1375="","",AG1375-R1375)</f>
        <v/>
      </c>
      <c r="AI1375">
        <f>IF($C1375="","",IF(COUNTIF($C$2:$C1375,$C1375)=1,1,0))</f>
        <v/>
      </c>
      <c r="AJ1375">
        <f>IF($AI1375=1,SUMPRODUCT(--($AL$2:$AL$1501&lt;$AL1375))+1,"")</f>
        <v/>
      </c>
      <c r="AK1375">
        <f>IF($C1375="","",IF(OR($AD1375=TRUE(),$AD1375="TRUE"),0,1))</f>
        <v/>
      </c>
      <c r="AL1375">
        <f>IF($AI1375=1,IFERROR(IF(VALUE($C1375)&lt;100000000,VALUE($C1375),1000000000),IFERROR(IF(VALUE(MID($C1375,2,20))&lt;100000000,VALUE(MID($C1375,2,20)),1000000000),1000000000))+ROW()/100000,"")</f>
        <v/>
      </c>
    </row>
    <row r="1376">
      <c r="J1376" s="7" t="n"/>
      <c r="K1376" s="7" t="n"/>
      <c r="R1376" s="7">
        <f>IF($C1376="","",Q1376*AC1376/100)</f>
        <v/>
      </c>
      <c r="S1376" s="11" t="n"/>
      <c r="U1376" s="11" t="n"/>
      <c r="AA1376" s="7" t="n"/>
      <c r="AC1376" s="7" t="n"/>
      <c r="AE1376">
        <f>IF($C1376="","",IF($AK1376=1,Settings!$C$6,Settings!$C$7)*1)</f>
        <v/>
      </c>
      <c r="AF1376" s="7">
        <f>IF($C1376="","",AE1376*AC1376)</f>
        <v/>
      </c>
      <c r="AG1376" s="7">
        <f>IF($C1376="","",AC1376-AF1376)</f>
        <v/>
      </c>
      <c r="AH1376" s="7">
        <f>IF($C1376="","",AG1376-R1376)</f>
        <v/>
      </c>
      <c r="AI1376">
        <f>IF($C1376="","",IF(COUNTIF($C$2:$C1376,$C1376)=1,1,0))</f>
        <v/>
      </c>
      <c r="AJ1376">
        <f>IF($AI1376=1,SUMPRODUCT(--($AL$2:$AL$1501&lt;$AL1376))+1,"")</f>
        <v/>
      </c>
      <c r="AK1376">
        <f>IF($C1376="","",IF(OR($AD1376=TRUE(),$AD1376="TRUE"),0,1))</f>
        <v/>
      </c>
      <c r="AL1376">
        <f>IF($AI1376=1,IFERROR(IF(VALUE($C1376)&lt;100000000,VALUE($C1376),1000000000),IFERROR(IF(VALUE(MID($C1376,2,20))&lt;100000000,VALUE(MID($C1376,2,20)),1000000000),1000000000))+ROW()/100000,"")</f>
        <v/>
      </c>
    </row>
    <row r="1377">
      <c r="J1377" s="7" t="n"/>
      <c r="K1377" s="7" t="n"/>
      <c r="R1377" s="7">
        <f>IF($C1377="","",Q1377*AC1377/100)</f>
        <v/>
      </c>
      <c r="S1377" s="11" t="n"/>
      <c r="U1377" s="11" t="n"/>
      <c r="AA1377" s="7" t="n"/>
      <c r="AC1377" s="7" t="n"/>
      <c r="AE1377">
        <f>IF($C1377="","",IF($AK1377=1,Settings!$C$6,Settings!$C$7)*1)</f>
        <v/>
      </c>
      <c r="AF1377" s="7">
        <f>IF($C1377="","",AE1377*AC1377)</f>
        <v/>
      </c>
      <c r="AG1377" s="7">
        <f>IF($C1377="","",AC1377-AF1377)</f>
        <v/>
      </c>
      <c r="AH1377" s="7">
        <f>IF($C1377="","",AG1377-R1377)</f>
        <v/>
      </c>
      <c r="AI1377">
        <f>IF($C1377="","",IF(COUNTIF($C$2:$C1377,$C1377)=1,1,0))</f>
        <v/>
      </c>
      <c r="AJ1377">
        <f>IF($AI1377=1,SUMPRODUCT(--($AL$2:$AL$1501&lt;$AL1377))+1,"")</f>
        <v/>
      </c>
      <c r="AK1377">
        <f>IF($C1377="","",IF(OR($AD1377=TRUE(),$AD1377="TRUE"),0,1))</f>
        <v/>
      </c>
      <c r="AL1377">
        <f>IF($AI1377=1,IFERROR(IF(VALUE($C1377)&lt;100000000,VALUE($C1377),1000000000),IFERROR(IF(VALUE(MID($C1377,2,20))&lt;100000000,VALUE(MID($C1377,2,20)),1000000000),1000000000))+ROW()/100000,"")</f>
        <v/>
      </c>
    </row>
    <row r="1378">
      <c r="J1378" s="7" t="n"/>
      <c r="K1378" s="7" t="n"/>
      <c r="R1378" s="7">
        <f>IF($C1378="","",Q1378*AC1378/100)</f>
        <v/>
      </c>
      <c r="S1378" s="11" t="n"/>
      <c r="U1378" s="11" t="n"/>
      <c r="AA1378" s="7" t="n"/>
      <c r="AC1378" s="7" t="n"/>
      <c r="AE1378">
        <f>IF($C1378="","",IF($AK1378=1,Settings!$C$6,Settings!$C$7)*1)</f>
        <v/>
      </c>
      <c r="AF1378" s="7">
        <f>IF($C1378="","",AE1378*AC1378)</f>
        <v/>
      </c>
      <c r="AG1378" s="7">
        <f>IF($C1378="","",AC1378-AF1378)</f>
        <v/>
      </c>
      <c r="AH1378" s="7">
        <f>IF($C1378="","",AG1378-R1378)</f>
        <v/>
      </c>
      <c r="AI1378">
        <f>IF($C1378="","",IF(COUNTIF($C$2:$C1378,$C1378)=1,1,0))</f>
        <v/>
      </c>
      <c r="AJ1378">
        <f>IF($AI1378=1,SUMPRODUCT(--($AL$2:$AL$1501&lt;$AL1378))+1,"")</f>
        <v/>
      </c>
      <c r="AK1378">
        <f>IF($C1378="","",IF(OR($AD1378=TRUE(),$AD1378="TRUE"),0,1))</f>
        <v/>
      </c>
      <c r="AL1378">
        <f>IF($AI1378=1,IFERROR(IF(VALUE($C1378)&lt;100000000,VALUE($C1378),1000000000),IFERROR(IF(VALUE(MID($C1378,2,20))&lt;100000000,VALUE(MID($C1378,2,20)),1000000000),1000000000))+ROW()/100000,"")</f>
        <v/>
      </c>
    </row>
    <row r="1379">
      <c r="J1379" s="7" t="n"/>
      <c r="K1379" s="7" t="n"/>
      <c r="R1379" s="7">
        <f>IF($C1379="","",Q1379*AC1379/100)</f>
        <v/>
      </c>
      <c r="S1379" s="11" t="n"/>
      <c r="U1379" s="11" t="n"/>
      <c r="AA1379" s="7" t="n"/>
      <c r="AC1379" s="7" t="n"/>
      <c r="AE1379">
        <f>IF($C1379="","",IF($AK1379=1,Settings!$C$6,Settings!$C$7)*1)</f>
        <v/>
      </c>
      <c r="AF1379" s="7">
        <f>IF($C1379="","",AE1379*AC1379)</f>
        <v/>
      </c>
      <c r="AG1379" s="7">
        <f>IF($C1379="","",AC1379-AF1379)</f>
        <v/>
      </c>
      <c r="AH1379" s="7">
        <f>IF($C1379="","",AG1379-R1379)</f>
        <v/>
      </c>
      <c r="AI1379">
        <f>IF($C1379="","",IF(COUNTIF($C$2:$C1379,$C1379)=1,1,0))</f>
        <v/>
      </c>
      <c r="AJ1379">
        <f>IF($AI1379=1,SUMPRODUCT(--($AL$2:$AL$1501&lt;$AL1379))+1,"")</f>
        <v/>
      </c>
      <c r="AK1379">
        <f>IF($C1379="","",IF(OR($AD1379=TRUE(),$AD1379="TRUE"),0,1))</f>
        <v/>
      </c>
      <c r="AL1379">
        <f>IF($AI1379=1,IFERROR(IF(VALUE($C1379)&lt;100000000,VALUE($C1379),1000000000),IFERROR(IF(VALUE(MID($C1379,2,20))&lt;100000000,VALUE(MID($C1379,2,20)),1000000000),1000000000))+ROW()/100000,"")</f>
        <v/>
      </c>
    </row>
    <row r="1380">
      <c r="J1380" s="7" t="n"/>
      <c r="K1380" s="7" t="n"/>
      <c r="R1380" s="7">
        <f>IF($C1380="","",Q1380*AC1380/100)</f>
        <v/>
      </c>
      <c r="S1380" s="11" t="n"/>
      <c r="U1380" s="11" t="n"/>
      <c r="AA1380" s="7" t="n"/>
      <c r="AC1380" s="7" t="n"/>
      <c r="AE1380">
        <f>IF($C1380="","",IF($AK1380=1,Settings!$C$6,Settings!$C$7)*1)</f>
        <v/>
      </c>
      <c r="AF1380" s="7">
        <f>IF($C1380="","",AE1380*AC1380)</f>
        <v/>
      </c>
      <c r="AG1380" s="7">
        <f>IF($C1380="","",AC1380-AF1380)</f>
        <v/>
      </c>
      <c r="AH1380" s="7">
        <f>IF($C1380="","",AG1380-R1380)</f>
        <v/>
      </c>
      <c r="AI1380">
        <f>IF($C1380="","",IF(COUNTIF($C$2:$C1380,$C1380)=1,1,0))</f>
        <v/>
      </c>
      <c r="AJ1380">
        <f>IF($AI1380=1,SUMPRODUCT(--($AL$2:$AL$1501&lt;$AL1380))+1,"")</f>
        <v/>
      </c>
      <c r="AK1380">
        <f>IF($C1380="","",IF(OR($AD1380=TRUE(),$AD1380="TRUE"),0,1))</f>
        <v/>
      </c>
      <c r="AL1380">
        <f>IF($AI1380=1,IFERROR(IF(VALUE($C1380)&lt;100000000,VALUE($C1380),1000000000),IFERROR(IF(VALUE(MID($C1380,2,20))&lt;100000000,VALUE(MID($C1380,2,20)),1000000000),1000000000))+ROW()/100000,"")</f>
        <v/>
      </c>
    </row>
    <row r="1381">
      <c r="J1381" s="7" t="n"/>
      <c r="K1381" s="7" t="n"/>
      <c r="R1381" s="7">
        <f>IF($C1381="","",Q1381*AC1381/100)</f>
        <v/>
      </c>
      <c r="S1381" s="11" t="n"/>
      <c r="U1381" s="11" t="n"/>
      <c r="AA1381" s="7" t="n"/>
      <c r="AC1381" s="7" t="n"/>
      <c r="AE1381">
        <f>IF($C1381="","",IF($AK1381=1,Settings!$C$6,Settings!$C$7)*1)</f>
        <v/>
      </c>
      <c r="AF1381" s="7">
        <f>IF($C1381="","",AE1381*AC1381)</f>
        <v/>
      </c>
      <c r="AG1381" s="7">
        <f>IF($C1381="","",AC1381-AF1381)</f>
        <v/>
      </c>
      <c r="AH1381" s="7">
        <f>IF($C1381="","",AG1381-R1381)</f>
        <v/>
      </c>
      <c r="AI1381">
        <f>IF($C1381="","",IF(COUNTIF($C$2:$C1381,$C1381)=1,1,0))</f>
        <v/>
      </c>
      <c r="AJ1381">
        <f>IF($AI1381=1,SUMPRODUCT(--($AL$2:$AL$1501&lt;$AL1381))+1,"")</f>
        <v/>
      </c>
      <c r="AK1381">
        <f>IF($C1381="","",IF(OR($AD1381=TRUE(),$AD1381="TRUE"),0,1))</f>
        <v/>
      </c>
      <c r="AL1381">
        <f>IF($AI1381=1,IFERROR(IF(VALUE($C1381)&lt;100000000,VALUE($C1381),1000000000),IFERROR(IF(VALUE(MID($C1381,2,20))&lt;100000000,VALUE(MID($C1381,2,20)),1000000000),1000000000))+ROW()/100000,"")</f>
        <v/>
      </c>
    </row>
    <row r="1382">
      <c r="J1382" s="7" t="n"/>
      <c r="K1382" s="7" t="n"/>
      <c r="R1382" s="7">
        <f>IF($C1382="","",Q1382*AC1382/100)</f>
        <v/>
      </c>
      <c r="S1382" s="11" t="n"/>
      <c r="U1382" s="11" t="n"/>
      <c r="AA1382" s="7" t="n"/>
      <c r="AC1382" s="7" t="n"/>
      <c r="AE1382">
        <f>IF($C1382="","",IF($AK1382=1,Settings!$C$6,Settings!$C$7)*1)</f>
        <v/>
      </c>
      <c r="AF1382" s="7">
        <f>IF($C1382="","",AE1382*AC1382)</f>
        <v/>
      </c>
      <c r="AG1382" s="7">
        <f>IF($C1382="","",AC1382-AF1382)</f>
        <v/>
      </c>
      <c r="AH1382" s="7">
        <f>IF($C1382="","",AG1382-R1382)</f>
        <v/>
      </c>
      <c r="AI1382">
        <f>IF($C1382="","",IF(COUNTIF($C$2:$C1382,$C1382)=1,1,0))</f>
        <v/>
      </c>
      <c r="AJ1382">
        <f>IF($AI1382=1,SUMPRODUCT(--($AL$2:$AL$1501&lt;$AL1382))+1,"")</f>
        <v/>
      </c>
      <c r="AK1382">
        <f>IF($C1382="","",IF(OR($AD1382=TRUE(),$AD1382="TRUE"),0,1))</f>
        <v/>
      </c>
      <c r="AL1382">
        <f>IF($AI1382=1,IFERROR(IF(VALUE($C1382)&lt;100000000,VALUE($C1382),1000000000),IFERROR(IF(VALUE(MID($C1382,2,20))&lt;100000000,VALUE(MID($C1382,2,20)),1000000000),1000000000))+ROW()/100000,"")</f>
        <v/>
      </c>
    </row>
    <row r="1383">
      <c r="J1383" s="7" t="n"/>
      <c r="K1383" s="7" t="n"/>
      <c r="R1383" s="7">
        <f>IF($C1383="","",Q1383*AC1383/100)</f>
        <v/>
      </c>
      <c r="S1383" s="11" t="n"/>
      <c r="U1383" s="11" t="n"/>
      <c r="AA1383" s="7" t="n"/>
      <c r="AC1383" s="7" t="n"/>
      <c r="AE1383">
        <f>IF($C1383="","",IF($AK1383=1,Settings!$C$6,Settings!$C$7)*1)</f>
        <v/>
      </c>
      <c r="AF1383" s="7">
        <f>IF($C1383="","",AE1383*AC1383)</f>
        <v/>
      </c>
      <c r="AG1383" s="7">
        <f>IF($C1383="","",AC1383-AF1383)</f>
        <v/>
      </c>
      <c r="AH1383" s="7">
        <f>IF($C1383="","",AG1383-R1383)</f>
        <v/>
      </c>
      <c r="AI1383">
        <f>IF($C1383="","",IF(COUNTIF($C$2:$C1383,$C1383)=1,1,0))</f>
        <v/>
      </c>
      <c r="AJ1383">
        <f>IF($AI1383=1,SUMPRODUCT(--($AL$2:$AL$1501&lt;$AL1383))+1,"")</f>
        <v/>
      </c>
      <c r="AK1383">
        <f>IF($C1383="","",IF(OR($AD1383=TRUE(),$AD1383="TRUE"),0,1))</f>
        <v/>
      </c>
      <c r="AL1383">
        <f>IF($AI1383=1,IFERROR(IF(VALUE($C1383)&lt;100000000,VALUE($C1383),1000000000),IFERROR(IF(VALUE(MID($C1383,2,20))&lt;100000000,VALUE(MID($C1383,2,20)),1000000000),1000000000))+ROW()/100000,"")</f>
        <v/>
      </c>
    </row>
    <row r="1384">
      <c r="J1384" s="7" t="n"/>
      <c r="K1384" s="7" t="n"/>
      <c r="R1384" s="7">
        <f>IF($C1384="","",Q1384*AC1384/100)</f>
        <v/>
      </c>
      <c r="S1384" s="11" t="n"/>
      <c r="U1384" s="11" t="n"/>
      <c r="AA1384" s="7" t="n"/>
      <c r="AC1384" s="7" t="n"/>
      <c r="AE1384">
        <f>IF($C1384="","",IF($AK1384=1,Settings!$C$6,Settings!$C$7)*1)</f>
        <v/>
      </c>
      <c r="AF1384" s="7">
        <f>IF($C1384="","",AE1384*AC1384)</f>
        <v/>
      </c>
      <c r="AG1384" s="7">
        <f>IF($C1384="","",AC1384-AF1384)</f>
        <v/>
      </c>
      <c r="AH1384" s="7">
        <f>IF($C1384="","",AG1384-R1384)</f>
        <v/>
      </c>
      <c r="AI1384">
        <f>IF($C1384="","",IF(COUNTIF($C$2:$C1384,$C1384)=1,1,0))</f>
        <v/>
      </c>
      <c r="AJ1384">
        <f>IF($AI1384=1,SUMPRODUCT(--($AL$2:$AL$1501&lt;$AL1384))+1,"")</f>
        <v/>
      </c>
      <c r="AK1384">
        <f>IF($C1384="","",IF(OR($AD1384=TRUE(),$AD1384="TRUE"),0,1))</f>
        <v/>
      </c>
      <c r="AL1384">
        <f>IF($AI1384=1,IFERROR(IF(VALUE($C1384)&lt;100000000,VALUE($C1384),1000000000),IFERROR(IF(VALUE(MID($C1384,2,20))&lt;100000000,VALUE(MID($C1384,2,20)),1000000000),1000000000))+ROW()/100000,"")</f>
        <v/>
      </c>
    </row>
    <row r="1385">
      <c r="J1385" s="7" t="n"/>
      <c r="K1385" s="7" t="n"/>
      <c r="R1385" s="7">
        <f>IF($C1385="","",Q1385*AC1385/100)</f>
        <v/>
      </c>
      <c r="S1385" s="11" t="n"/>
      <c r="U1385" s="11" t="n"/>
      <c r="AA1385" s="7" t="n"/>
      <c r="AC1385" s="7" t="n"/>
      <c r="AE1385">
        <f>IF($C1385="","",IF($AK1385=1,Settings!$C$6,Settings!$C$7)*1)</f>
        <v/>
      </c>
      <c r="AF1385" s="7">
        <f>IF($C1385="","",AE1385*AC1385)</f>
        <v/>
      </c>
      <c r="AG1385" s="7">
        <f>IF($C1385="","",AC1385-AF1385)</f>
        <v/>
      </c>
      <c r="AH1385" s="7">
        <f>IF($C1385="","",AG1385-R1385)</f>
        <v/>
      </c>
      <c r="AI1385">
        <f>IF($C1385="","",IF(COUNTIF($C$2:$C1385,$C1385)=1,1,0))</f>
        <v/>
      </c>
      <c r="AJ1385">
        <f>IF($AI1385=1,SUMPRODUCT(--($AL$2:$AL$1501&lt;$AL1385))+1,"")</f>
        <v/>
      </c>
      <c r="AK1385">
        <f>IF($C1385="","",IF(OR($AD1385=TRUE(),$AD1385="TRUE"),0,1))</f>
        <v/>
      </c>
      <c r="AL1385">
        <f>IF($AI1385=1,IFERROR(IF(VALUE($C1385)&lt;100000000,VALUE($C1385),1000000000),IFERROR(IF(VALUE(MID($C1385,2,20))&lt;100000000,VALUE(MID($C1385,2,20)),1000000000),1000000000))+ROW()/100000,"")</f>
        <v/>
      </c>
    </row>
    <row r="1386">
      <c r="J1386" s="7" t="n"/>
      <c r="K1386" s="7" t="n"/>
      <c r="R1386" s="7">
        <f>IF($C1386="","",Q1386*AC1386/100)</f>
        <v/>
      </c>
      <c r="S1386" s="11" t="n"/>
      <c r="U1386" s="11" t="n"/>
      <c r="AA1386" s="7" t="n"/>
      <c r="AC1386" s="7" t="n"/>
      <c r="AE1386">
        <f>IF($C1386="","",IF($AK1386=1,Settings!$C$6,Settings!$C$7)*1)</f>
        <v/>
      </c>
      <c r="AF1386" s="7">
        <f>IF($C1386="","",AE1386*AC1386)</f>
        <v/>
      </c>
      <c r="AG1386" s="7">
        <f>IF($C1386="","",AC1386-AF1386)</f>
        <v/>
      </c>
      <c r="AH1386" s="7">
        <f>IF($C1386="","",AG1386-R1386)</f>
        <v/>
      </c>
      <c r="AI1386">
        <f>IF($C1386="","",IF(COUNTIF($C$2:$C1386,$C1386)=1,1,0))</f>
        <v/>
      </c>
      <c r="AJ1386">
        <f>IF($AI1386=1,SUMPRODUCT(--($AL$2:$AL$1501&lt;$AL1386))+1,"")</f>
        <v/>
      </c>
      <c r="AK1386">
        <f>IF($C1386="","",IF(OR($AD1386=TRUE(),$AD1386="TRUE"),0,1))</f>
        <v/>
      </c>
      <c r="AL1386">
        <f>IF($AI1386=1,IFERROR(IF(VALUE($C1386)&lt;100000000,VALUE($C1386),1000000000),IFERROR(IF(VALUE(MID($C1386,2,20))&lt;100000000,VALUE(MID($C1386,2,20)),1000000000),1000000000))+ROW()/100000,"")</f>
        <v/>
      </c>
    </row>
    <row r="1387">
      <c r="J1387" s="7" t="n"/>
      <c r="K1387" s="7" t="n"/>
      <c r="R1387" s="7">
        <f>IF($C1387="","",Q1387*AC1387/100)</f>
        <v/>
      </c>
      <c r="S1387" s="11" t="n"/>
      <c r="U1387" s="11" t="n"/>
      <c r="AA1387" s="7" t="n"/>
      <c r="AC1387" s="7" t="n"/>
      <c r="AE1387">
        <f>IF($C1387="","",IF($AK1387=1,Settings!$C$6,Settings!$C$7)*1)</f>
        <v/>
      </c>
      <c r="AF1387" s="7">
        <f>IF($C1387="","",AE1387*AC1387)</f>
        <v/>
      </c>
      <c r="AG1387" s="7">
        <f>IF($C1387="","",AC1387-AF1387)</f>
        <v/>
      </c>
      <c r="AH1387" s="7">
        <f>IF($C1387="","",AG1387-R1387)</f>
        <v/>
      </c>
      <c r="AI1387">
        <f>IF($C1387="","",IF(COUNTIF($C$2:$C1387,$C1387)=1,1,0))</f>
        <v/>
      </c>
      <c r="AJ1387">
        <f>IF($AI1387=1,SUMPRODUCT(--($AL$2:$AL$1501&lt;$AL1387))+1,"")</f>
        <v/>
      </c>
      <c r="AK1387">
        <f>IF($C1387="","",IF(OR($AD1387=TRUE(),$AD1387="TRUE"),0,1))</f>
        <v/>
      </c>
      <c r="AL1387">
        <f>IF($AI1387=1,IFERROR(IF(VALUE($C1387)&lt;100000000,VALUE($C1387),1000000000),IFERROR(IF(VALUE(MID($C1387,2,20))&lt;100000000,VALUE(MID($C1387,2,20)),1000000000),1000000000))+ROW()/100000,"")</f>
        <v/>
      </c>
    </row>
    <row r="1388">
      <c r="J1388" s="7" t="n"/>
      <c r="K1388" s="7" t="n"/>
      <c r="R1388" s="7">
        <f>IF($C1388="","",Q1388*AC1388/100)</f>
        <v/>
      </c>
      <c r="S1388" s="11" t="n"/>
      <c r="U1388" s="11" t="n"/>
      <c r="AA1388" s="7" t="n"/>
      <c r="AC1388" s="7" t="n"/>
      <c r="AE1388">
        <f>IF($C1388="","",IF($AK1388=1,Settings!$C$6,Settings!$C$7)*1)</f>
        <v/>
      </c>
      <c r="AF1388" s="7">
        <f>IF($C1388="","",AE1388*AC1388)</f>
        <v/>
      </c>
      <c r="AG1388" s="7">
        <f>IF($C1388="","",AC1388-AF1388)</f>
        <v/>
      </c>
      <c r="AH1388" s="7">
        <f>IF($C1388="","",AG1388-R1388)</f>
        <v/>
      </c>
      <c r="AI1388">
        <f>IF($C1388="","",IF(COUNTIF($C$2:$C1388,$C1388)=1,1,0))</f>
        <v/>
      </c>
      <c r="AJ1388">
        <f>IF($AI1388=1,SUMPRODUCT(--($AL$2:$AL$1501&lt;$AL1388))+1,"")</f>
        <v/>
      </c>
      <c r="AK1388">
        <f>IF($C1388="","",IF(OR($AD1388=TRUE(),$AD1388="TRUE"),0,1))</f>
        <v/>
      </c>
      <c r="AL1388">
        <f>IF($AI1388=1,IFERROR(IF(VALUE($C1388)&lt;100000000,VALUE($C1388),1000000000),IFERROR(IF(VALUE(MID($C1388,2,20))&lt;100000000,VALUE(MID($C1388,2,20)),1000000000),1000000000))+ROW()/100000,"")</f>
        <v/>
      </c>
    </row>
    <row r="1389">
      <c r="J1389" s="7" t="n"/>
      <c r="K1389" s="7" t="n"/>
      <c r="R1389" s="7">
        <f>IF($C1389="","",Q1389*AC1389/100)</f>
        <v/>
      </c>
      <c r="S1389" s="11" t="n"/>
      <c r="U1389" s="11" t="n"/>
      <c r="AA1389" s="7" t="n"/>
      <c r="AC1389" s="7" t="n"/>
      <c r="AE1389">
        <f>IF($C1389="","",IF($AK1389=1,Settings!$C$6,Settings!$C$7)*1)</f>
        <v/>
      </c>
      <c r="AF1389" s="7">
        <f>IF($C1389="","",AE1389*AC1389)</f>
        <v/>
      </c>
      <c r="AG1389" s="7">
        <f>IF($C1389="","",AC1389-AF1389)</f>
        <v/>
      </c>
      <c r="AH1389" s="7">
        <f>IF($C1389="","",AG1389-R1389)</f>
        <v/>
      </c>
      <c r="AI1389">
        <f>IF($C1389="","",IF(COUNTIF($C$2:$C1389,$C1389)=1,1,0))</f>
        <v/>
      </c>
      <c r="AJ1389">
        <f>IF($AI1389=1,SUMPRODUCT(--($AL$2:$AL$1501&lt;$AL1389))+1,"")</f>
        <v/>
      </c>
      <c r="AK1389">
        <f>IF($C1389="","",IF(OR($AD1389=TRUE(),$AD1389="TRUE"),0,1))</f>
        <v/>
      </c>
      <c r="AL1389">
        <f>IF($AI1389=1,IFERROR(IF(VALUE($C1389)&lt;100000000,VALUE($C1389),1000000000),IFERROR(IF(VALUE(MID($C1389,2,20))&lt;100000000,VALUE(MID($C1389,2,20)),1000000000),1000000000))+ROW()/100000,"")</f>
        <v/>
      </c>
    </row>
    <row r="1390">
      <c r="J1390" s="7" t="n"/>
      <c r="K1390" s="7" t="n"/>
      <c r="R1390" s="7">
        <f>IF($C1390="","",Q1390*AC1390/100)</f>
        <v/>
      </c>
      <c r="S1390" s="11" t="n"/>
      <c r="U1390" s="11" t="n"/>
      <c r="AA1390" s="7" t="n"/>
      <c r="AC1390" s="7" t="n"/>
      <c r="AE1390">
        <f>IF($C1390="","",IF($AK1390=1,Settings!$C$6,Settings!$C$7)*1)</f>
        <v/>
      </c>
      <c r="AF1390" s="7">
        <f>IF($C1390="","",AE1390*AC1390)</f>
        <v/>
      </c>
      <c r="AG1390" s="7">
        <f>IF($C1390="","",AC1390-AF1390)</f>
        <v/>
      </c>
      <c r="AH1390" s="7">
        <f>IF($C1390="","",AG1390-R1390)</f>
        <v/>
      </c>
      <c r="AI1390">
        <f>IF($C1390="","",IF(COUNTIF($C$2:$C1390,$C1390)=1,1,0))</f>
        <v/>
      </c>
      <c r="AJ1390">
        <f>IF($AI1390=1,SUMPRODUCT(--($AL$2:$AL$1501&lt;$AL1390))+1,"")</f>
        <v/>
      </c>
      <c r="AK1390">
        <f>IF($C1390="","",IF(OR($AD1390=TRUE(),$AD1390="TRUE"),0,1))</f>
        <v/>
      </c>
      <c r="AL1390">
        <f>IF($AI1390=1,IFERROR(IF(VALUE($C1390)&lt;100000000,VALUE($C1390),1000000000),IFERROR(IF(VALUE(MID($C1390,2,20))&lt;100000000,VALUE(MID($C1390,2,20)),1000000000),1000000000))+ROW()/100000,"")</f>
        <v/>
      </c>
    </row>
    <row r="1391">
      <c r="J1391" s="7" t="n"/>
      <c r="K1391" s="7" t="n"/>
      <c r="R1391" s="7">
        <f>IF($C1391="","",Q1391*AC1391/100)</f>
        <v/>
      </c>
      <c r="S1391" s="11" t="n"/>
      <c r="U1391" s="11" t="n"/>
      <c r="AA1391" s="7" t="n"/>
      <c r="AC1391" s="7" t="n"/>
      <c r="AE1391">
        <f>IF($C1391="","",IF($AK1391=1,Settings!$C$6,Settings!$C$7)*1)</f>
        <v/>
      </c>
      <c r="AF1391" s="7">
        <f>IF($C1391="","",AE1391*AC1391)</f>
        <v/>
      </c>
      <c r="AG1391" s="7">
        <f>IF($C1391="","",AC1391-AF1391)</f>
        <v/>
      </c>
      <c r="AH1391" s="7">
        <f>IF($C1391="","",AG1391-R1391)</f>
        <v/>
      </c>
      <c r="AI1391">
        <f>IF($C1391="","",IF(COUNTIF($C$2:$C1391,$C1391)=1,1,0))</f>
        <v/>
      </c>
      <c r="AJ1391">
        <f>IF($AI1391=1,SUMPRODUCT(--($AL$2:$AL$1501&lt;$AL1391))+1,"")</f>
        <v/>
      </c>
      <c r="AK1391">
        <f>IF($C1391="","",IF(OR($AD1391=TRUE(),$AD1391="TRUE"),0,1))</f>
        <v/>
      </c>
      <c r="AL1391">
        <f>IF($AI1391=1,IFERROR(IF(VALUE($C1391)&lt;100000000,VALUE($C1391),1000000000),IFERROR(IF(VALUE(MID($C1391,2,20))&lt;100000000,VALUE(MID($C1391,2,20)),1000000000),1000000000))+ROW()/100000,"")</f>
        <v/>
      </c>
    </row>
    <row r="1392">
      <c r="J1392" s="7" t="n"/>
      <c r="K1392" s="7" t="n"/>
      <c r="R1392" s="7">
        <f>IF($C1392="","",Q1392*AC1392/100)</f>
        <v/>
      </c>
      <c r="S1392" s="11" t="n"/>
      <c r="U1392" s="11" t="n"/>
      <c r="AA1392" s="7" t="n"/>
      <c r="AC1392" s="7" t="n"/>
      <c r="AE1392">
        <f>IF($C1392="","",IF($AK1392=1,Settings!$C$6,Settings!$C$7)*1)</f>
        <v/>
      </c>
      <c r="AF1392" s="7">
        <f>IF($C1392="","",AE1392*AC1392)</f>
        <v/>
      </c>
      <c r="AG1392" s="7">
        <f>IF($C1392="","",AC1392-AF1392)</f>
        <v/>
      </c>
      <c r="AH1392" s="7">
        <f>IF($C1392="","",AG1392-R1392)</f>
        <v/>
      </c>
      <c r="AI1392">
        <f>IF($C1392="","",IF(COUNTIF($C$2:$C1392,$C1392)=1,1,0))</f>
        <v/>
      </c>
      <c r="AJ1392">
        <f>IF($AI1392=1,SUMPRODUCT(--($AL$2:$AL$1501&lt;$AL1392))+1,"")</f>
        <v/>
      </c>
      <c r="AK1392">
        <f>IF($C1392="","",IF(OR($AD1392=TRUE(),$AD1392="TRUE"),0,1))</f>
        <v/>
      </c>
      <c r="AL1392">
        <f>IF($AI1392=1,IFERROR(IF(VALUE($C1392)&lt;100000000,VALUE($C1392),1000000000),IFERROR(IF(VALUE(MID($C1392,2,20))&lt;100000000,VALUE(MID($C1392,2,20)),1000000000),1000000000))+ROW()/100000,"")</f>
        <v/>
      </c>
    </row>
    <row r="1393">
      <c r="J1393" s="7" t="n"/>
      <c r="K1393" s="7" t="n"/>
      <c r="R1393" s="7">
        <f>IF($C1393="","",Q1393*AC1393/100)</f>
        <v/>
      </c>
      <c r="S1393" s="11" t="n"/>
      <c r="U1393" s="11" t="n"/>
      <c r="AA1393" s="7" t="n"/>
      <c r="AC1393" s="7" t="n"/>
      <c r="AE1393">
        <f>IF($C1393="","",IF($AK1393=1,Settings!$C$6,Settings!$C$7)*1)</f>
        <v/>
      </c>
      <c r="AF1393" s="7">
        <f>IF($C1393="","",AE1393*AC1393)</f>
        <v/>
      </c>
      <c r="AG1393" s="7">
        <f>IF($C1393="","",AC1393-AF1393)</f>
        <v/>
      </c>
      <c r="AH1393" s="7">
        <f>IF($C1393="","",AG1393-R1393)</f>
        <v/>
      </c>
      <c r="AI1393">
        <f>IF($C1393="","",IF(COUNTIF($C$2:$C1393,$C1393)=1,1,0))</f>
        <v/>
      </c>
      <c r="AJ1393">
        <f>IF($AI1393=1,SUMPRODUCT(--($AL$2:$AL$1501&lt;$AL1393))+1,"")</f>
        <v/>
      </c>
      <c r="AK1393">
        <f>IF($C1393="","",IF(OR($AD1393=TRUE(),$AD1393="TRUE"),0,1))</f>
        <v/>
      </c>
      <c r="AL1393">
        <f>IF($AI1393=1,IFERROR(IF(VALUE($C1393)&lt;100000000,VALUE($C1393),1000000000),IFERROR(IF(VALUE(MID($C1393,2,20))&lt;100000000,VALUE(MID($C1393,2,20)),1000000000),1000000000))+ROW()/100000,"")</f>
        <v/>
      </c>
    </row>
    <row r="1394">
      <c r="J1394" s="7" t="n"/>
      <c r="K1394" s="7" t="n"/>
      <c r="R1394" s="7">
        <f>IF($C1394="","",Q1394*AC1394/100)</f>
        <v/>
      </c>
      <c r="S1394" s="11" t="n"/>
      <c r="U1394" s="11" t="n"/>
      <c r="AA1394" s="7" t="n"/>
      <c r="AC1394" s="7" t="n"/>
      <c r="AE1394">
        <f>IF($C1394="","",IF($AK1394=1,Settings!$C$6,Settings!$C$7)*1)</f>
        <v/>
      </c>
      <c r="AF1394" s="7">
        <f>IF($C1394="","",AE1394*AC1394)</f>
        <v/>
      </c>
      <c r="AG1394" s="7">
        <f>IF($C1394="","",AC1394-AF1394)</f>
        <v/>
      </c>
      <c r="AH1394" s="7">
        <f>IF($C1394="","",AG1394-R1394)</f>
        <v/>
      </c>
      <c r="AI1394">
        <f>IF($C1394="","",IF(COUNTIF($C$2:$C1394,$C1394)=1,1,0))</f>
        <v/>
      </c>
      <c r="AJ1394">
        <f>IF($AI1394=1,SUMPRODUCT(--($AL$2:$AL$1501&lt;$AL1394))+1,"")</f>
        <v/>
      </c>
      <c r="AK1394">
        <f>IF($C1394="","",IF(OR($AD1394=TRUE(),$AD1394="TRUE"),0,1))</f>
        <v/>
      </c>
      <c r="AL1394">
        <f>IF($AI1394=1,IFERROR(IF(VALUE($C1394)&lt;100000000,VALUE($C1394),1000000000),IFERROR(IF(VALUE(MID($C1394,2,20))&lt;100000000,VALUE(MID($C1394,2,20)),1000000000),1000000000))+ROW()/100000,"")</f>
        <v/>
      </c>
    </row>
    <row r="1395">
      <c r="J1395" s="7" t="n"/>
      <c r="K1395" s="7" t="n"/>
      <c r="R1395" s="7">
        <f>IF($C1395="","",Q1395*AC1395/100)</f>
        <v/>
      </c>
      <c r="S1395" s="11" t="n"/>
      <c r="U1395" s="11" t="n"/>
      <c r="AA1395" s="7" t="n"/>
      <c r="AC1395" s="7" t="n"/>
      <c r="AE1395">
        <f>IF($C1395="","",IF($AK1395=1,Settings!$C$6,Settings!$C$7)*1)</f>
        <v/>
      </c>
      <c r="AF1395" s="7">
        <f>IF($C1395="","",AE1395*AC1395)</f>
        <v/>
      </c>
      <c r="AG1395" s="7">
        <f>IF($C1395="","",AC1395-AF1395)</f>
        <v/>
      </c>
      <c r="AH1395" s="7">
        <f>IF($C1395="","",AG1395-R1395)</f>
        <v/>
      </c>
      <c r="AI1395">
        <f>IF($C1395="","",IF(COUNTIF($C$2:$C1395,$C1395)=1,1,0))</f>
        <v/>
      </c>
      <c r="AJ1395">
        <f>IF($AI1395=1,SUMPRODUCT(--($AL$2:$AL$1501&lt;$AL1395))+1,"")</f>
        <v/>
      </c>
      <c r="AK1395">
        <f>IF($C1395="","",IF(OR($AD1395=TRUE(),$AD1395="TRUE"),0,1))</f>
        <v/>
      </c>
      <c r="AL1395">
        <f>IF($AI1395=1,IFERROR(IF(VALUE($C1395)&lt;100000000,VALUE($C1395),1000000000),IFERROR(IF(VALUE(MID($C1395,2,20))&lt;100000000,VALUE(MID($C1395,2,20)),1000000000),1000000000))+ROW()/100000,"")</f>
        <v/>
      </c>
    </row>
    <row r="1396">
      <c r="J1396" s="7" t="n"/>
      <c r="K1396" s="7" t="n"/>
      <c r="R1396" s="7">
        <f>IF($C1396="","",Q1396*AC1396/100)</f>
        <v/>
      </c>
      <c r="S1396" s="11" t="n"/>
      <c r="U1396" s="11" t="n"/>
      <c r="AA1396" s="7" t="n"/>
      <c r="AC1396" s="7" t="n"/>
      <c r="AE1396">
        <f>IF($C1396="","",IF($AK1396=1,Settings!$C$6,Settings!$C$7)*1)</f>
        <v/>
      </c>
      <c r="AF1396" s="7">
        <f>IF($C1396="","",AE1396*AC1396)</f>
        <v/>
      </c>
      <c r="AG1396" s="7">
        <f>IF($C1396="","",AC1396-AF1396)</f>
        <v/>
      </c>
      <c r="AH1396" s="7">
        <f>IF($C1396="","",AG1396-R1396)</f>
        <v/>
      </c>
      <c r="AI1396">
        <f>IF($C1396="","",IF(COUNTIF($C$2:$C1396,$C1396)=1,1,0))</f>
        <v/>
      </c>
      <c r="AJ1396">
        <f>IF($AI1396=1,SUMPRODUCT(--($AL$2:$AL$1501&lt;$AL1396))+1,"")</f>
        <v/>
      </c>
      <c r="AK1396">
        <f>IF($C1396="","",IF(OR($AD1396=TRUE(),$AD1396="TRUE"),0,1))</f>
        <v/>
      </c>
      <c r="AL1396">
        <f>IF($AI1396=1,IFERROR(IF(VALUE($C1396)&lt;100000000,VALUE($C1396),1000000000),IFERROR(IF(VALUE(MID($C1396,2,20))&lt;100000000,VALUE(MID($C1396,2,20)),1000000000),1000000000))+ROW()/100000,"")</f>
        <v/>
      </c>
    </row>
    <row r="1397">
      <c r="J1397" s="7" t="n"/>
      <c r="K1397" s="7" t="n"/>
      <c r="R1397" s="7">
        <f>IF($C1397="","",Q1397*AC1397/100)</f>
        <v/>
      </c>
      <c r="S1397" s="11" t="n"/>
      <c r="U1397" s="11" t="n"/>
      <c r="AA1397" s="7" t="n"/>
      <c r="AC1397" s="7" t="n"/>
      <c r="AE1397">
        <f>IF($C1397="","",IF($AK1397=1,Settings!$C$6,Settings!$C$7)*1)</f>
        <v/>
      </c>
      <c r="AF1397" s="7">
        <f>IF($C1397="","",AE1397*AC1397)</f>
        <v/>
      </c>
      <c r="AG1397" s="7">
        <f>IF($C1397="","",AC1397-AF1397)</f>
        <v/>
      </c>
      <c r="AH1397" s="7">
        <f>IF($C1397="","",AG1397-R1397)</f>
        <v/>
      </c>
      <c r="AI1397">
        <f>IF($C1397="","",IF(COUNTIF($C$2:$C1397,$C1397)=1,1,0))</f>
        <v/>
      </c>
      <c r="AJ1397">
        <f>IF($AI1397=1,SUMPRODUCT(--($AL$2:$AL$1501&lt;$AL1397))+1,"")</f>
        <v/>
      </c>
      <c r="AK1397">
        <f>IF($C1397="","",IF(OR($AD1397=TRUE(),$AD1397="TRUE"),0,1))</f>
        <v/>
      </c>
      <c r="AL1397">
        <f>IF($AI1397=1,IFERROR(IF(VALUE($C1397)&lt;100000000,VALUE($C1397),1000000000),IFERROR(IF(VALUE(MID($C1397,2,20))&lt;100000000,VALUE(MID($C1397,2,20)),1000000000),1000000000))+ROW()/100000,"")</f>
        <v/>
      </c>
    </row>
    <row r="1398">
      <c r="J1398" s="7" t="n"/>
      <c r="K1398" s="7" t="n"/>
      <c r="R1398" s="7">
        <f>IF($C1398="","",Q1398*AC1398/100)</f>
        <v/>
      </c>
      <c r="S1398" s="11" t="n"/>
      <c r="U1398" s="11" t="n"/>
      <c r="AA1398" s="7" t="n"/>
      <c r="AC1398" s="7" t="n"/>
      <c r="AE1398">
        <f>IF($C1398="","",IF($AK1398=1,Settings!$C$6,Settings!$C$7)*1)</f>
        <v/>
      </c>
      <c r="AF1398" s="7">
        <f>IF($C1398="","",AE1398*AC1398)</f>
        <v/>
      </c>
      <c r="AG1398" s="7">
        <f>IF($C1398="","",AC1398-AF1398)</f>
        <v/>
      </c>
      <c r="AH1398" s="7">
        <f>IF($C1398="","",AG1398-R1398)</f>
        <v/>
      </c>
      <c r="AI1398">
        <f>IF($C1398="","",IF(COUNTIF($C$2:$C1398,$C1398)=1,1,0))</f>
        <v/>
      </c>
      <c r="AJ1398">
        <f>IF($AI1398=1,SUMPRODUCT(--($AL$2:$AL$1501&lt;$AL1398))+1,"")</f>
        <v/>
      </c>
      <c r="AK1398">
        <f>IF($C1398="","",IF(OR($AD1398=TRUE(),$AD1398="TRUE"),0,1))</f>
        <v/>
      </c>
      <c r="AL1398">
        <f>IF($AI1398=1,IFERROR(IF(VALUE($C1398)&lt;100000000,VALUE($C1398),1000000000),IFERROR(IF(VALUE(MID($C1398,2,20))&lt;100000000,VALUE(MID($C1398,2,20)),1000000000),1000000000))+ROW()/100000,"")</f>
        <v/>
      </c>
    </row>
    <row r="1399">
      <c r="J1399" s="7" t="n"/>
      <c r="K1399" s="7" t="n"/>
      <c r="R1399" s="7">
        <f>IF($C1399="","",Q1399*AC1399/100)</f>
        <v/>
      </c>
      <c r="S1399" s="11" t="n"/>
      <c r="U1399" s="11" t="n"/>
      <c r="AA1399" s="7" t="n"/>
      <c r="AC1399" s="7" t="n"/>
      <c r="AE1399">
        <f>IF($C1399="","",IF($AK1399=1,Settings!$C$6,Settings!$C$7)*1)</f>
        <v/>
      </c>
      <c r="AF1399" s="7">
        <f>IF($C1399="","",AE1399*AC1399)</f>
        <v/>
      </c>
      <c r="AG1399" s="7">
        <f>IF($C1399="","",AC1399-AF1399)</f>
        <v/>
      </c>
      <c r="AH1399" s="7">
        <f>IF($C1399="","",AG1399-R1399)</f>
        <v/>
      </c>
      <c r="AI1399">
        <f>IF($C1399="","",IF(COUNTIF($C$2:$C1399,$C1399)=1,1,0))</f>
        <v/>
      </c>
      <c r="AJ1399">
        <f>IF($AI1399=1,SUMPRODUCT(--($AL$2:$AL$1501&lt;$AL1399))+1,"")</f>
        <v/>
      </c>
      <c r="AK1399">
        <f>IF($C1399="","",IF(OR($AD1399=TRUE(),$AD1399="TRUE"),0,1))</f>
        <v/>
      </c>
      <c r="AL1399">
        <f>IF($AI1399=1,IFERROR(IF(VALUE($C1399)&lt;100000000,VALUE($C1399),1000000000),IFERROR(IF(VALUE(MID($C1399,2,20))&lt;100000000,VALUE(MID($C1399,2,20)),1000000000),1000000000))+ROW()/100000,"")</f>
        <v/>
      </c>
    </row>
    <row r="1400">
      <c r="J1400" s="7" t="n"/>
      <c r="K1400" s="7" t="n"/>
      <c r="R1400" s="7">
        <f>IF($C1400="","",Q1400*AC1400/100)</f>
        <v/>
      </c>
      <c r="S1400" s="11" t="n"/>
      <c r="U1400" s="11" t="n"/>
      <c r="AA1400" s="7" t="n"/>
      <c r="AC1400" s="7" t="n"/>
      <c r="AE1400">
        <f>IF($C1400="","",IF($AK1400=1,Settings!$C$6,Settings!$C$7)*1)</f>
        <v/>
      </c>
      <c r="AF1400" s="7">
        <f>IF($C1400="","",AE1400*AC1400)</f>
        <v/>
      </c>
      <c r="AG1400" s="7">
        <f>IF($C1400="","",AC1400-AF1400)</f>
        <v/>
      </c>
      <c r="AH1400" s="7">
        <f>IF($C1400="","",AG1400-R1400)</f>
        <v/>
      </c>
      <c r="AI1400">
        <f>IF($C1400="","",IF(COUNTIF($C$2:$C1400,$C1400)=1,1,0))</f>
        <v/>
      </c>
      <c r="AJ1400">
        <f>IF($AI1400=1,SUMPRODUCT(--($AL$2:$AL$1501&lt;$AL1400))+1,"")</f>
        <v/>
      </c>
      <c r="AK1400">
        <f>IF($C1400="","",IF(OR($AD1400=TRUE(),$AD1400="TRUE"),0,1))</f>
        <v/>
      </c>
      <c r="AL1400">
        <f>IF($AI1400=1,IFERROR(IF(VALUE($C1400)&lt;100000000,VALUE($C1400),1000000000),IFERROR(IF(VALUE(MID($C1400,2,20))&lt;100000000,VALUE(MID($C1400,2,20)),1000000000),1000000000))+ROW()/100000,"")</f>
        <v/>
      </c>
    </row>
    <row r="1401">
      <c r="J1401" s="7" t="n"/>
      <c r="K1401" s="7" t="n"/>
      <c r="R1401" s="7">
        <f>IF($C1401="","",Q1401*AC1401/100)</f>
        <v/>
      </c>
      <c r="S1401" s="11" t="n"/>
      <c r="U1401" s="11" t="n"/>
      <c r="AA1401" s="7" t="n"/>
      <c r="AC1401" s="7" t="n"/>
      <c r="AE1401">
        <f>IF($C1401="","",IF($AK1401=1,Settings!$C$6,Settings!$C$7)*1)</f>
        <v/>
      </c>
      <c r="AF1401" s="7">
        <f>IF($C1401="","",AE1401*AC1401)</f>
        <v/>
      </c>
      <c r="AG1401" s="7">
        <f>IF($C1401="","",AC1401-AF1401)</f>
        <v/>
      </c>
      <c r="AH1401" s="7">
        <f>IF($C1401="","",AG1401-R1401)</f>
        <v/>
      </c>
      <c r="AI1401">
        <f>IF($C1401="","",IF(COUNTIF($C$2:$C1401,$C1401)=1,1,0))</f>
        <v/>
      </c>
      <c r="AJ1401">
        <f>IF($AI1401=1,SUMPRODUCT(--($AL$2:$AL$1501&lt;$AL1401))+1,"")</f>
        <v/>
      </c>
      <c r="AK1401">
        <f>IF($C1401="","",IF(OR($AD1401=TRUE(),$AD1401="TRUE"),0,1))</f>
        <v/>
      </c>
      <c r="AL1401">
        <f>IF($AI1401=1,IFERROR(IF(VALUE($C1401)&lt;100000000,VALUE($C1401),1000000000),IFERROR(IF(VALUE(MID($C1401,2,20))&lt;100000000,VALUE(MID($C1401,2,20)),1000000000),1000000000))+ROW()/100000,"")</f>
        <v/>
      </c>
    </row>
    <row r="1402">
      <c r="J1402" s="7" t="n"/>
      <c r="K1402" s="7" t="n"/>
      <c r="R1402" s="7">
        <f>IF($C1402="","",Q1402*AC1402/100)</f>
        <v/>
      </c>
      <c r="S1402" s="11" t="n"/>
      <c r="U1402" s="11" t="n"/>
      <c r="AA1402" s="7" t="n"/>
      <c r="AC1402" s="7" t="n"/>
      <c r="AE1402">
        <f>IF($C1402="","",IF($AK1402=1,Settings!$C$6,Settings!$C$7)*1)</f>
        <v/>
      </c>
      <c r="AF1402" s="7">
        <f>IF($C1402="","",AE1402*AC1402)</f>
        <v/>
      </c>
      <c r="AG1402" s="7">
        <f>IF($C1402="","",AC1402-AF1402)</f>
        <v/>
      </c>
      <c r="AH1402" s="7">
        <f>IF($C1402="","",AG1402-R1402)</f>
        <v/>
      </c>
      <c r="AI1402">
        <f>IF($C1402="","",IF(COUNTIF($C$2:$C1402,$C1402)=1,1,0))</f>
        <v/>
      </c>
      <c r="AJ1402">
        <f>IF($AI1402=1,SUMPRODUCT(--($AL$2:$AL$1501&lt;$AL1402))+1,"")</f>
        <v/>
      </c>
      <c r="AK1402">
        <f>IF($C1402="","",IF(OR($AD1402=TRUE(),$AD1402="TRUE"),0,1))</f>
        <v/>
      </c>
      <c r="AL1402">
        <f>IF($AI1402=1,IFERROR(IF(VALUE($C1402)&lt;100000000,VALUE($C1402),1000000000),IFERROR(IF(VALUE(MID($C1402,2,20))&lt;100000000,VALUE(MID($C1402,2,20)),1000000000),1000000000))+ROW()/100000,"")</f>
        <v/>
      </c>
    </row>
    <row r="1403">
      <c r="J1403" s="7" t="n"/>
      <c r="K1403" s="7" t="n"/>
      <c r="R1403" s="7">
        <f>IF($C1403="","",Q1403*AC1403/100)</f>
        <v/>
      </c>
      <c r="S1403" s="11" t="n"/>
      <c r="U1403" s="11" t="n"/>
      <c r="AA1403" s="7" t="n"/>
      <c r="AC1403" s="7" t="n"/>
      <c r="AE1403">
        <f>IF($C1403="","",IF($AK1403=1,Settings!$C$6,Settings!$C$7)*1)</f>
        <v/>
      </c>
      <c r="AF1403" s="7">
        <f>IF($C1403="","",AE1403*AC1403)</f>
        <v/>
      </c>
      <c r="AG1403" s="7">
        <f>IF($C1403="","",AC1403-AF1403)</f>
        <v/>
      </c>
      <c r="AH1403" s="7">
        <f>IF($C1403="","",AG1403-R1403)</f>
        <v/>
      </c>
      <c r="AI1403">
        <f>IF($C1403="","",IF(COUNTIF($C$2:$C1403,$C1403)=1,1,0))</f>
        <v/>
      </c>
      <c r="AJ1403">
        <f>IF($AI1403=1,SUMPRODUCT(--($AL$2:$AL$1501&lt;$AL1403))+1,"")</f>
        <v/>
      </c>
      <c r="AK1403">
        <f>IF($C1403="","",IF(OR($AD1403=TRUE(),$AD1403="TRUE"),0,1))</f>
        <v/>
      </c>
      <c r="AL1403">
        <f>IF($AI1403=1,IFERROR(IF(VALUE($C1403)&lt;100000000,VALUE($C1403),1000000000),IFERROR(IF(VALUE(MID($C1403,2,20))&lt;100000000,VALUE(MID($C1403,2,20)),1000000000),1000000000))+ROW()/100000,"")</f>
        <v/>
      </c>
    </row>
    <row r="1404">
      <c r="J1404" s="7" t="n"/>
      <c r="K1404" s="7" t="n"/>
      <c r="R1404" s="7">
        <f>IF($C1404="","",Q1404*AC1404/100)</f>
        <v/>
      </c>
      <c r="S1404" s="11" t="n"/>
      <c r="U1404" s="11" t="n"/>
      <c r="AA1404" s="7" t="n"/>
      <c r="AC1404" s="7" t="n"/>
      <c r="AE1404">
        <f>IF($C1404="","",IF($AK1404=1,Settings!$C$6,Settings!$C$7)*1)</f>
        <v/>
      </c>
      <c r="AF1404" s="7">
        <f>IF($C1404="","",AE1404*AC1404)</f>
        <v/>
      </c>
      <c r="AG1404" s="7">
        <f>IF($C1404="","",AC1404-AF1404)</f>
        <v/>
      </c>
      <c r="AH1404" s="7">
        <f>IF($C1404="","",AG1404-R1404)</f>
        <v/>
      </c>
      <c r="AI1404">
        <f>IF($C1404="","",IF(COUNTIF($C$2:$C1404,$C1404)=1,1,0))</f>
        <v/>
      </c>
      <c r="AJ1404">
        <f>IF($AI1404=1,SUMPRODUCT(--($AL$2:$AL$1501&lt;$AL1404))+1,"")</f>
        <v/>
      </c>
      <c r="AK1404">
        <f>IF($C1404="","",IF(OR($AD1404=TRUE(),$AD1404="TRUE"),0,1))</f>
        <v/>
      </c>
      <c r="AL1404">
        <f>IF($AI1404=1,IFERROR(IF(VALUE($C1404)&lt;100000000,VALUE($C1404),1000000000),IFERROR(IF(VALUE(MID($C1404,2,20))&lt;100000000,VALUE(MID($C1404,2,20)),1000000000),1000000000))+ROW()/100000,"")</f>
        <v/>
      </c>
    </row>
    <row r="1405">
      <c r="J1405" s="7" t="n"/>
      <c r="K1405" s="7" t="n"/>
      <c r="R1405" s="7">
        <f>IF($C1405="","",Q1405*AC1405/100)</f>
        <v/>
      </c>
      <c r="S1405" s="11" t="n"/>
      <c r="U1405" s="11" t="n"/>
      <c r="AA1405" s="7" t="n"/>
      <c r="AC1405" s="7" t="n"/>
      <c r="AE1405">
        <f>IF($C1405="","",IF($AK1405=1,Settings!$C$6,Settings!$C$7)*1)</f>
        <v/>
      </c>
      <c r="AF1405" s="7">
        <f>IF($C1405="","",AE1405*AC1405)</f>
        <v/>
      </c>
      <c r="AG1405" s="7">
        <f>IF($C1405="","",AC1405-AF1405)</f>
        <v/>
      </c>
      <c r="AH1405" s="7">
        <f>IF($C1405="","",AG1405-R1405)</f>
        <v/>
      </c>
      <c r="AI1405">
        <f>IF($C1405="","",IF(COUNTIF($C$2:$C1405,$C1405)=1,1,0))</f>
        <v/>
      </c>
      <c r="AJ1405">
        <f>IF($AI1405=1,SUMPRODUCT(--($AL$2:$AL$1501&lt;$AL1405))+1,"")</f>
        <v/>
      </c>
      <c r="AK1405">
        <f>IF($C1405="","",IF(OR($AD1405=TRUE(),$AD1405="TRUE"),0,1))</f>
        <v/>
      </c>
      <c r="AL1405">
        <f>IF($AI1405=1,IFERROR(IF(VALUE($C1405)&lt;100000000,VALUE($C1405),1000000000),IFERROR(IF(VALUE(MID($C1405,2,20))&lt;100000000,VALUE(MID($C1405,2,20)),1000000000),1000000000))+ROW()/100000,"")</f>
        <v/>
      </c>
    </row>
    <row r="1406">
      <c r="J1406" s="7" t="n"/>
      <c r="K1406" s="7" t="n"/>
      <c r="R1406" s="7">
        <f>IF($C1406="","",Q1406*AC1406/100)</f>
        <v/>
      </c>
      <c r="S1406" s="11" t="n"/>
      <c r="U1406" s="11" t="n"/>
      <c r="AA1406" s="7" t="n"/>
      <c r="AC1406" s="7" t="n"/>
      <c r="AE1406">
        <f>IF($C1406="","",IF($AK1406=1,Settings!$C$6,Settings!$C$7)*1)</f>
        <v/>
      </c>
      <c r="AF1406" s="7">
        <f>IF($C1406="","",AE1406*AC1406)</f>
        <v/>
      </c>
      <c r="AG1406" s="7">
        <f>IF($C1406="","",AC1406-AF1406)</f>
        <v/>
      </c>
      <c r="AH1406" s="7">
        <f>IF($C1406="","",AG1406-R1406)</f>
        <v/>
      </c>
      <c r="AI1406">
        <f>IF($C1406="","",IF(COUNTIF($C$2:$C1406,$C1406)=1,1,0))</f>
        <v/>
      </c>
      <c r="AJ1406">
        <f>IF($AI1406=1,SUMPRODUCT(--($AL$2:$AL$1501&lt;$AL1406))+1,"")</f>
        <v/>
      </c>
      <c r="AK1406">
        <f>IF($C1406="","",IF(OR($AD1406=TRUE(),$AD1406="TRUE"),0,1))</f>
        <v/>
      </c>
      <c r="AL1406">
        <f>IF($AI1406=1,IFERROR(IF(VALUE($C1406)&lt;100000000,VALUE($C1406),1000000000),IFERROR(IF(VALUE(MID($C1406,2,20))&lt;100000000,VALUE(MID($C1406,2,20)),1000000000),1000000000))+ROW()/100000,"")</f>
        <v/>
      </c>
    </row>
    <row r="1407">
      <c r="J1407" s="7" t="n"/>
      <c r="K1407" s="7" t="n"/>
      <c r="R1407" s="7">
        <f>IF($C1407="","",Q1407*AC1407/100)</f>
        <v/>
      </c>
      <c r="S1407" s="11" t="n"/>
      <c r="U1407" s="11" t="n"/>
      <c r="AA1407" s="7" t="n"/>
      <c r="AC1407" s="7" t="n"/>
      <c r="AE1407">
        <f>IF($C1407="","",IF($AK1407=1,Settings!$C$6,Settings!$C$7)*1)</f>
        <v/>
      </c>
      <c r="AF1407" s="7">
        <f>IF($C1407="","",AE1407*AC1407)</f>
        <v/>
      </c>
      <c r="AG1407" s="7">
        <f>IF($C1407="","",AC1407-AF1407)</f>
        <v/>
      </c>
      <c r="AH1407" s="7">
        <f>IF($C1407="","",AG1407-R1407)</f>
        <v/>
      </c>
      <c r="AI1407">
        <f>IF($C1407="","",IF(COUNTIF($C$2:$C1407,$C1407)=1,1,0))</f>
        <v/>
      </c>
      <c r="AJ1407">
        <f>IF($AI1407=1,SUMPRODUCT(--($AL$2:$AL$1501&lt;$AL1407))+1,"")</f>
        <v/>
      </c>
      <c r="AK1407">
        <f>IF($C1407="","",IF(OR($AD1407=TRUE(),$AD1407="TRUE"),0,1))</f>
        <v/>
      </c>
      <c r="AL1407">
        <f>IF($AI1407=1,IFERROR(IF(VALUE($C1407)&lt;100000000,VALUE($C1407),1000000000),IFERROR(IF(VALUE(MID($C1407,2,20))&lt;100000000,VALUE(MID($C1407,2,20)),1000000000),1000000000))+ROW()/100000,"")</f>
        <v/>
      </c>
    </row>
    <row r="1408">
      <c r="J1408" s="7" t="n"/>
      <c r="K1408" s="7" t="n"/>
      <c r="R1408" s="7">
        <f>IF($C1408="","",Q1408*AC1408/100)</f>
        <v/>
      </c>
      <c r="S1408" s="11" t="n"/>
      <c r="U1408" s="11" t="n"/>
      <c r="AA1408" s="7" t="n"/>
      <c r="AC1408" s="7" t="n"/>
      <c r="AE1408">
        <f>IF($C1408="","",IF($AK1408=1,Settings!$C$6,Settings!$C$7)*1)</f>
        <v/>
      </c>
      <c r="AF1408" s="7">
        <f>IF($C1408="","",AE1408*AC1408)</f>
        <v/>
      </c>
      <c r="AG1408" s="7">
        <f>IF($C1408="","",AC1408-AF1408)</f>
        <v/>
      </c>
      <c r="AH1408" s="7">
        <f>IF($C1408="","",AG1408-R1408)</f>
        <v/>
      </c>
      <c r="AI1408">
        <f>IF($C1408="","",IF(COUNTIF($C$2:$C1408,$C1408)=1,1,0))</f>
        <v/>
      </c>
      <c r="AJ1408">
        <f>IF($AI1408=1,SUMPRODUCT(--($AL$2:$AL$1501&lt;$AL1408))+1,"")</f>
        <v/>
      </c>
      <c r="AK1408">
        <f>IF($C1408="","",IF(OR($AD1408=TRUE(),$AD1408="TRUE"),0,1))</f>
        <v/>
      </c>
      <c r="AL1408">
        <f>IF($AI1408=1,IFERROR(IF(VALUE($C1408)&lt;100000000,VALUE($C1408),1000000000),IFERROR(IF(VALUE(MID($C1408,2,20))&lt;100000000,VALUE(MID($C1408,2,20)),1000000000),1000000000))+ROW()/100000,"")</f>
        <v/>
      </c>
    </row>
    <row r="1409">
      <c r="J1409" s="7" t="n"/>
      <c r="K1409" s="7" t="n"/>
      <c r="R1409" s="7">
        <f>IF($C1409="","",Q1409*AC1409/100)</f>
        <v/>
      </c>
      <c r="S1409" s="11" t="n"/>
      <c r="U1409" s="11" t="n"/>
      <c r="AA1409" s="7" t="n"/>
      <c r="AC1409" s="7" t="n"/>
      <c r="AE1409">
        <f>IF($C1409="","",IF($AK1409=1,Settings!$C$6,Settings!$C$7)*1)</f>
        <v/>
      </c>
      <c r="AF1409" s="7">
        <f>IF($C1409="","",AE1409*AC1409)</f>
        <v/>
      </c>
      <c r="AG1409" s="7">
        <f>IF($C1409="","",AC1409-AF1409)</f>
        <v/>
      </c>
      <c r="AH1409" s="7">
        <f>IF($C1409="","",AG1409-R1409)</f>
        <v/>
      </c>
      <c r="AI1409">
        <f>IF($C1409="","",IF(COUNTIF($C$2:$C1409,$C1409)=1,1,0))</f>
        <v/>
      </c>
      <c r="AJ1409">
        <f>IF($AI1409=1,SUMPRODUCT(--($AL$2:$AL$1501&lt;$AL1409))+1,"")</f>
        <v/>
      </c>
      <c r="AK1409">
        <f>IF($C1409="","",IF(OR($AD1409=TRUE(),$AD1409="TRUE"),0,1))</f>
        <v/>
      </c>
      <c r="AL1409">
        <f>IF($AI1409=1,IFERROR(IF(VALUE($C1409)&lt;100000000,VALUE($C1409),1000000000),IFERROR(IF(VALUE(MID($C1409,2,20))&lt;100000000,VALUE(MID($C1409,2,20)),1000000000),1000000000))+ROW()/100000,"")</f>
        <v/>
      </c>
    </row>
    <row r="1410">
      <c r="J1410" s="7" t="n"/>
      <c r="K1410" s="7" t="n"/>
      <c r="R1410" s="7">
        <f>IF($C1410="","",Q1410*AC1410/100)</f>
        <v/>
      </c>
      <c r="S1410" s="11" t="n"/>
      <c r="U1410" s="11" t="n"/>
      <c r="AA1410" s="7" t="n"/>
      <c r="AC1410" s="7" t="n"/>
      <c r="AE1410">
        <f>IF($C1410="","",IF($AK1410=1,Settings!$C$6,Settings!$C$7)*1)</f>
        <v/>
      </c>
      <c r="AF1410" s="7">
        <f>IF($C1410="","",AE1410*AC1410)</f>
        <v/>
      </c>
      <c r="AG1410" s="7">
        <f>IF($C1410="","",AC1410-AF1410)</f>
        <v/>
      </c>
      <c r="AH1410" s="7">
        <f>IF($C1410="","",AG1410-R1410)</f>
        <v/>
      </c>
      <c r="AI1410">
        <f>IF($C1410="","",IF(COUNTIF($C$2:$C1410,$C1410)=1,1,0))</f>
        <v/>
      </c>
      <c r="AJ1410">
        <f>IF($AI1410=1,SUMPRODUCT(--($AL$2:$AL$1501&lt;$AL1410))+1,"")</f>
        <v/>
      </c>
      <c r="AK1410">
        <f>IF($C1410="","",IF(OR($AD1410=TRUE(),$AD1410="TRUE"),0,1))</f>
        <v/>
      </c>
      <c r="AL1410">
        <f>IF($AI1410=1,IFERROR(IF(VALUE($C1410)&lt;100000000,VALUE($C1410),1000000000),IFERROR(IF(VALUE(MID($C1410,2,20))&lt;100000000,VALUE(MID($C1410,2,20)),1000000000),1000000000))+ROW()/100000,"")</f>
        <v/>
      </c>
    </row>
    <row r="1411">
      <c r="J1411" s="7" t="n"/>
      <c r="K1411" s="7" t="n"/>
      <c r="R1411" s="7">
        <f>IF($C1411="","",Q1411*AC1411/100)</f>
        <v/>
      </c>
      <c r="S1411" s="11" t="n"/>
      <c r="U1411" s="11" t="n"/>
      <c r="AA1411" s="7" t="n"/>
      <c r="AC1411" s="7" t="n"/>
      <c r="AE1411">
        <f>IF($C1411="","",IF($AK1411=1,Settings!$C$6,Settings!$C$7)*1)</f>
        <v/>
      </c>
      <c r="AF1411" s="7">
        <f>IF($C1411="","",AE1411*AC1411)</f>
        <v/>
      </c>
      <c r="AG1411" s="7">
        <f>IF($C1411="","",AC1411-AF1411)</f>
        <v/>
      </c>
      <c r="AH1411" s="7">
        <f>IF($C1411="","",AG1411-R1411)</f>
        <v/>
      </c>
      <c r="AI1411">
        <f>IF($C1411="","",IF(COUNTIF($C$2:$C1411,$C1411)=1,1,0))</f>
        <v/>
      </c>
      <c r="AJ1411">
        <f>IF($AI1411=1,SUMPRODUCT(--($AL$2:$AL$1501&lt;$AL1411))+1,"")</f>
        <v/>
      </c>
      <c r="AK1411">
        <f>IF($C1411="","",IF(OR($AD1411=TRUE(),$AD1411="TRUE"),0,1))</f>
        <v/>
      </c>
      <c r="AL1411">
        <f>IF($AI1411=1,IFERROR(IF(VALUE($C1411)&lt;100000000,VALUE($C1411),1000000000),IFERROR(IF(VALUE(MID($C1411,2,20))&lt;100000000,VALUE(MID($C1411,2,20)),1000000000),1000000000))+ROW()/100000,"")</f>
        <v/>
      </c>
    </row>
    <row r="1412">
      <c r="J1412" s="7" t="n"/>
      <c r="K1412" s="7" t="n"/>
      <c r="R1412" s="7">
        <f>IF($C1412="","",Q1412*AC1412/100)</f>
        <v/>
      </c>
      <c r="S1412" s="11" t="n"/>
      <c r="U1412" s="11" t="n"/>
      <c r="AA1412" s="7" t="n"/>
      <c r="AC1412" s="7" t="n"/>
      <c r="AE1412">
        <f>IF($C1412="","",IF($AK1412=1,Settings!$C$6,Settings!$C$7)*1)</f>
        <v/>
      </c>
      <c r="AF1412" s="7">
        <f>IF($C1412="","",AE1412*AC1412)</f>
        <v/>
      </c>
      <c r="AG1412" s="7">
        <f>IF($C1412="","",AC1412-AF1412)</f>
        <v/>
      </c>
      <c r="AH1412" s="7">
        <f>IF($C1412="","",AG1412-R1412)</f>
        <v/>
      </c>
      <c r="AI1412">
        <f>IF($C1412="","",IF(COUNTIF($C$2:$C1412,$C1412)=1,1,0))</f>
        <v/>
      </c>
      <c r="AJ1412">
        <f>IF($AI1412=1,SUMPRODUCT(--($AL$2:$AL$1501&lt;$AL1412))+1,"")</f>
        <v/>
      </c>
      <c r="AK1412">
        <f>IF($C1412="","",IF(OR($AD1412=TRUE(),$AD1412="TRUE"),0,1))</f>
        <v/>
      </c>
      <c r="AL1412">
        <f>IF($AI1412=1,IFERROR(IF(VALUE($C1412)&lt;100000000,VALUE($C1412),1000000000),IFERROR(IF(VALUE(MID($C1412,2,20))&lt;100000000,VALUE(MID($C1412,2,20)),1000000000),1000000000))+ROW()/100000,"")</f>
        <v/>
      </c>
    </row>
    <row r="1413">
      <c r="J1413" s="7" t="n"/>
      <c r="K1413" s="7" t="n"/>
      <c r="R1413" s="7">
        <f>IF($C1413="","",Q1413*AC1413/100)</f>
        <v/>
      </c>
      <c r="S1413" s="11" t="n"/>
      <c r="U1413" s="11" t="n"/>
      <c r="AA1413" s="7" t="n"/>
      <c r="AC1413" s="7" t="n"/>
      <c r="AE1413">
        <f>IF($C1413="","",IF($AK1413=1,Settings!$C$6,Settings!$C$7)*1)</f>
        <v/>
      </c>
      <c r="AF1413" s="7">
        <f>IF($C1413="","",AE1413*AC1413)</f>
        <v/>
      </c>
      <c r="AG1413" s="7">
        <f>IF($C1413="","",AC1413-AF1413)</f>
        <v/>
      </c>
      <c r="AH1413" s="7">
        <f>IF($C1413="","",AG1413-R1413)</f>
        <v/>
      </c>
      <c r="AI1413">
        <f>IF($C1413="","",IF(COUNTIF($C$2:$C1413,$C1413)=1,1,0))</f>
        <v/>
      </c>
      <c r="AJ1413">
        <f>IF($AI1413=1,SUMPRODUCT(--($AL$2:$AL$1501&lt;$AL1413))+1,"")</f>
        <v/>
      </c>
      <c r="AK1413">
        <f>IF($C1413="","",IF(OR($AD1413=TRUE(),$AD1413="TRUE"),0,1))</f>
        <v/>
      </c>
      <c r="AL1413">
        <f>IF($AI1413=1,IFERROR(IF(VALUE($C1413)&lt;100000000,VALUE($C1413),1000000000),IFERROR(IF(VALUE(MID($C1413,2,20))&lt;100000000,VALUE(MID($C1413,2,20)),1000000000),1000000000))+ROW()/100000,"")</f>
        <v/>
      </c>
    </row>
    <row r="1414">
      <c r="J1414" s="7" t="n"/>
      <c r="K1414" s="7" t="n"/>
      <c r="R1414" s="7">
        <f>IF($C1414="","",Q1414*AC1414/100)</f>
        <v/>
      </c>
      <c r="S1414" s="11" t="n"/>
      <c r="U1414" s="11" t="n"/>
      <c r="AA1414" s="7" t="n"/>
      <c r="AC1414" s="7" t="n"/>
      <c r="AE1414">
        <f>IF($C1414="","",IF($AK1414=1,Settings!$C$6,Settings!$C$7)*1)</f>
        <v/>
      </c>
      <c r="AF1414" s="7">
        <f>IF($C1414="","",AE1414*AC1414)</f>
        <v/>
      </c>
      <c r="AG1414" s="7">
        <f>IF($C1414="","",AC1414-AF1414)</f>
        <v/>
      </c>
      <c r="AH1414" s="7">
        <f>IF($C1414="","",AG1414-R1414)</f>
        <v/>
      </c>
      <c r="AI1414">
        <f>IF($C1414="","",IF(COUNTIF($C$2:$C1414,$C1414)=1,1,0))</f>
        <v/>
      </c>
      <c r="AJ1414">
        <f>IF($AI1414=1,SUMPRODUCT(--($AL$2:$AL$1501&lt;$AL1414))+1,"")</f>
        <v/>
      </c>
      <c r="AK1414">
        <f>IF($C1414="","",IF(OR($AD1414=TRUE(),$AD1414="TRUE"),0,1))</f>
        <v/>
      </c>
      <c r="AL1414">
        <f>IF($AI1414=1,IFERROR(IF(VALUE($C1414)&lt;100000000,VALUE($C1414),1000000000),IFERROR(IF(VALUE(MID($C1414,2,20))&lt;100000000,VALUE(MID($C1414,2,20)),1000000000),1000000000))+ROW()/100000,"")</f>
        <v/>
      </c>
    </row>
    <row r="1415">
      <c r="J1415" s="7" t="n"/>
      <c r="K1415" s="7" t="n"/>
      <c r="R1415" s="7">
        <f>IF($C1415="","",Q1415*AC1415/100)</f>
        <v/>
      </c>
      <c r="S1415" s="11" t="n"/>
      <c r="U1415" s="11" t="n"/>
      <c r="AA1415" s="7" t="n"/>
      <c r="AC1415" s="7" t="n"/>
      <c r="AE1415">
        <f>IF($C1415="","",IF($AK1415=1,Settings!$C$6,Settings!$C$7)*1)</f>
        <v/>
      </c>
      <c r="AF1415" s="7">
        <f>IF($C1415="","",AE1415*AC1415)</f>
        <v/>
      </c>
      <c r="AG1415" s="7">
        <f>IF($C1415="","",AC1415-AF1415)</f>
        <v/>
      </c>
      <c r="AH1415" s="7">
        <f>IF($C1415="","",AG1415-R1415)</f>
        <v/>
      </c>
      <c r="AI1415">
        <f>IF($C1415="","",IF(COUNTIF($C$2:$C1415,$C1415)=1,1,0))</f>
        <v/>
      </c>
      <c r="AJ1415">
        <f>IF($AI1415=1,SUMPRODUCT(--($AL$2:$AL$1501&lt;$AL1415))+1,"")</f>
        <v/>
      </c>
      <c r="AK1415">
        <f>IF($C1415="","",IF(OR($AD1415=TRUE(),$AD1415="TRUE"),0,1))</f>
        <v/>
      </c>
      <c r="AL1415">
        <f>IF($AI1415=1,IFERROR(IF(VALUE($C1415)&lt;100000000,VALUE($C1415),1000000000),IFERROR(IF(VALUE(MID($C1415,2,20))&lt;100000000,VALUE(MID($C1415,2,20)),1000000000),1000000000))+ROW()/100000,"")</f>
        <v/>
      </c>
    </row>
    <row r="1416">
      <c r="J1416" s="7" t="n"/>
      <c r="K1416" s="7" t="n"/>
      <c r="R1416" s="7">
        <f>IF($C1416="","",Q1416*AC1416/100)</f>
        <v/>
      </c>
      <c r="S1416" s="11" t="n"/>
      <c r="U1416" s="11" t="n"/>
      <c r="AA1416" s="7" t="n"/>
      <c r="AC1416" s="7" t="n"/>
      <c r="AE1416">
        <f>IF($C1416="","",IF($AK1416=1,Settings!$C$6,Settings!$C$7)*1)</f>
        <v/>
      </c>
      <c r="AF1416" s="7">
        <f>IF($C1416="","",AE1416*AC1416)</f>
        <v/>
      </c>
      <c r="AG1416" s="7">
        <f>IF($C1416="","",AC1416-AF1416)</f>
        <v/>
      </c>
      <c r="AH1416" s="7">
        <f>IF($C1416="","",AG1416-R1416)</f>
        <v/>
      </c>
      <c r="AI1416">
        <f>IF($C1416="","",IF(COUNTIF($C$2:$C1416,$C1416)=1,1,0))</f>
        <v/>
      </c>
      <c r="AJ1416">
        <f>IF($AI1416=1,SUMPRODUCT(--($AL$2:$AL$1501&lt;$AL1416))+1,"")</f>
        <v/>
      </c>
      <c r="AK1416">
        <f>IF($C1416="","",IF(OR($AD1416=TRUE(),$AD1416="TRUE"),0,1))</f>
        <v/>
      </c>
      <c r="AL1416">
        <f>IF($AI1416=1,IFERROR(IF(VALUE($C1416)&lt;100000000,VALUE($C1416),1000000000),IFERROR(IF(VALUE(MID($C1416,2,20))&lt;100000000,VALUE(MID($C1416,2,20)),1000000000),1000000000))+ROW()/100000,"")</f>
        <v/>
      </c>
    </row>
    <row r="1417">
      <c r="J1417" s="7" t="n"/>
      <c r="K1417" s="7" t="n"/>
      <c r="R1417" s="7">
        <f>IF($C1417="","",Q1417*AC1417/100)</f>
        <v/>
      </c>
      <c r="S1417" s="11" t="n"/>
      <c r="U1417" s="11" t="n"/>
      <c r="AA1417" s="7" t="n"/>
      <c r="AC1417" s="7" t="n"/>
      <c r="AE1417">
        <f>IF($C1417="","",IF($AK1417=1,Settings!$C$6,Settings!$C$7)*1)</f>
        <v/>
      </c>
      <c r="AF1417" s="7">
        <f>IF($C1417="","",AE1417*AC1417)</f>
        <v/>
      </c>
      <c r="AG1417" s="7">
        <f>IF($C1417="","",AC1417-AF1417)</f>
        <v/>
      </c>
      <c r="AH1417" s="7">
        <f>IF($C1417="","",AG1417-R1417)</f>
        <v/>
      </c>
      <c r="AI1417">
        <f>IF($C1417="","",IF(COUNTIF($C$2:$C1417,$C1417)=1,1,0))</f>
        <v/>
      </c>
      <c r="AJ1417">
        <f>IF($AI1417=1,SUMPRODUCT(--($AL$2:$AL$1501&lt;$AL1417))+1,"")</f>
        <v/>
      </c>
      <c r="AK1417">
        <f>IF($C1417="","",IF(OR($AD1417=TRUE(),$AD1417="TRUE"),0,1))</f>
        <v/>
      </c>
      <c r="AL1417">
        <f>IF($AI1417=1,IFERROR(IF(VALUE($C1417)&lt;100000000,VALUE($C1417),1000000000),IFERROR(IF(VALUE(MID($C1417,2,20))&lt;100000000,VALUE(MID($C1417,2,20)),1000000000),1000000000))+ROW()/100000,"")</f>
        <v/>
      </c>
    </row>
    <row r="1418">
      <c r="J1418" s="7" t="n"/>
      <c r="K1418" s="7" t="n"/>
      <c r="R1418" s="7">
        <f>IF($C1418="","",Q1418*AC1418/100)</f>
        <v/>
      </c>
      <c r="S1418" s="11" t="n"/>
      <c r="U1418" s="11" t="n"/>
      <c r="AA1418" s="7" t="n"/>
      <c r="AC1418" s="7" t="n"/>
      <c r="AE1418">
        <f>IF($C1418="","",IF($AK1418=1,Settings!$C$6,Settings!$C$7)*1)</f>
        <v/>
      </c>
      <c r="AF1418" s="7">
        <f>IF($C1418="","",AE1418*AC1418)</f>
        <v/>
      </c>
      <c r="AG1418" s="7">
        <f>IF($C1418="","",AC1418-AF1418)</f>
        <v/>
      </c>
      <c r="AH1418" s="7">
        <f>IF($C1418="","",AG1418-R1418)</f>
        <v/>
      </c>
      <c r="AI1418">
        <f>IF($C1418="","",IF(COUNTIF($C$2:$C1418,$C1418)=1,1,0))</f>
        <v/>
      </c>
      <c r="AJ1418">
        <f>IF($AI1418=1,SUMPRODUCT(--($AL$2:$AL$1501&lt;$AL1418))+1,"")</f>
        <v/>
      </c>
      <c r="AK1418">
        <f>IF($C1418="","",IF(OR($AD1418=TRUE(),$AD1418="TRUE"),0,1))</f>
        <v/>
      </c>
      <c r="AL1418">
        <f>IF($AI1418=1,IFERROR(IF(VALUE($C1418)&lt;100000000,VALUE($C1418),1000000000),IFERROR(IF(VALUE(MID($C1418,2,20))&lt;100000000,VALUE(MID($C1418,2,20)),1000000000),1000000000))+ROW()/100000,"")</f>
        <v/>
      </c>
    </row>
    <row r="1419">
      <c r="J1419" s="7" t="n"/>
      <c r="K1419" s="7" t="n"/>
      <c r="R1419" s="7">
        <f>IF($C1419="","",Q1419*AC1419/100)</f>
        <v/>
      </c>
      <c r="S1419" s="11" t="n"/>
      <c r="U1419" s="11" t="n"/>
      <c r="AA1419" s="7" t="n"/>
      <c r="AC1419" s="7" t="n"/>
      <c r="AE1419">
        <f>IF($C1419="","",IF($AK1419=1,Settings!$C$6,Settings!$C$7)*1)</f>
        <v/>
      </c>
      <c r="AF1419" s="7">
        <f>IF($C1419="","",AE1419*AC1419)</f>
        <v/>
      </c>
      <c r="AG1419" s="7">
        <f>IF($C1419="","",AC1419-AF1419)</f>
        <v/>
      </c>
      <c r="AH1419" s="7">
        <f>IF($C1419="","",AG1419-R1419)</f>
        <v/>
      </c>
      <c r="AI1419">
        <f>IF($C1419="","",IF(COUNTIF($C$2:$C1419,$C1419)=1,1,0))</f>
        <v/>
      </c>
      <c r="AJ1419">
        <f>IF($AI1419=1,SUMPRODUCT(--($AL$2:$AL$1501&lt;$AL1419))+1,"")</f>
        <v/>
      </c>
      <c r="AK1419">
        <f>IF($C1419="","",IF(OR($AD1419=TRUE(),$AD1419="TRUE"),0,1))</f>
        <v/>
      </c>
      <c r="AL1419">
        <f>IF($AI1419=1,IFERROR(IF(VALUE($C1419)&lt;100000000,VALUE($C1419),1000000000),IFERROR(IF(VALUE(MID($C1419,2,20))&lt;100000000,VALUE(MID($C1419,2,20)),1000000000),1000000000))+ROW()/100000,"")</f>
        <v/>
      </c>
    </row>
    <row r="1420">
      <c r="J1420" s="7" t="n"/>
      <c r="K1420" s="7" t="n"/>
      <c r="R1420" s="7">
        <f>IF($C1420="","",Q1420*AC1420/100)</f>
        <v/>
      </c>
      <c r="S1420" s="11" t="n"/>
      <c r="U1420" s="11" t="n"/>
      <c r="AA1420" s="7" t="n"/>
      <c r="AC1420" s="7" t="n"/>
      <c r="AE1420">
        <f>IF($C1420="","",IF($AK1420=1,Settings!$C$6,Settings!$C$7)*1)</f>
        <v/>
      </c>
      <c r="AF1420" s="7">
        <f>IF($C1420="","",AE1420*AC1420)</f>
        <v/>
      </c>
      <c r="AG1420" s="7">
        <f>IF($C1420="","",AC1420-AF1420)</f>
        <v/>
      </c>
      <c r="AH1420" s="7">
        <f>IF($C1420="","",AG1420-R1420)</f>
        <v/>
      </c>
      <c r="AI1420">
        <f>IF($C1420="","",IF(COUNTIF($C$2:$C1420,$C1420)=1,1,0))</f>
        <v/>
      </c>
      <c r="AJ1420">
        <f>IF($AI1420=1,SUMPRODUCT(--($AL$2:$AL$1501&lt;$AL1420))+1,"")</f>
        <v/>
      </c>
      <c r="AK1420">
        <f>IF($C1420="","",IF(OR($AD1420=TRUE(),$AD1420="TRUE"),0,1))</f>
        <v/>
      </c>
      <c r="AL1420">
        <f>IF($AI1420=1,IFERROR(IF(VALUE($C1420)&lt;100000000,VALUE($C1420),1000000000),IFERROR(IF(VALUE(MID($C1420,2,20))&lt;100000000,VALUE(MID($C1420,2,20)),1000000000),1000000000))+ROW()/100000,"")</f>
        <v/>
      </c>
    </row>
    <row r="1421">
      <c r="J1421" s="7" t="n"/>
      <c r="K1421" s="7" t="n"/>
      <c r="R1421" s="7">
        <f>IF($C1421="","",Q1421*AC1421/100)</f>
        <v/>
      </c>
      <c r="S1421" s="11" t="n"/>
      <c r="U1421" s="11" t="n"/>
      <c r="AA1421" s="7" t="n"/>
      <c r="AC1421" s="7" t="n"/>
      <c r="AE1421">
        <f>IF($C1421="","",IF($AK1421=1,Settings!$C$6,Settings!$C$7)*1)</f>
        <v/>
      </c>
      <c r="AF1421" s="7">
        <f>IF($C1421="","",AE1421*AC1421)</f>
        <v/>
      </c>
      <c r="AG1421" s="7">
        <f>IF($C1421="","",AC1421-AF1421)</f>
        <v/>
      </c>
      <c r="AH1421" s="7">
        <f>IF($C1421="","",AG1421-R1421)</f>
        <v/>
      </c>
      <c r="AI1421">
        <f>IF($C1421="","",IF(COUNTIF($C$2:$C1421,$C1421)=1,1,0))</f>
        <v/>
      </c>
      <c r="AJ1421">
        <f>IF($AI1421=1,SUMPRODUCT(--($AL$2:$AL$1501&lt;$AL1421))+1,"")</f>
        <v/>
      </c>
      <c r="AK1421">
        <f>IF($C1421="","",IF(OR($AD1421=TRUE(),$AD1421="TRUE"),0,1))</f>
        <v/>
      </c>
      <c r="AL1421">
        <f>IF($AI1421=1,IFERROR(IF(VALUE($C1421)&lt;100000000,VALUE($C1421),1000000000),IFERROR(IF(VALUE(MID($C1421,2,20))&lt;100000000,VALUE(MID($C1421,2,20)),1000000000),1000000000))+ROW()/100000,"")</f>
        <v/>
      </c>
    </row>
    <row r="1422">
      <c r="J1422" s="7" t="n"/>
      <c r="K1422" s="7" t="n"/>
      <c r="R1422" s="7">
        <f>IF($C1422="","",Q1422*AC1422/100)</f>
        <v/>
      </c>
      <c r="S1422" s="11" t="n"/>
      <c r="U1422" s="11" t="n"/>
      <c r="AA1422" s="7" t="n"/>
      <c r="AC1422" s="7" t="n"/>
      <c r="AE1422">
        <f>IF($C1422="","",IF($AK1422=1,Settings!$C$6,Settings!$C$7)*1)</f>
        <v/>
      </c>
      <c r="AF1422" s="7">
        <f>IF($C1422="","",AE1422*AC1422)</f>
        <v/>
      </c>
      <c r="AG1422" s="7">
        <f>IF($C1422="","",AC1422-AF1422)</f>
        <v/>
      </c>
      <c r="AH1422" s="7">
        <f>IF($C1422="","",AG1422-R1422)</f>
        <v/>
      </c>
      <c r="AI1422">
        <f>IF($C1422="","",IF(COUNTIF($C$2:$C1422,$C1422)=1,1,0))</f>
        <v/>
      </c>
      <c r="AJ1422">
        <f>IF($AI1422=1,SUMPRODUCT(--($AL$2:$AL$1501&lt;$AL1422))+1,"")</f>
        <v/>
      </c>
      <c r="AK1422">
        <f>IF($C1422="","",IF(OR($AD1422=TRUE(),$AD1422="TRUE"),0,1))</f>
        <v/>
      </c>
      <c r="AL1422">
        <f>IF($AI1422=1,IFERROR(IF(VALUE($C1422)&lt;100000000,VALUE($C1422),1000000000),IFERROR(IF(VALUE(MID($C1422,2,20))&lt;100000000,VALUE(MID($C1422,2,20)),1000000000),1000000000))+ROW()/100000,"")</f>
        <v/>
      </c>
    </row>
    <row r="1423">
      <c r="J1423" s="7" t="n"/>
      <c r="K1423" s="7" t="n"/>
      <c r="R1423" s="7">
        <f>IF($C1423="","",Q1423*AC1423/100)</f>
        <v/>
      </c>
      <c r="S1423" s="11" t="n"/>
      <c r="U1423" s="11" t="n"/>
      <c r="AA1423" s="7" t="n"/>
      <c r="AC1423" s="7" t="n"/>
      <c r="AE1423">
        <f>IF($C1423="","",IF($AK1423=1,Settings!$C$6,Settings!$C$7)*1)</f>
        <v/>
      </c>
      <c r="AF1423" s="7">
        <f>IF($C1423="","",AE1423*AC1423)</f>
        <v/>
      </c>
      <c r="AG1423" s="7">
        <f>IF($C1423="","",AC1423-AF1423)</f>
        <v/>
      </c>
      <c r="AH1423" s="7">
        <f>IF($C1423="","",AG1423-R1423)</f>
        <v/>
      </c>
      <c r="AI1423">
        <f>IF($C1423="","",IF(COUNTIF($C$2:$C1423,$C1423)=1,1,0))</f>
        <v/>
      </c>
      <c r="AJ1423">
        <f>IF($AI1423=1,SUMPRODUCT(--($AL$2:$AL$1501&lt;$AL1423))+1,"")</f>
        <v/>
      </c>
      <c r="AK1423">
        <f>IF($C1423="","",IF(OR($AD1423=TRUE(),$AD1423="TRUE"),0,1))</f>
        <v/>
      </c>
      <c r="AL1423">
        <f>IF($AI1423=1,IFERROR(IF(VALUE($C1423)&lt;100000000,VALUE($C1423),1000000000),IFERROR(IF(VALUE(MID($C1423,2,20))&lt;100000000,VALUE(MID($C1423,2,20)),1000000000),1000000000))+ROW()/100000,"")</f>
        <v/>
      </c>
    </row>
    <row r="1424">
      <c r="J1424" s="7" t="n"/>
      <c r="K1424" s="7" t="n"/>
      <c r="R1424" s="7">
        <f>IF($C1424="","",Q1424*AC1424/100)</f>
        <v/>
      </c>
      <c r="S1424" s="11" t="n"/>
      <c r="U1424" s="11" t="n"/>
      <c r="AA1424" s="7" t="n"/>
      <c r="AC1424" s="7" t="n"/>
      <c r="AE1424">
        <f>IF($C1424="","",IF($AK1424=1,Settings!$C$6,Settings!$C$7)*1)</f>
        <v/>
      </c>
      <c r="AF1424" s="7">
        <f>IF($C1424="","",AE1424*AC1424)</f>
        <v/>
      </c>
      <c r="AG1424" s="7">
        <f>IF($C1424="","",AC1424-AF1424)</f>
        <v/>
      </c>
      <c r="AH1424" s="7">
        <f>IF($C1424="","",AG1424-R1424)</f>
        <v/>
      </c>
      <c r="AI1424">
        <f>IF($C1424="","",IF(COUNTIF($C$2:$C1424,$C1424)=1,1,0))</f>
        <v/>
      </c>
      <c r="AJ1424">
        <f>IF($AI1424=1,SUMPRODUCT(--($AL$2:$AL$1501&lt;$AL1424))+1,"")</f>
        <v/>
      </c>
      <c r="AK1424">
        <f>IF($C1424="","",IF(OR($AD1424=TRUE(),$AD1424="TRUE"),0,1))</f>
        <v/>
      </c>
      <c r="AL1424">
        <f>IF($AI1424=1,IFERROR(IF(VALUE($C1424)&lt;100000000,VALUE($C1424),1000000000),IFERROR(IF(VALUE(MID($C1424,2,20))&lt;100000000,VALUE(MID($C1424,2,20)),1000000000),1000000000))+ROW()/100000,"")</f>
        <v/>
      </c>
    </row>
    <row r="1425">
      <c r="J1425" s="7" t="n"/>
      <c r="K1425" s="7" t="n"/>
      <c r="R1425" s="7">
        <f>IF($C1425="","",Q1425*AC1425/100)</f>
        <v/>
      </c>
      <c r="S1425" s="11" t="n"/>
      <c r="U1425" s="11" t="n"/>
      <c r="AA1425" s="7" t="n"/>
      <c r="AC1425" s="7" t="n"/>
      <c r="AE1425">
        <f>IF($C1425="","",IF($AK1425=1,Settings!$C$6,Settings!$C$7)*1)</f>
        <v/>
      </c>
      <c r="AF1425" s="7">
        <f>IF($C1425="","",AE1425*AC1425)</f>
        <v/>
      </c>
      <c r="AG1425" s="7">
        <f>IF($C1425="","",AC1425-AF1425)</f>
        <v/>
      </c>
      <c r="AH1425" s="7">
        <f>IF($C1425="","",AG1425-R1425)</f>
        <v/>
      </c>
      <c r="AI1425">
        <f>IF($C1425="","",IF(COUNTIF($C$2:$C1425,$C1425)=1,1,0))</f>
        <v/>
      </c>
      <c r="AJ1425">
        <f>IF($AI1425=1,SUMPRODUCT(--($AL$2:$AL$1501&lt;$AL1425))+1,"")</f>
        <v/>
      </c>
      <c r="AK1425">
        <f>IF($C1425="","",IF(OR($AD1425=TRUE(),$AD1425="TRUE"),0,1))</f>
        <v/>
      </c>
      <c r="AL1425">
        <f>IF($AI1425=1,IFERROR(IF(VALUE($C1425)&lt;100000000,VALUE($C1425),1000000000),IFERROR(IF(VALUE(MID($C1425,2,20))&lt;100000000,VALUE(MID($C1425,2,20)),1000000000),1000000000))+ROW()/100000,"")</f>
        <v/>
      </c>
    </row>
    <row r="1426">
      <c r="J1426" s="7" t="n"/>
      <c r="K1426" s="7" t="n"/>
      <c r="R1426" s="7">
        <f>IF($C1426="","",Q1426*AC1426/100)</f>
        <v/>
      </c>
      <c r="S1426" s="11" t="n"/>
      <c r="U1426" s="11" t="n"/>
      <c r="AA1426" s="7" t="n"/>
      <c r="AC1426" s="7" t="n"/>
      <c r="AE1426">
        <f>IF($C1426="","",IF($AK1426=1,Settings!$C$6,Settings!$C$7)*1)</f>
        <v/>
      </c>
      <c r="AF1426" s="7">
        <f>IF($C1426="","",AE1426*AC1426)</f>
        <v/>
      </c>
      <c r="AG1426" s="7">
        <f>IF($C1426="","",AC1426-AF1426)</f>
        <v/>
      </c>
      <c r="AH1426" s="7">
        <f>IF($C1426="","",AG1426-R1426)</f>
        <v/>
      </c>
      <c r="AI1426">
        <f>IF($C1426="","",IF(COUNTIF($C$2:$C1426,$C1426)=1,1,0))</f>
        <v/>
      </c>
      <c r="AJ1426">
        <f>IF($AI1426=1,SUMPRODUCT(--($AL$2:$AL$1501&lt;$AL1426))+1,"")</f>
        <v/>
      </c>
      <c r="AK1426">
        <f>IF($C1426="","",IF(OR($AD1426=TRUE(),$AD1426="TRUE"),0,1))</f>
        <v/>
      </c>
      <c r="AL1426">
        <f>IF($AI1426=1,IFERROR(IF(VALUE($C1426)&lt;100000000,VALUE($C1426),1000000000),IFERROR(IF(VALUE(MID($C1426,2,20))&lt;100000000,VALUE(MID($C1426,2,20)),1000000000),1000000000))+ROW()/100000,"")</f>
        <v/>
      </c>
    </row>
    <row r="1427">
      <c r="J1427" s="7" t="n"/>
      <c r="K1427" s="7" t="n"/>
      <c r="R1427" s="7">
        <f>IF($C1427="","",Q1427*AC1427/100)</f>
        <v/>
      </c>
      <c r="S1427" s="11" t="n"/>
      <c r="U1427" s="11" t="n"/>
      <c r="AA1427" s="7" t="n"/>
      <c r="AC1427" s="7" t="n"/>
      <c r="AE1427">
        <f>IF($C1427="","",IF($AK1427=1,Settings!$C$6,Settings!$C$7)*1)</f>
        <v/>
      </c>
      <c r="AF1427" s="7">
        <f>IF($C1427="","",AE1427*AC1427)</f>
        <v/>
      </c>
      <c r="AG1427" s="7">
        <f>IF($C1427="","",AC1427-AF1427)</f>
        <v/>
      </c>
      <c r="AH1427" s="7">
        <f>IF($C1427="","",AG1427-R1427)</f>
        <v/>
      </c>
      <c r="AI1427">
        <f>IF($C1427="","",IF(COUNTIF($C$2:$C1427,$C1427)=1,1,0))</f>
        <v/>
      </c>
      <c r="AJ1427">
        <f>IF($AI1427=1,SUMPRODUCT(--($AL$2:$AL$1501&lt;$AL1427))+1,"")</f>
        <v/>
      </c>
      <c r="AK1427">
        <f>IF($C1427="","",IF(OR($AD1427=TRUE(),$AD1427="TRUE"),0,1))</f>
        <v/>
      </c>
      <c r="AL1427">
        <f>IF($AI1427=1,IFERROR(IF(VALUE($C1427)&lt;100000000,VALUE($C1427),1000000000),IFERROR(IF(VALUE(MID($C1427,2,20))&lt;100000000,VALUE(MID($C1427,2,20)),1000000000),1000000000))+ROW()/100000,"")</f>
        <v/>
      </c>
    </row>
    <row r="1428">
      <c r="J1428" s="7" t="n"/>
      <c r="K1428" s="7" t="n"/>
      <c r="R1428" s="7">
        <f>IF($C1428="","",Q1428*AC1428/100)</f>
        <v/>
      </c>
      <c r="S1428" s="11" t="n"/>
      <c r="U1428" s="11" t="n"/>
      <c r="AA1428" s="7" t="n"/>
      <c r="AC1428" s="7" t="n"/>
      <c r="AE1428">
        <f>IF($C1428="","",IF($AK1428=1,Settings!$C$6,Settings!$C$7)*1)</f>
        <v/>
      </c>
      <c r="AF1428" s="7">
        <f>IF($C1428="","",AE1428*AC1428)</f>
        <v/>
      </c>
      <c r="AG1428" s="7">
        <f>IF($C1428="","",AC1428-AF1428)</f>
        <v/>
      </c>
      <c r="AH1428" s="7">
        <f>IF($C1428="","",AG1428-R1428)</f>
        <v/>
      </c>
      <c r="AI1428">
        <f>IF($C1428="","",IF(COUNTIF($C$2:$C1428,$C1428)=1,1,0))</f>
        <v/>
      </c>
      <c r="AJ1428">
        <f>IF($AI1428=1,SUMPRODUCT(--($AL$2:$AL$1501&lt;$AL1428))+1,"")</f>
        <v/>
      </c>
      <c r="AK1428">
        <f>IF($C1428="","",IF(OR($AD1428=TRUE(),$AD1428="TRUE"),0,1))</f>
        <v/>
      </c>
      <c r="AL1428">
        <f>IF($AI1428=1,IFERROR(IF(VALUE($C1428)&lt;100000000,VALUE($C1428),1000000000),IFERROR(IF(VALUE(MID($C1428,2,20))&lt;100000000,VALUE(MID($C1428,2,20)),1000000000),1000000000))+ROW()/100000,"")</f>
        <v/>
      </c>
    </row>
    <row r="1429">
      <c r="J1429" s="7" t="n"/>
      <c r="K1429" s="7" t="n"/>
      <c r="R1429" s="7">
        <f>IF($C1429="","",Q1429*AC1429/100)</f>
        <v/>
      </c>
      <c r="S1429" s="11" t="n"/>
      <c r="U1429" s="11" t="n"/>
      <c r="AA1429" s="7" t="n"/>
      <c r="AC1429" s="7" t="n"/>
      <c r="AE1429">
        <f>IF($C1429="","",IF($AK1429=1,Settings!$C$6,Settings!$C$7)*1)</f>
        <v/>
      </c>
      <c r="AF1429" s="7">
        <f>IF($C1429="","",AE1429*AC1429)</f>
        <v/>
      </c>
      <c r="AG1429" s="7">
        <f>IF($C1429="","",AC1429-AF1429)</f>
        <v/>
      </c>
      <c r="AH1429" s="7">
        <f>IF($C1429="","",AG1429-R1429)</f>
        <v/>
      </c>
      <c r="AI1429">
        <f>IF($C1429="","",IF(COUNTIF($C$2:$C1429,$C1429)=1,1,0))</f>
        <v/>
      </c>
      <c r="AJ1429">
        <f>IF($AI1429=1,SUMPRODUCT(--($AL$2:$AL$1501&lt;$AL1429))+1,"")</f>
        <v/>
      </c>
      <c r="AK1429">
        <f>IF($C1429="","",IF(OR($AD1429=TRUE(),$AD1429="TRUE"),0,1))</f>
        <v/>
      </c>
      <c r="AL1429">
        <f>IF($AI1429=1,IFERROR(IF(VALUE($C1429)&lt;100000000,VALUE($C1429),1000000000),IFERROR(IF(VALUE(MID($C1429,2,20))&lt;100000000,VALUE(MID($C1429,2,20)),1000000000),1000000000))+ROW()/100000,"")</f>
        <v/>
      </c>
    </row>
    <row r="1430">
      <c r="J1430" s="7" t="n"/>
      <c r="K1430" s="7" t="n"/>
      <c r="R1430" s="7">
        <f>IF($C1430="","",Q1430*AC1430/100)</f>
        <v/>
      </c>
      <c r="S1430" s="11" t="n"/>
      <c r="U1430" s="11" t="n"/>
      <c r="AA1430" s="7" t="n"/>
      <c r="AC1430" s="7" t="n"/>
      <c r="AE1430">
        <f>IF($C1430="","",IF($AK1430=1,Settings!$C$6,Settings!$C$7)*1)</f>
        <v/>
      </c>
      <c r="AF1430" s="7">
        <f>IF($C1430="","",AE1430*AC1430)</f>
        <v/>
      </c>
      <c r="AG1430" s="7">
        <f>IF($C1430="","",AC1430-AF1430)</f>
        <v/>
      </c>
      <c r="AH1430" s="7">
        <f>IF($C1430="","",AG1430-R1430)</f>
        <v/>
      </c>
      <c r="AI1430">
        <f>IF($C1430="","",IF(COUNTIF($C$2:$C1430,$C1430)=1,1,0))</f>
        <v/>
      </c>
      <c r="AJ1430">
        <f>IF($AI1430=1,SUMPRODUCT(--($AL$2:$AL$1501&lt;$AL1430))+1,"")</f>
        <v/>
      </c>
      <c r="AK1430">
        <f>IF($C1430="","",IF(OR($AD1430=TRUE(),$AD1430="TRUE"),0,1))</f>
        <v/>
      </c>
      <c r="AL1430">
        <f>IF($AI1430=1,IFERROR(IF(VALUE($C1430)&lt;100000000,VALUE($C1430),1000000000),IFERROR(IF(VALUE(MID($C1430,2,20))&lt;100000000,VALUE(MID($C1430,2,20)),1000000000),1000000000))+ROW()/100000,"")</f>
        <v/>
      </c>
    </row>
    <row r="1431">
      <c r="J1431" s="7" t="n"/>
      <c r="K1431" s="7" t="n"/>
      <c r="R1431" s="7">
        <f>IF($C1431="","",Q1431*AC1431/100)</f>
        <v/>
      </c>
      <c r="S1431" s="11" t="n"/>
      <c r="U1431" s="11" t="n"/>
      <c r="AA1431" s="7" t="n"/>
      <c r="AC1431" s="7" t="n"/>
      <c r="AE1431">
        <f>IF($C1431="","",IF($AK1431=1,Settings!$C$6,Settings!$C$7)*1)</f>
        <v/>
      </c>
      <c r="AF1431" s="7">
        <f>IF($C1431="","",AE1431*AC1431)</f>
        <v/>
      </c>
      <c r="AG1431" s="7">
        <f>IF($C1431="","",AC1431-AF1431)</f>
        <v/>
      </c>
      <c r="AH1431" s="7">
        <f>IF($C1431="","",AG1431-R1431)</f>
        <v/>
      </c>
      <c r="AI1431">
        <f>IF($C1431="","",IF(COUNTIF($C$2:$C1431,$C1431)=1,1,0))</f>
        <v/>
      </c>
      <c r="AJ1431">
        <f>IF($AI1431=1,SUMPRODUCT(--($AL$2:$AL$1501&lt;$AL1431))+1,"")</f>
        <v/>
      </c>
      <c r="AK1431">
        <f>IF($C1431="","",IF(OR($AD1431=TRUE(),$AD1431="TRUE"),0,1))</f>
        <v/>
      </c>
      <c r="AL1431">
        <f>IF($AI1431=1,IFERROR(IF(VALUE($C1431)&lt;100000000,VALUE($C1431),1000000000),IFERROR(IF(VALUE(MID($C1431,2,20))&lt;100000000,VALUE(MID($C1431,2,20)),1000000000),1000000000))+ROW()/100000,"")</f>
        <v/>
      </c>
    </row>
    <row r="1432">
      <c r="J1432" s="7" t="n"/>
      <c r="K1432" s="7" t="n"/>
      <c r="R1432" s="7">
        <f>IF($C1432="","",Q1432*AC1432/100)</f>
        <v/>
      </c>
      <c r="S1432" s="11" t="n"/>
      <c r="U1432" s="11" t="n"/>
      <c r="AA1432" s="7" t="n"/>
      <c r="AC1432" s="7" t="n"/>
      <c r="AE1432">
        <f>IF($C1432="","",IF($AK1432=1,Settings!$C$6,Settings!$C$7)*1)</f>
        <v/>
      </c>
      <c r="AF1432" s="7">
        <f>IF($C1432="","",AE1432*AC1432)</f>
        <v/>
      </c>
      <c r="AG1432" s="7">
        <f>IF($C1432="","",AC1432-AF1432)</f>
        <v/>
      </c>
      <c r="AH1432" s="7">
        <f>IF($C1432="","",AG1432-R1432)</f>
        <v/>
      </c>
      <c r="AI1432">
        <f>IF($C1432="","",IF(COUNTIF($C$2:$C1432,$C1432)=1,1,0))</f>
        <v/>
      </c>
      <c r="AJ1432">
        <f>IF($AI1432=1,SUMPRODUCT(--($AL$2:$AL$1501&lt;$AL1432))+1,"")</f>
        <v/>
      </c>
      <c r="AK1432">
        <f>IF($C1432="","",IF(OR($AD1432=TRUE(),$AD1432="TRUE"),0,1))</f>
        <v/>
      </c>
      <c r="AL1432">
        <f>IF($AI1432=1,IFERROR(IF(VALUE($C1432)&lt;100000000,VALUE($C1432),1000000000),IFERROR(IF(VALUE(MID($C1432,2,20))&lt;100000000,VALUE(MID($C1432,2,20)),1000000000),1000000000))+ROW()/100000,"")</f>
        <v/>
      </c>
    </row>
    <row r="1433">
      <c r="J1433" s="7" t="n"/>
      <c r="K1433" s="7" t="n"/>
      <c r="R1433" s="7">
        <f>IF($C1433="","",Q1433*AC1433/100)</f>
        <v/>
      </c>
      <c r="S1433" s="11" t="n"/>
      <c r="U1433" s="11" t="n"/>
      <c r="AA1433" s="7" t="n"/>
      <c r="AC1433" s="7" t="n"/>
      <c r="AE1433">
        <f>IF($C1433="","",IF($AK1433=1,Settings!$C$6,Settings!$C$7)*1)</f>
        <v/>
      </c>
      <c r="AF1433" s="7">
        <f>IF($C1433="","",AE1433*AC1433)</f>
        <v/>
      </c>
      <c r="AG1433" s="7">
        <f>IF($C1433="","",AC1433-AF1433)</f>
        <v/>
      </c>
      <c r="AH1433" s="7">
        <f>IF($C1433="","",AG1433-R1433)</f>
        <v/>
      </c>
      <c r="AI1433">
        <f>IF($C1433="","",IF(COUNTIF($C$2:$C1433,$C1433)=1,1,0))</f>
        <v/>
      </c>
      <c r="AJ1433">
        <f>IF($AI1433=1,SUMPRODUCT(--($AL$2:$AL$1501&lt;$AL1433))+1,"")</f>
        <v/>
      </c>
      <c r="AK1433">
        <f>IF($C1433="","",IF(OR($AD1433=TRUE(),$AD1433="TRUE"),0,1))</f>
        <v/>
      </c>
      <c r="AL1433">
        <f>IF($AI1433=1,IFERROR(IF(VALUE($C1433)&lt;100000000,VALUE($C1433),1000000000),IFERROR(IF(VALUE(MID($C1433,2,20))&lt;100000000,VALUE(MID($C1433,2,20)),1000000000),1000000000))+ROW()/100000,"")</f>
        <v/>
      </c>
    </row>
    <row r="1434">
      <c r="J1434" s="7" t="n"/>
      <c r="K1434" s="7" t="n"/>
      <c r="R1434" s="7">
        <f>IF($C1434="","",Q1434*AC1434/100)</f>
        <v/>
      </c>
      <c r="S1434" s="11" t="n"/>
      <c r="U1434" s="11" t="n"/>
      <c r="AA1434" s="7" t="n"/>
      <c r="AC1434" s="7" t="n"/>
      <c r="AE1434">
        <f>IF($C1434="","",IF($AK1434=1,Settings!$C$6,Settings!$C$7)*1)</f>
        <v/>
      </c>
      <c r="AF1434" s="7">
        <f>IF($C1434="","",AE1434*AC1434)</f>
        <v/>
      </c>
      <c r="AG1434" s="7">
        <f>IF($C1434="","",AC1434-AF1434)</f>
        <v/>
      </c>
      <c r="AH1434" s="7">
        <f>IF($C1434="","",AG1434-R1434)</f>
        <v/>
      </c>
      <c r="AI1434">
        <f>IF($C1434="","",IF(COUNTIF($C$2:$C1434,$C1434)=1,1,0))</f>
        <v/>
      </c>
      <c r="AJ1434">
        <f>IF($AI1434=1,SUMPRODUCT(--($AL$2:$AL$1501&lt;$AL1434))+1,"")</f>
        <v/>
      </c>
      <c r="AK1434">
        <f>IF($C1434="","",IF(OR($AD1434=TRUE(),$AD1434="TRUE"),0,1))</f>
        <v/>
      </c>
      <c r="AL1434">
        <f>IF($AI1434=1,IFERROR(IF(VALUE($C1434)&lt;100000000,VALUE($C1434),1000000000),IFERROR(IF(VALUE(MID($C1434,2,20))&lt;100000000,VALUE(MID($C1434,2,20)),1000000000),1000000000))+ROW()/100000,"")</f>
        <v/>
      </c>
    </row>
    <row r="1435">
      <c r="J1435" s="7" t="n"/>
      <c r="K1435" s="7" t="n"/>
      <c r="R1435" s="7">
        <f>IF($C1435="","",Q1435*AC1435/100)</f>
        <v/>
      </c>
      <c r="S1435" s="11" t="n"/>
      <c r="U1435" s="11" t="n"/>
      <c r="AA1435" s="7" t="n"/>
      <c r="AC1435" s="7" t="n"/>
      <c r="AE1435">
        <f>IF($C1435="","",IF($AK1435=1,Settings!$C$6,Settings!$C$7)*1)</f>
        <v/>
      </c>
      <c r="AF1435" s="7">
        <f>IF($C1435="","",AE1435*AC1435)</f>
        <v/>
      </c>
      <c r="AG1435" s="7">
        <f>IF($C1435="","",AC1435-AF1435)</f>
        <v/>
      </c>
      <c r="AH1435" s="7">
        <f>IF($C1435="","",AG1435-R1435)</f>
        <v/>
      </c>
      <c r="AI1435">
        <f>IF($C1435="","",IF(COUNTIF($C$2:$C1435,$C1435)=1,1,0))</f>
        <v/>
      </c>
      <c r="AJ1435">
        <f>IF($AI1435=1,SUMPRODUCT(--($AL$2:$AL$1501&lt;$AL1435))+1,"")</f>
        <v/>
      </c>
      <c r="AK1435">
        <f>IF($C1435="","",IF(OR($AD1435=TRUE(),$AD1435="TRUE"),0,1))</f>
        <v/>
      </c>
      <c r="AL1435">
        <f>IF($AI1435=1,IFERROR(IF(VALUE($C1435)&lt;100000000,VALUE($C1435),1000000000),IFERROR(IF(VALUE(MID($C1435,2,20))&lt;100000000,VALUE(MID($C1435,2,20)),1000000000),1000000000))+ROW()/100000,"")</f>
        <v/>
      </c>
    </row>
    <row r="1436">
      <c r="J1436" s="7" t="n"/>
      <c r="K1436" s="7" t="n"/>
      <c r="R1436" s="7">
        <f>IF($C1436="","",Q1436*AC1436/100)</f>
        <v/>
      </c>
      <c r="S1436" s="11" t="n"/>
      <c r="U1436" s="11" t="n"/>
      <c r="AA1436" s="7" t="n"/>
      <c r="AC1436" s="7" t="n"/>
      <c r="AE1436">
        <f>IF($C1436="","",IF($AK1436=1,Settings!$C$6,Settings!$C$7)*1)</f>
        <v/>
      </c>
      <c r="AF1436" s="7">
        <f>IF($C1436="","",AE1436*AC1436)</f>
        <v/>
      </c>
      <c r="AG1436" s="7">
        <f>IF($C1436="","",AC1436-AF1436)</f>
        <v/>
      </c>
      <c r="AH1436" s="7">
        <f>IF($C1436="","",AG1436-R1436)</f>
        <v/>
      </c>
      <c r="AI1436">
        <f>IF($C1436="","",IF(COUNTIF($C$2:$C1436,$C1436)=1,1,0))</f>
        <v/>
      </c>
      <c r="AJ1436">
        <f>IF($AI1436=1,SUMPRODUCT(--($AL$2:$AL$1501&lt;$AL1436))+1,"")</f>
        <v/>
      </c>
      <c r="AK1436">
        <f>IF($C1436="","",IF(OR($AD1436=TRUE(),$AD1436="TRUE"),0,1))</f>
        <v/>
      </c>
      <c r="AL1436">
        <f>IF($AI1436=1,IFERROR(IF(VALUE($C1436)&lt;100000000,VALUE($C1436),1000000000),IFERROR(IF(VALUE(MID($C1436,2,20))&lt;100000000,VALUE(MID($C1436,2,20)),1000000000),1000000000))+ROW()/100000,"")</f>
        <v/>
      </c>
    </row>
    <row r="1437">
      <c r="J1437" s="7" t="n"/>
      <c r="K1437" s="7" t="n"/>
      <c r="R1437" s="7">
        <f>IF($C1437="","",Q1437*AC1437/100)</f>
        <v/>
      </c>
      <c r="S1437" s="11" t="n"/>
      <c r="U1437" s="11" t="n"/>
      <c r="AA1437" s="7" t="n"/>
      <c r="AC1437" s="7" t="n"/>
      <c r="AE1437">
        <f>IF($C1437="","",IF($AK1437=1,Settings!$C$6,Settings!$C$7)*1)</f>
        <v/>
      </c>
      <c r="AF1437" s="7">
        <f>IF($C1437="","",AE1437*AC1437)</f>
        <v/>
      </c>
      <c r="AG1437" s="7">
        <f>IF($C1437="","",AC1437-AF1437)</f>
        <v/>
      </c>
      <c r="AH1437" s="7">
        <f>IF($C1437="","",AG1437-R1437)</f>
        <v/>
      </c>
      <c r="AI1437">
        <f>IF($C1437="","",IF(COUNTIF($C$2:$C1437,$C1437)=1,1,0))</f>
        <v/>
      </c>
      <c r="AJ1437">
        <f>IF($AI1437=1,SUMPRODUCT(--($AL$2:$AL$1501&lt;$AL1437))+1,"")</f>
        <v/>
      </c>
      <c r="AK1437">
        <f>IF($C1437="","",IF(OR($AD1437=TRUE(),$AD1437="TRUE"),0,1))</f>
        <v/>
      </c>
      <c r="AL1437">
        <f>IF($AI1437=1,IFERROR(IF(VALUE($C1437)&lt;100000000,VALUE($C1437),1000000000),IFERROR(IF(VALUE(MID($C1437,2,20))&lt;100000000,VALUE(MID($C1437,2,20)),1000000000),1000000000))+ROW()/100000,"")</f>
        <v/>
      </c>
    </row>
    <row r="1438">
      <c r="J1438" s="7" t="n"/>
      <c r="K1438" s="7" t="n"/>
      <c r="R1438" s="7">
        <f>IF($C1438="","",Q1438*AC1438/100)</f>
        <v/>
      </c>
      <c r="S1438" s="11" t="n"/>
      <c r="U1438" s="11" t="n"/>
      <c r="AA1438" s="7" t="n"/>
      <c r="AC1438" s="7" t="n"/>
      <c r="AE1438">
        <f>IF($C1438="","",IF($AK1438=1,Settings!$C$6,Settings!$C$7)*1)</f>
        <v/>
      </c>
      <c r="AF1438" s="7">
        <f>IF($C1438="","",AE1438*AC1438)</f>
        <v/>
      </c>
      <c r="AG1438" s="7">
        <f>IF($C1438="","",AC1438-AF1438)</f>
        <v/>
      </c>
      <c r="AH1438" s="7">
        <f>IF($C1438="","",AG1438-R1438)</f>
        <v/>
      </c>
      <c r="AI1438">
        <f>IF($C1438="","",IF(COUNTIF($C$2:$C1438,$C1438)=1,1,0))</f>
        <v/>
      </c>
      <c r="AJ1438">
        <f>IF($AI1438=1,SUMPRODUCT(--($AL$2:$AL$1501&lt;$AL1438))+1,"")</f>
        <v/>
      </c>
      <c r="AK1438">
        <f>IF($C1438="","",IF(OR($AD1438=TRUE(),$AD1438="TRUE"),0,1))</f>
        <v/>
      </c>
      <c r="AL1438">
        <f>IF($AI1438=1,IFERROR(IF(VALUE($C1438)&lt;100000000,VALUE($C1438),1000000000),IFERROR(IF(VALUE(MID($C1438,2,20))&lt;100000000,VALUE(MID($C1438,2,20)),1000000000),1000000000))+ROW()/100000,"")</f>
        <v/>
      </c>
    </row>
    <row r="1439">
      <c r="J1439" s="7" t="n"/>
      <c r="K1439" s="7" t="n"/>
      <c r="R1439" s="7">
        <f>IF($C1439="","",Q1439*AC1439/100)</f>
        <v/>
      </c>
      <c r="S1439" s="11" t="n"/>
      <c r="U1439" s="11" t="n"/>
      <c r="AA1439" s="7" t="n"/>
      <c r="AC1439" s="7" t="n"/>
      <c r="AE1439">
        <f>IF($C1439="","",IF($AK1439=1,Settings!$C$6,Settings!$C$7)*1)</f>
        <v/>
      </c>
      <c r="AF1439" s="7">
        <f>IF($C1439="","",AE1439*AC1439)</f>
        <v/>
      </c>
      <c r="AG1439" s="7">
        <f>IF($C1439="","",AC1439-AF1439)</f>
        <v/>
      </c>
      <c r="AH1439" s="7">
        <f>IF($C1439="","",AG1439-R1439)</f>
        <v/>
      </c>
      <c r="AI1439">
        <f>IF($C1439="","",IF(COUNTIF($C$2:$C1439,$C1439)=1,1,0))</f>
        <v/>
      </c>
      <c r="AJ1439">
        <f>IF($AI1439=1,SUMPRODUCT(--($AL$2:$AL$1501&lt;$AL1439))+1,"")</f>
        <v/>
      </c>
      <c r="AK1439">
        <f>IF($C1439="","",IF(OR($AD1439=TRUE(),$AD1439="TRUE"),0,1))</f>
        <v/>
      </c>
      <c r="AL1439">
        <f>IF($AI1439=1,IFERROR(IF(VALUE($C1439)&lt;100000000,VALUE($C1439),1000000000),IFERROR(IF(VALUE(MID($C1439,2,20))&lt;100000000,VALUE(MID($C1439,2,20)),1000000000),1000000000))+ROW()/100000,"")</f>
        <v/>
      </c>
    </row>
    <row r="1440">
      <c r="J1440" s="7" t="n"/>
      <c r="K1440" s="7" t="n"/>
      <c r="R1440" s="7">
        <f>IF($C1440="","",Q1440*AC1440/100)</f>
        <v/>
      </c>
      <c r="S1440" s="11" t="n"/>
      <c r="U1440" s="11" t="n"/>
      <c r="AA1440" s="7" t="n"/>
      <c r="AC1440" s="7" t="n"/>
      <c r="AE1440">
        <f>IF($C1440="","",IF($AK1440=1,Settings!$C$6,Settings!$C$7)*1)</f>
        <v/>
      </c>
      <c r="AF1440" s="7">
        <f>IF($C1440="","",AE1440*AC1440)</f>
        <v/>
      </c>
      <c r="AG1440" s="7">
        <f>IF($C1440="","",AC1440-AF1440)</f>
        <v/>
      </c>
      <c r="AH1440" s="7">
        <f>IF($C1440="","",AG1440-R1440)</f>
        <v/>
      </c>
      <c r="AI1440">
        <f>IF($C1440="","",IF(COUNTIF($C$2:$C1440,$C1440)=1,1,0))</f>
        <v/>
      </c>
      <c r="AJ1440">
        <f>IF($AI1440=1,SUMPRODUCT(--($AL$2:$AL$1501&lt;$AL1440))+1,"")</f>
        <v/>
      </c>
      <c r="AK1440">
        <f>IF($C1440="","",IF(OR($AD1440=TRUE(),$AD1440="TRUE"),0,1))</f>
        <v/>
      </c>
      <c r="AL1440">
        <f>IF($AI1440=1,IFERROR(IF(VALUE($C1440)&lt;100000000,VALUE($C1440),1000000000),IFERROR(IF(VALUE(MID($C1440,2,20))&lt;100000000,VALUE(MID($C1440,2,20)),1000000000),1000000000))+ROW()/100000,"")</f>
        <v/>
      </c>
    </row>
    <row r="1441">
      <c r="J1441" s="7" t="n"/>
      <c r="K1441" s="7" t="n"/>
      <c r="R1441" s="7">
        <f>IF($C1441="","",Q1441*AC1441/100)</f>
        <v/>
      </c>
      <c r="S1441" s="11" t="n"/>
      <c r="U1441" s="11" t="n"/>
      <c r="AA1441" s="7" t="n"/>
      <c r="AC1441" s="7" t="n"/>
      <c r="AE1441">
        <f>IF($C1441="","",IF($AK1441=1,Settings!$C$6,Settings!$C$7)*1)</f>
        <v/>
      </c>
      <c r="AF1441" s="7">
        <f>IF($C1441="","",AE1441*AC1441)</f>
        <v/>
      </c>
      <c r="AG1441" s="7">
        <f>IF($C1441="","",AC1441-AF1441)</f>
        <v/>
      </c>
      <c r="AH1441" s="7">
        <f>IF($C1441="","",AG1441-R1441)</f>
        <v/>
      </c>
      <c r="AI1441">
        <f>IF($C1441="","",IF(COUNTIF($C$2:$C1441,$C1441)=1,1,0))</f>
        <v/>
      </c>
      <c r="AJ1441">
        <f>IF($AI1441=1,SUMPRODUCT(--($AL$2:$AL$1501&lt;$AL1441))+1,"")</f>
        <v/>
      </c>
      <c r="AK1441">
        <f>IF($C1441="","",IF(OR($AD1441=TRUE(),$AD1441="TRUE"),0,1))</f>
        <v/>
      </c>
      <c r="AL1441">
        <f>IF($AI1441=1,IFERROR(IF(VALUE($C1441)&lt;100000000,VALUE($C1441),1000000000),IFERROR(IF(VALUE(MID($C1441,2,20))&lt;100000000,VALUE(MID($C1441,2,20)),1000000000),1000000000))+ROW()/100000,"")</f>
        <v/>
      </c>
    </row>
    <row r="1442">
      <c r="J1442" s="7" t="n"/>
      <c r="K1442" s="7" t="n"/>
      <c r="R1442" s="7">
        <f>IF($C1442="","",Q1442*AC1442/100)</f>
        <v/>
      </c>
      <c r="S1442" s="11" t="n"/>
      <c r="U1442" s="11" t="n"/>
      <c r="AA1442" s="7" t="n"/>
      <c r="AC1442" s="7" t="n"/>
      <c r="AE1442">
        <f>IF($C1442="","",IF($AK1442=1,Settings!$C$6,Settings!$C$7)*1)</f>
        <v/>
      </c>
      <c r="AF1442" s="7">
        <f>IF($C1442="","",AE1442*AC1442)</f>
        <v/>
      </c>
      <c r="AG1442" s="7">
        <f>IF($C1442="","",AC1442-AF1442)</f>
        <v/>
      </c>
      <c r="AH1442" s="7">
        <f>IF($C1442="","",AG1442-R1442)</f>
        <v/>
      </c>
      <c r="AI1442">
        <f>IF($C1442="","",IF(COUNTIF($C$2:$C1442,$C1442)=1,1,0))</f>
        <v/>
      </c>
      <c r="AJ1442">
        <f>IF($AI1442=1,SUMPRODUCT(--($AL$2:$AL$1501&lt;$AL1442))+1,"")</f>
        <v/>
      </c>
      <c r="AK1442">
        <f>IF($C1442="","",IF(OR($AD1442=TRUE(),$AD1442="TRUE"),0,1))</f>
        <v/>
      </c>
      <c r="AL1442">
        <f>IF($AI1442=1,IFERROR(IF(VALUE($C1442)&lt;100000000,VALUE($C1442),1000000000),IFERROR(IF(VALUE(MID($C1442,2,20))&lt;100000000,VALUE(MID($C1442,2,20)),1000000000),1000000000))+ROW()/100000,"")</f>
        <v/>
      </c>
    </row>
    <row r="1443">
      <c r="J1443" s="7" t="n"/>
      <c r="K1443" s="7" t="n"/>
      <c r="R1443" s="7">
        <f>IF($C1443="","",Q1443*AC1443/100)</f>
        <v/>
      </c>
      <c r="S1443" s="11" t="n"/>
      <c r="U1443" s="11" t="n"/>
      <c r="AA1443" s="7" t="n"/>
      <c r="AC1443" s="7" t="n"/>
      <c r="AE1443">
        <f>IF($C1443="","",IF($AK1443=1,Settings!$C$6,Settings!$C$7)*1)</f>
        <v/>
      </c>
      <c r="AF1443" s="7">
        <f>IF($C1443="","",AE1443*AC1443)</f>
        <v/>
      </c>
      <c r="AG1443" s="7">
        <f>IF($C1443="","",AC1443-AF1443)</f>
        <v/>
      </c>
      <c r="AH1443" s="7">
        <f>IF($C1443="","",AG1443-R1443)</f>
        <v/>
      </c>
      <c r="AI1443">
        <f>IF($C1443="","",IF(COUNTIF($C$2:$C1443,$C1443)=1,1,0))</f>
        <v/>
      </c>
      <c r="AJ1443">
        <f>IF($AI1443=1,SUMPRODUCT(--($AL$2:$AL$1501&lt;$AL1443))+1,"")</f>
        <v/>
      </c>
      <c r="AK1443">
        <f>IF($C1443="","",IF(OR($AD1443=TRUE(),$AD1443="TRUE"),0,1))</f>
        <v/>
      </c>
      <c r="AL1443">
        <f>IF($AI1443=1,IFERROR(IF(VALUE($C1443)&lt;100000000,VALUE($C1443),1000000000),IFERROR(IF(VALUE(MID($C1443,2,20))&lt;100000000,VALUE(MID($C1443,2,20)),1000000000),1000000000))+ROW()/100000,"")</f>
        <v/>
      </c>
    </row>
    <row r="1444">
      <c r="J1444" s="7" t="n"/>
      <c r="K1444" s="7" t="n"/>
      <c r="R1444" s="7">
        <f>IF($C1444="","",Q1444*AC1444/100)</f>
        <v/>
      </c>
      <c r="S1444" s="11" t="n"/>
      <c r="U1444" s="11" t="n"/>
      <c r="AA1444" s="7" t="n"/>
      <c r="AC1444" s="7" t="n"/>
      <c r="AE1444">
        <f>IF($C1444="","",IF($AK1444=1,Settings!$C$6,Settings!$C$7)*1)</f>
        <v/>
      </c>
      <c r="AF1444" s="7">
        <f>IF($C1444="","",AE1444*AC1444)</f>
        <v/>
      </c>
      <c r="AG1444" s="7">
        <f>IF($C1444="","",AC1444-AF1444)</f>
        <v/>
      </c>
      <c r="AH1444" s="7">
        <f>IF($C1444="","",AG1444-R1444)</f>
        <v/>
      </c>
      <c r="AI1444">
        <f>IF($C1444="","",IF(COUNTIF($C$2:$C1444,$C1444)=1,1,0))</f>
        <v/>
      </c>
      <c r="AJ1444">
        <f>IF($AI1444=1,SUMPRODUCT(--($AL$2:$AL$1501&lt;$AL1444))+1,"")</f>
        <v/>
      </c>
      <c r="AK1444">
        <f>IF($C1444="","",IF(OR($AD1444=TRUE(),$AD1444="TRUE"),0,1))</f>
        <v/>
      </c>
      <c r="AL1444">
        <f>IF($AI1444=1,IFERROR(IF(VALUE($C1444)&lt;100000000,VALUE($C1444),1000000000),IFERROR(IF(VALUE(MID($C1444,2,20))&lt;100000000,VALUE(MID($C1444,2,20)),1000000000),1000000000))+ROW()/100000,"")</f>
        <v/>
      </c>
    </row>
    <row r="1445">
      <c r="J1445" s="7" t="n"/>
      <c r="K1445" s="7" t="n"/>
      <c r="R1445" s="7">
        <f>IF($C1445="","",Q1445*AC1445/100)</f>
        <v/>
      </c>
      <c r="S1445" s="11" t="n"/>
      <c r="U1445" s="11" t="n"/>
      <c r="AA1445" s="7" t="n"/>
      <c r="AC1445" s="7" t="n"/>
      <c r="AE1445">
        <f>IF($C1445="","",IF($AK1445=1,Settings!$C$6,Settings!$C$7)*1)</f>
        <v/>
      </c>
      <c r="AF1445" s="7">
        <f>IF($C1445="","",AE1445*AC1445)</f>
        <v/>
      </c>
      <c r="AG1445" s="7">
        <f>IF($C1445="","",AC1445-AF1445)</f>
        <v/>
      </c>
      <c r="AH1445" s="7">
        <f>IF($C1445="","",AG1445-R1445)</f>
        <v/>
      </c>
      <c r="AI1445">
        <f>IF($C1445="","",IF(COUNTIF($C$2:$C1445,$C1445)=1,1,0))</f>
        <v/>
      </c>
      <c r="AJ1445">
        <f>IF($AI1445=1,SUMPRODUCT(--($AL$2:$AL$1501&lt;$AL1445))+1,"")</f>
        <v/>
      </c>
      <c r="AK1445">
        <f>IF($C1445="","",IF(OR($AD1445=TRUE(),$AD1445="TRUE"),0,1))</f>
        <v/>
      </c>
      <c r="AL1445">
        <f>IF($AI1445=1,IFERROR(IF(VALUE($C1445)&lt;100000000,VALUE($C1445),1000000000),IFERROR(IF(VALUE(MID($C1445,2,20))&lt;100000000,VALUE(MID($C1445,2,20)),1000000000),1000000000))+ROW()/100000,"")</f>
        <v/>
      </c>
    </row>
    <row r="1446">
      <c r="J1446" s="7" t="n"/>
      <c r="K1446" s="7" t="n"/>
      <c r="R1446" s="7">
        <f>IF($C1446="","",Q1446*AC1446/100)</f>
        <v/>
      </c>
      <c r="S1446" s="11" t="n"/>
      <c r="U1446" s="11" t="n"/>
      <c r="AA1446" s="7" t="n"/>
      <c r="AC1446" s="7" t="n"/>
      <c r="AE1446">
        <f>IF($C1446="","",IF($AK1446=1,Settings!$C$6,Settings!$C$7)*1)</f>
        <v/>
      </c>
      <c r="AF1446" s="7">
        <f>IF($C1446="","",AE1446*AC1446)</f>
        <v/>
      </c>
      <c r="AG1446" s="7">
        <f>IF($C1446="","",AC1446-AF1446)</f>
        <v/>
      </c>
      <c r="AH1446" s="7">
        <f>IF($C1446="","",AG1446-R1446)</f>
        <v/>
      </c>
      <c r="AI1446">
        <f>IF($C1446="","",IF(COUNTIF($C$2:$C1446,$C1446)=1,1,0))</f>
        <v/>
      </c>
      <c r="AJ1446">
        <f>IF($AI1446=1,SUMPRODUCT(--($AL$2:$AL$1501&lt;$AL1446))+1,"")</f>
        <v/>
      </c>
      <c r="AK1446">
        <f>IF($C1446="","",IF(OR($AD1446=TRUE(),$AD1446="TRUE"),0,1))</f>
        <v/>
      </c>
      <c r="AL1446">
        <f>IF($AI1446=1,IFERROR(IF(VALUE($C1446)&lt;100000000,VALUE($C1446),1000000000),IFERROR(IF(VALUE(MID($C1446,2,20))&lt;100000000,VALUE(MID($C1446,2,20)),1000000000),1000000000))+ROW()/100000,"")</f>
        <v/>
      </c>
    </row>
    <row r="1447">
      <c r="J1447" s="7" t="n"/>
      <c r="K1447" s="7" t="n"/>
      <c r="R1447" s="7">
        <f>IF($C1447="","",Q1447*AC1447/100)</f>
        <v/>
      </c>
      <c r="S1447" s="11" t="n"/>
      <c r="U1447" s="11" t="n"/>
      <c r="AA1447" s="7" t="n"/>
      <c r="AC1447" s="7" t="n"/>
      <c r="AE1447">
        <f>IF($C1447="","",IF($AK1447=1,Settings!$C$6,Settings!$C$7)*1)</f>
        <v/>
      </c>
      <c r="AF1447" s="7">
        <f>IF($C1447="","",AE1447*AC1447)</f>
        <v/>
      </c>
      <c r="AG1447" s="7">
        <f>IF($C1447="","",AC1447-AF1447)</f>
        <v/>
      </c>
      <c r="AH1447" s="7">
        <f>IF($C1447="","",AG1447-R1447)</f>
        <v/>
      </c>
      <c r="AI1447">
        <f>IF($C1447="","",IF(COUNTIF($C$2:$C1447,$C1447)=1,1,0))</f>
        <v/>
      </c>
      <c r="AJ1447">
        <f>IF($AI1447=1,SUMPRODUCT(--($AL$2:$AL$1501&lt;$AL1447))+1,"")</f>
        <v/>
      </c>
      <c r="AK1447">
        <f>IF($C1447="","",IF(OR($AD1447=TRUE(),$AD1447="TRUE"),0,1))</f>
        <v/>
      </c>
      <c r="AL1447">
        <f>IF($AI1447=1,IFERROR(IF(VALUE($C1447)&lt;100000000,VALUE($C1447),1000000000),IFERROR(IF(VALUE(MID($C1447,2,20))&lt;100000000,VALUE(MID($C1447,2,20)),1000000000),1000000000))+ROW()/100000,"")</f>
        <v/>
      </c>
    </row>
    <row r="1448">
      <c r="J1448" s="7" t="n"/>
      <c r="K1448" s="7" t="n"/>
      <c r="R1448" s="7">
        <f>IF($C1448="","",Q1448*AC1448/100)</f>
        <v/>
      </c>
      <c r="S1448" s="11" t="n"/>
      <c r="U1448" s="11" t="n"/>
      <c r="AA1448" s="7" t="n"/>
      <c r="AC1448" s="7" t="n"/>
      <c r="AE1448">
        <f>IF($C1448="","",IF($AK1448=1,Settings!$C$6,Settings!$C$7)*1)</f>
        <v/>
      </c>
      <c r="AF1448" s="7">
        <f>IF($C1448="","",AE1448*AC1448)</f>
        <v/>
      </c>
      <c r="AG1448" s="7">
        <f>IF($C1448="","",AC1448-AF1448)</f>
        <v/>
      </c>
      <c r="AH1448" s="7">
        <f>IF($C1448="","",AG1448-R1448)</f>
        <v/>
      </c>
      <c r="AI1448">
        <f>IF($C1448="","",IF(COUNTIF($C$2:$C1448,$C1448)=1,1,0))</f>
        <v/>
      </c>
      <c r="AJ1448">
        <f>IF($AI1448=1,SUMPRODUCT(--($AL$2:$AL$1501&lt;$AL1448))+1,"")</f>
        <v/>
      </c>
      <c r="AK1448">
        <f>IF($C1448="","",IF(OR($AD1448=TRUE(),$AD1448="TRUE"),0,1))</f>
        <v/>
      </c>
      <c r="AL1448">
        <f>IF($AI1448=1,IFERROR(IF(VALUE($C1448)&lt;100000000,VALUE($C1448),1000000000),IFERROR(IF(VALUE(MID($C1448,2,20))&lt;100000000,VALUE(MID($C1448,2,20)),1000000000),1000000000))+ROW()/100000,"")</f>
        <v/>
      </c>
    </row>
    <row r="1449">
      <c r="J1449" s="7" t="n"/>
      <c r="K1449" s="7" t="n"/>
      <c r="R1449" s="7">
        <f>IF($C1449="","",Q1449*AC1449/100)</f>
        <v/>
      </c>
      <c r="S1449" s="11" t="n"/>
      <c r="U1449" s="11" t="n"/>
      <c r="AA1449" s="7" t="n"/>
      <c r="AC1449" s="7" t="n"/>
      <c r="AE1449">
        <f>IF($C1449="","",IF($AK1449=1,Settings!$C$6,Settings!$C$7)*1)</f>
        <v/>
      </c>
      <c r="AF1449" s="7">
        <f>IF($C1449="","",AE1449*AC1449)</f>
        <v/>
      </c>
      <c r="AG1449" s="7">
        <f>IF($C1449="","",AC1449-AF1449)</f>
        <v/>
      </c>
      <c r="AH1449" s="7">
        <f>IF($C1449="","",AG1449-R1449)</f>
        <v/>
      </c>
      <c r="AI1449">
        <f>IF($C1449="","",IF(COUNTIF($C$2:$C1449,$C1449)=1,1,0))</f>
        <v/>
      </c>
      <c r="AJ1449">
        <f>IF($AI1449=1,SUMPRODUCT(--($AL$2:$AL$1501&lt;$AL1449))+1,"")</f>
        <v/>
      </c>
      <c r="AK1449">
        <f>IF($C1449="","",IF(OR($AD1449=TRUE(),$AD1449="TRUE"),0,1))</f>
        <v/>
      </c>
      <c r="AL1449">
        <f>IF($AI1449=1,IFERROR(IF(VALUE($C1449)&lt;100000000,VALUE($C1449),1000000000),IFERROR(IF(VALUE(MID($C1449,2,20))&lt;100000000,VALUE(MID($C1449,2,20)),1000000000),1000000000))+ROW()/100000,"")</f>
        <v/>
      </c>
    </row>
    <row r="1450">
      <c r="J1450" s="7" t="n"/>
      <c r="K1450" s="7" t="n"/>
      <c r="R1450" s="7">
        <f>IF($C1450="","",Q1450*AC1450/100)</f>
        <v/>
      </c>
      <c r="S1450" s="11" t="n"/>
      <c r="U1450" s="11" t="n"/>
      <c r="AA1450" s="7" t="n"/>
      <c r="AC1450" s="7" t="n"/>
      <c r="AE1450">
        <f>IF($C1450="","",IF($AK1450=1,Settings!$C$6,Settings!$C$7)*1)</f>
        <v/>
      </c>
      <c r="AF1450" s="7">
        <f>IF($C1450="","",AE1450*AC1450)</f>
        <v/>
      </c>
      <c r="AG1450" s="7">
        <f>IF($C1450="","",AC1450-AF1450)</f>
        <v/>
      </c>
      <c r="AH1450" s="7">
        <f>IF($C1450="","",AG1450-R1450)</f>
        <v/>
      </c>
      <c r="AI1450">
        <f>IF($C1450="","",IF(COUNTIF($C$2:$C1450,$C1450)=1,1,0))</f>
        <v/>
      </c>
      <c r="AJ1450">
        <f>IF($AI1450=1,SUMPRODUCT(--($AL$2:$AL$1501&lt;$AL1450))+1,"")</f>
        <v/>
      </c>
      <c r="AK1450">
        <f>IF($C1450="","",IF(OR($AD1450=TRUE(),$AD1450="TRUE"),0,1))</f>
        <v/>
      </c>
      <c r="AL1450">
        <f>IF($AI1450=1,IFERROR(IF(VALUE($C1450)&lt;100000000,VALUE($C1450),1000000000),IFERROR(IF(VALUE(MID($C1450,2,20))&lt;100000000,VALUE(MID($C1450,2,20)),1000000000),1000000000))+ROW()/100000,"")</f>
        <v/>
      </c>
    </row>
    <row r="1451">
      <c r="J1451" s="7" t="n"/>
      <c r="K1451" s="7" t="n"/>
      <c r="R1451" s="7">
        <f>IF($C1451="","",Q1451*AC1451/100)</f>
        <v/>
      </c>
      <c r="S1451" s="11" t="n"/>
      <c r="U1451" s="11" t="n"/>
      <c r="AA1451" s="7" t="n"/>
      <c r="AC1451" s="7" t="n"/>
      <c r="AE1451">
        <f>IF($C1451="","",IF($AK1451=1,Settings!$C$6,Settings!$C$7)*1)</f>
        <v/>
      </c>
      <c r="AF1451" s="7">
        <f>IF($C1451="","",AE1451*AC1451)</f>
        <v/>
      </c>
      <c r="AG1451" s="7">
        <f>IF($C1451="","",AC1451-AF1451)</f>
        <v/>
      </c>
      <c r="AH1451" s="7">
        <f>IF($C1451="","",AG1451-R1451)</f>
        <v/>
      </c>
      <c r="AI1451">
        <f>IF($C1451="","",IF(COUNTIF($C$2:$C1451,$C1451)=1,1,0))</f>
        <v/>
      </c>
      <c r="AJ1451">
        <f>IF($AI1451=1,SUMPRODUCT(--($AL$2:$AL$1501&lt;$AL1451))+1,"")</f>
        <v/>
      </c>
      <c r="AK1451">
        <f>IF($C1451="","",IF(OR($AD1451=TRUE(),$AD1451="TRUE"),0,1))</f>
        <v/>
      </c>
      <c r="AL1451">
        <f>IF($AI1451=1,IFERROR(IF(VALUE($C1451)&lt;100000000,VALUE($C1451),1000000000),IFERROR(IF(VALUE(MID($C1451,2,20))&lt;100000000,VALUE(MID($C1451,2,20)),1000000000),1000000000))+ROW()/100000,"")</f>
        <v/>
      </c>
    </row>
    <row r="1452">
      <c r="J1452" s="7" t="n"/>
      <c r="K1452" s="7" t="n"/>
      <c r="R1452" s="7">
        <f>IF($C1452="","",Q1452*AC1452/100)</f>
        <v/>
      </c>
      <c r="S1452" s="11" t="n"/>
      <c r="U1452" s="11" t="n"/>
      <c r="AA1452" s="7" t="n"/>
      <c r="AC1452" s="7" t="n"/>
      <c r="AE1452">
        <f>IF($C1452="","",IF($AK1452=1,Settings!$C$6,Settings!$C$7)*1)</f>
        <v/>
      </c>
      <c r="AF1452" s="7">
        <f>IF($C1452="","",AE1452*AC1452)</f>
        <v/>
      </c>
      <c r="AG1452" s="7">
        <f>IF($C1452="","",AC1452-AF1452)</f>
        <v/>
      </c>
      <c r="AH1452" s="7">
        <f>IF($C1452="","",AG1452-R1452)</f>
        <v/>
      </c>
      <c r="AI1452">
        <f>IF($C1452="","",IF(COUNTIF($C$2:$C1452,$C1452)=1,1,0))</f>
        <v/>
      </c>
      <c r="AJ1452">
        <f>IF($AI1452=1,SUMPRODUCT(--($AL$2:$AL$1501&lt;$AL1452))+1,"")</f>
        <v/>
      </c>
      <c r="AK1452">
        <f>IF($C1452="","",IF(OR($AD1452=TRUE(),$AD1452="TRUE"),0,1))</f>
        <v/>
      </c>
      <c r="AL1452">
        <f>IF($AI1452=1,IFERROR(IF(VALUE($C1452)&lt;100000000,VALUE($C1452),1000000000),IFERROR(IF(VALUE(MID($C1452,2,20))&lt;100000000,VALUE(MID($C1452,2,20)),1000000000),1000000000))+ROW()/100000,"")</f>
        <v/>
      </c>
    </row>
    <row r="1453">
      <c r="J1453" s="7" t="n"/>
      <c r="K1453" s="7" t="n"/>
      <c r="R1453" s="7">
        <f>IF($C1453="","",Q1453*AC1453/100)</f>
        <v/>
      </c>
      <c r="S1453" s="11" t="n"/>
      <c r="U1453" s="11" t="n"/>
      <c r="AA1453" s="7" t="n"/>
      <c r="AC1453" s="7" t="n"/>
      <c r="AE1453">
        <f>IF($C1453="","",IF($AK1453=1,Settings!$C$6,Settings!$C$7)*1)</f>
        <v/>
      </c>
      <c r="AF1453" s="7">
        <f>IF($C1453="","",AE1453*AC1453)</f>
        <v/>
      </c>
      <c r="AG1453" s="7">
        <f>IF($C1453="","",AC1453-AF1453)</f>
        <v/>
      </c>
      <c r="AH1453" s="7">
        <f>IF($C1453="","",AG1453-R1453)</f>
        <v/>
      </c>
      <c r="AI1453">
        <f>IF($C1453="","",IF(COUNTIF($C$2:$C1453,$C1453)=1,1,0))</f>
        <v/>
      </c>
      <c r="AJ1453">
        <f>IF($AI1453=1,SUMPRODUCT(--($AL$2:$AL$1501&lt;$AL1453))+1,"")</f>
        <v/>
      </c>
      <c r="AK1453">
        <f>IF($C1453="","",IF(OR($AD1453=TRUE(),$AD1453="TRUE"),0,1))</f>
        <v/>
      </c>
      <c r="AL1453">
        <f>IF($AI1453=1,IFERROR(IF(VALUE($C1453)&lt;100000000,VALUE($C1453),1000000000),IFERROR(IF(VALUE(MID($C1453,2,20))&lt;100000000,VALUE(MID($C1453,2,20)),1000000000),1000000000))+ROW()/100000,"")</f>
        <v/>
      </c>
    </row>
    <row r="1454">
      <c r="J1454" s="7" t="n"/>
      <c r="K1454" s="7" t="n"/>
      <c r="R1454" s="7">
        <f>IF($C1454="","",Q1454*AC1454/100)</f>
        <v/>
      </c>
      <c r="S1454" s="11" t="n"/>
      <c r="U1454" s="11" t="n"/>
      <c r="AA1454" s="7" t="n"/>
      <c r="AC1454" s="7" t="n"/>
      <c r="AE1454">
        <f>IF($C1454="","",IF($AK1454=1,Settings!$C$6,Settings!$C$7)*1)</f>
        <v/>
      </c>
      <c r="AF1454" s="7">
        <f>IF($C1454="","",AE1454*AC1454)</f>
        <v/>
      </c>
      <c r="AG1454" s="7">
        <f>IF($C1454="","",AC1454-AF1454)</f>
        <v/>
      </c>
      <c r="AH1454" s="7">
        <f>IF($C1454="","",AG1454-R1454)</f>
        <v/>
      </c>
      <c r="AI1454">
        <f>IF($C1454="","",IF(COUNTIF($C$2:$C1454,$C1454)=1,1,0))</f>
        <v/>
      </c>
      <c r="AJ1454">
        <f>IF($AI1454=1,SUMPRODUCT(--($AL$2:$AL$1501&lt;$AL1454))+1,"")</f>
        <v/>
      </c>
      <c r="AK1454">
        <f>IF($C1454="","",IF(OR($AD1454=TRUE(),$AD1454="TRUE"),0,1))</f>
        <v/>
      </c>
      <c r="AL1454">
        <f>IF($AI1454=1,IFERROR(IF(VALUE($C1454)&lt;100000000,VALUE($C1454),1000000000),IFERROR(IF(VALUE(MID($C1454,2,20))&lt;100000000,VALUE(MID($C1454,2,20)),1000000000),1000000000))+ROW()/100000,"")</f>
        <v/>
      </c>
    </row>
    <row r="1455">
      <c r="J1455" s="7" t="n"/>
      <c r="K1455" s="7" t="n"/>
      <c r="R1455" s="7">
        <f>IF($C1455="","",Q1455*AC1455/100)</f>
        <v/>
      </c>
      <c r="S1455" s="11" t="n"/>
      <c r="U1455" s="11" t="n"/>
      <c r="AA1455" s="7" t="n"/>
      <c r="AC1455" s="7" t="n"/>
      <c r="AE1455">
        <f>IF($C1455="","",IF($AK1455=1,Settings!$C$6,Settings!$C$7)*1)</f>
        <v/>
      </c>
      <c r="AF1455" s="7">
        <f>IF($C1455="","",AE1455*AC1455)</f>
        <v/>
      </c>
      <c r="AG1455" s="7">
        <f>IF($C1455="","",AC1455-AF1455)</f>
        <v/>
      </c>
      <c r="AH1455" s="7">
        <f>IF($C1455="","",AG1455-R1455)</f>
        <v/>
      </c>
      <c r="AI1455">
        <f>IF($C1455="","",IF(COUNTIF($C$2:$C1455,$C1455)=1,1,0))</f>
        <v/>
      </c>
      <c r="AJ1455">
        <f>IF($AI1455=1,SUMPRODUCT(--($AL$2:$AL$1501&lt;$AL1455))+1,"")</f>
        <v/>
      </c>
      <c r="AK1455">
        <f>IF($C1455="","",IF(OR($AD1455=TRUE(),$AD1455="TRUE"),0,1))</f>
        <v/>
      </c>
      <c r="AL1455">
        <f>IF($AI1455=1,IFERROR(IF(VALUE($C1455)&lt;100000000,VALUE($C1455),1000000000),IFERROR(IF(VALUE(MID($C1455,2,20))&lt;100000000,VALUE(MID($C1455,2,20)),1000000000),1000000000))+ROW()/100000,"")</f>
        <v/>
      </c>
    </row>
    <row r="1456">
      <c r="J1456" s="7" t="n"/>
      <c r="K1456" s="7" t="n"/>
      <c r="R1456" s="7">
        <f>IF($C1456="","",Q1456*AC1456/100)</f>
        <v/>
      </c>
      <c r="S1456" s="11" t="n"/>
      <c r="U1456" s="11" t="n"/>
      <c r="AA1456" s="7" t="n"/>
      <c r="AC1456" s="7" t="n"/>
      <c r="AE1456">
        <f>IF($C1456="","",IF($AK1456=1,Settings!$C$6,Settings!$C$7)*1)</f>
        <v/>
      </c>
      <c r="AF1456" s="7">
        <f>IF($C1456="","",AE1456*AC1456)</f>
        <v/>
      </c>
      <c r="AG1456" s="7">
        <f>IF($C1456="","",AC1456-AF1456)</f>
        <v/>
      </c>
      <c r="AH1456" s="7">
        <f>IF($C1456="","",AG1456-R1456)</f>
        <v/>
      </c>
      <c r="AI1456">
        <f>IF($C1456="","",IF(COUNTIF($C$2:$C1456,$C1456)=1,1,0))</f>
        <v/>
      </c>
      <c r="AJ1456">
        <f>IF($AI1456=1,SUMPRODUCT(--($AL$2:$AL$1501&lt;$AL1456))+1,"")</f>
        <v/>
      </c>
      <c r="AK1456">
        <f>IF($C1456="","",IF(OR($AD1456=TRUE(),$AD1456="TRUE"),0,1))</f>
        <v/>
      </c>
      <c r="AL1456">
        <f>IF($AI1456=1,IFERROR(IF(VALUE($C1456)&lt;100000000,VALUE($C1456),1000000000),IFERROR(IF(VALUE(MID($C1456,2,20))&lt;100000000,VALUE(MID($C1456,2,20)),1000000000),1000000000))+ROW()/100000,"")</f>
        <v/>
      </c>
    </row>
    <row r="1457">
      <c r="J1457" s="7" t="n"/>
      <c r="K1457" s="7" t="n"/>
      <c r="R1457" s="7">
        <f>IF($C1457="","",Q1457*AC1457/100)</f>
        <v/>
      </c>
      <c r="S1457" s="11" t="n"/>
      <c r="U1457" s="11" t="n"/>
      <c r="AA1457" s="7" t="n"/>
      <c r="AC1457" s="7" t="n"/>
      <c r="AE1457">
        <f>IF($C1457="","",IF($AK1457=1,Settings!$C$6,Settings!$C$7)*1)</f>
        <v/>
      </c>
      <c r="AF1457" s="7">
        <f>IF($C1457="","",AE1457*AC1457)</f>
        <v/>
      </c>
      <c r="AG1457" s="7">
        <f>IF($C1457="","",AC1457-AF1457)</f>
        <v/>
      </c>
      <c r="AH1457" s="7">
        <f>IF($C1457="","",AG1457-R1457)</f>
        <v/>
      </c>
      <c r="AI1457">
        <f>IF($C1457="","",IF(COUNTIF($C$2:$C1457,$C1457)=1,1,0))</f>
        <v/>
      </c>
      <c r="AJ1457">
        <f>IF($AI1457=1,SUMPRODUCT(--($AL$2:$AL$1501&lt;$AL1457))+1,"")</f>
        <v/>
      </c>
      <c r="AK1457">
        <f>IF($C1457="","",IF(OR($AD1457=TRUE(),$AD1457="TRUE"),0,1))</f>
        <v/>
      </c>
      <c r="AL1457">
        <f>IF($AI1457=1,IFERROR(IF(VALUE($C1457)&lt;100000000,VALUE($C1457),1000000000),IFERROR(IF(VALUE(MID($C1457,2,20))&lt;100000000,VALUE(MID($C1457,2,20)),1000000000),1000000000))+ROW()/100000,"")</f>
        <v/>
      </c>
    </row>
    <row r="1458">
      <c r="J1458" s="7" t="n"/>
      <c r="K1458" s="7" t="n"/>
      <c r="R1458" s="7">
        <f>IF($C1458="","",Q1458*AC1458/100)</f>
        <v/>
      </c>
      <c r="S1458" s="11" t="n"/>
      <c r="U1458" s="11" t="n"/>
      <c r="AA1458" s="7" t="n"/>
      <c r="AC1458" s="7" t="n"/>
      <c r="AE1458">
        <f>IF($C1458="","",IF($AK1458=1,Settings!$C$6,Settings!$C$7)*1)</f>
        <v/>
      </c>
      <c r="AF1458" s="7">
        <f>IF($C1458="","",AE1458*AC1458)</f>
        <v/>
      </c>
      <c r="AG1458" s="7">
        <f>IF($C1458="","",AC1458-AF1458)</f>
        <v/>
      </c>
      <c r="AH1458" s="7">
        <f>IF($C1458="","",AG1458-R1458)</f>
        <v/>
      </c>
      <c r="AI1458">
        <f>IF($C1458="","",IF(COUNTIF($C$2:$C1458,$C1458)=1,1,0))</f>
        <v/>
      </c>
      <c r="AJ1458">
        <f>IF($AI1458=1,SUMPRODUCT(--($AL$2:$AL$1501&lt;$AL1458))+1,"")</f>
        <v/>
      </c>
      <c r="AK1458">
        <f>IF($C1458="","",IF(OR($AD1458=TRUE(),$AD1458="TRUE"),0,1))</f>
        <v/>
      </c>
      <c r="AL1458">
        <f>IF($AI1458=1,IFERROR(IF(VALUE($C1458)&lt;100000000,VALUE($C1458),1000000000),IFERROR(IF(VALUE(MID($C1458,2,20))&lt;100000000,VALUE(MID($C1458,2,20)),1000000000),1000000000))+ROW()/100000,"")</f>
        <v/>
      </c>
    </row>
    <row r="1459">
      <c r="J1459" s="7" t="n"/>
      <c r="K1459" s="7" t="n"/>
      <c r="R1459" s="7">
        <f>IF($C1459="","",Q1459*AC1459/100)</f>
        <v/>
      </c>
      <c r="S1459" s="11" t="n"/>
      <c r="U1459" s="11" t="n"/>
      <c r="AA1459" s="7" t="n"/>
      <c r="AC1459" s="7" t="n"/>
      <c r="AE1459">
        <f>IF($C1459="","",IF($AK1459=1,Settings!$C$6,Settings!$C$7)*1)</f>
        <v/>
      </c>
      <c r="AF1459" s="7">
        <f>IF($C1459="","",AE1459*AC1459)</f>
        <v/>
      </c>
      <c r="AG1459" s="7">
        <f>IF($C1459="","",AC1459-AF1459)</f>
        <v/>
      </c>
      <c r="AH1459" s="7">
        <f>IF($C1459="","",AG1459-R1459)</f>
        <v/>
      </c>
      <c r="AI1459">
        <f>IF($C1459="","",IF(COUNTIF($C$2:$C1459,$C1459)=1,1,0))</f>
        <v/>
      </c>
      <c r="AJ1459">
        <f>IF($AI1459=1,SUMPRODUCT(--($AL$2:$AL$1501&lt;$AL1459))+1,"")</f>
        <v/>
      </c>
      <c r="AK1459">
        <f>IF($C1459="","",IF(OR($AD1459=TRUE(),$AD1459="TRUE"),0,1))</f>
        <v/>
      </c>
      <c r="AL1459">
        <f>IF($AI1459=1,IFERROR(IF(VALUE($C1459)&lt;100000000,VALUE($C1459),1000000000),IFERROR(IF(VALUE(MID($C1459,2,20))&lt;100000000,VALUE(MID($C1459,2,20)),1000000000),1000000000))+ROW()/100000,"")</f>
        <v/>
      </c>
    </row>
    <row r="1460">
      <c r="J1460" s="7" t="n"/>
      <c r="K1460" s="7" t="n"/>
      <c r="R1460" s="7">
        <f>IF($C1460="","",Q1460*AC1460/100)</f>
        <v/>
      </c>
      <c r="S1460" s="11" t="n"/>
      <c r="U1460" s="11" t="n"/>
      <c r="AA1460" s="7" t="n"/>
      <c r="AC1460" s="7" t="n"/>
      <c r="AE1460">
        <f>IF($C1460="","",IF($AK1460=1,Settings!$C$6,Settings!$C$7)*1)</f>
        <v/>
      </c>
      <c r="AF1460" s="7">
        <f>IF($C1460="","",AE1460*AC1460)</f>
        <v/>
      </c>
      <c r="AG1460" s="7">
        <f>IF($C1460="","",AC1460-AF1460)</f>
        <v/>
      </c>
      <c r="AH1460" s="7">
        <f>IF($C1460="","",AG1460-R1460)</f>
        <v/>
      </c>
      <c r="AI1460">
        <f>IF($C1460="","",IF(COUNTIF($C$2:$C1460,$C1460)=1,1,0))</f>
        <v/>
      </c>
      <c r="AJ1460">
        <f>IF($AI1460=1,SUMPRODUCT(--($AL$2:$AL$1501&lt;$AL1460))+1,"")</f>
        <v/>
      </c>
      <c r="AK1460">
        <f>IF($C1460="","",IF(OR($AD1460=TRUE(),$AD1460="TRUE"),0,1))</f>
        <v/>
      </c>
      <c r="AL1460">
        <f>IF($AI1460=1,IFERROR(IF(VALUE($C1460)&lt;100000000,VALUE($C1460),1000000000),IFERROR(IF(VALUE(MID($C1460,2,20))&lt;100000000,VALUE(MID($C1460,2,20)),1000000000),1000000000))+ROW()/100000,"")</f>
        <v/>
      </c>
    </row>
    <row r="1461">
      <c r="J1461" s="7" t="n"/>
      <c r="K1461" s="7" t="n"/>
      <c r="R1461" s="7">
        <f>IF($C1461="","",Q1461*AC1461/100)</f>
        <v/>
      </c>
      <c r="S1461" s="11" t="n"/>
      <c r="U1461" s="11" t="n"/>
      <c r="AA1461" s="7" t="n"/>
      <c r="AC1461" s="7" t="n"/>
      <c r="AE1461">
        <f>IF($C1461="","",IF($AK1461=1,Settings!$C$6,Settings!$C$7)*1)</f>
        <v/>
      </c>
      <c r="AF1461" s="7">
        <f>IF($C1461="","",AE1461*AC1461)</f>
        <v/>
      </c>
      <c r="AG1461" s="7">
        <f>IF($C1461="","",AC1461-AF1461)</f>
        <v/>
      </c>
      <c r="AH1461" s="7">
        <f>IF($C1461="","",AG1461-R1461)</f>
        <v/>
      </c>
      <c r="AI1461">
        <f>IF($C1461="","",IF(COUNTIF($C$2:$C1461,$C1461)=1,1,0))</f>
        <v/>
      </c>
      <c r="AJ1461">
        <f>IF($AI1461=1,SUMPRODUCT(--($AL$2:$AL$1501&lt;$AL1461))+1,"")</f>
        <v/>
      </c>
      <c r="AK1461">
        <f>IF($C1461="","",IF(OR($AD1461=TRUE(),$AD1461="TRUE"),0,1))</f>
        <v/>
      </c>
      <c r="AL1461">
        <f>IF($AI1461=1,IFERROR(IF(VALUE($C1461)&lt;100000000,VALUE($C1461),1000000000),IFERROR(IF(VALUE(MID($C1461,2,20))&lt;100000000,VALUE(MID($C1461,2,20)),1000000000),1000000000))+ROW()/100000,"")</f>
        <v/>
      </c>
    </row>
    <row r="1462">
      <c r="J1462" s="7" t="n"/>
      <c r="K1462" s="7" t="n"/>
      <c r="R1462" s="7">
        <f>IF($C1462="","",Q1462*AC1462/100)</f>
        <v/>
      </c>
      <c r="S1462" s="11" t="n"/>
      <c r="U1462" s="11" t="n"/>
      <c r="AA1462" s="7" t="n"/>
      <c r="AC1462" s="7" t="n"/>
      <c r="AE1462">
        <f>IF($C1462="","",IF($AK1462=1,Settings!$C$6,Settings!$C$7)*1)</f>
        <v/>
      </c>
      <c r="AF1462" s="7">
        <f>IF($C1462="","",AE1462*AC1462)</f>
        <v/>
      </c>
      <c r="AG1462" s="7">
        <f>IF($C1462="","",AC1462-AF1462)</f>
        <v/>
      </c>
      <c r="AH1462" s="7">
        <f>IF($C1462="","",AG1462-R1462)</f>
        <v/>
      </c>
      <c r="AI1462">
        <f>IF($C1462="","",IF(COUNTIF($C$2:$C1462,$C1462)=1,1,0))</f>
        <v/>
      </c>
      <c r="AJ1462">
        <f>IF($AI1462=1,SUMPRODUCT(--($AL$2:$AL$1501&lt;$AL1462))+1,"")</f>
        <v/>
      </c>
      <c r="AK1462">
        <f>IF($C1462="","",IF(OR($AD1462=TRUE(),$AD1462="TRUE"),0,1))</f>
        <v/>
      </c>
      <c r="AL1462">
        <f>IF($AI1462=1,IFERROR(IF(VALUE($C1462)&lt;100000000,VALUE($C1462),1000000000),IFERROR(IF(VALUE(MID($C1462,2,20))&lt;100000000,VALUE(MID($C1462,2,20)),1000000000),1000000000))+ROW()/100000,"")</f>
        <v/>
      </c>
    </row>
    <row r="1463">
      <c r="J1463" s="7" t="n"/>
      <c r="K1463" s="7" t="n"/>
      <c r="R1463" s="7">
        <f>IF($C1463="","",Q1463*AC1463/100)</f>
        <v/>
      </c>
      <c r="S1463" s="11" t="n"/>
      <c r="U1463" s="11" t="n"/>
      <c r="AA1463" s="7" t="n"/>
      <c r="AC1463" s="7" t="n"/>
      <c r="AE1463">
        <f>IF($C1463="","",IF($AK1463=1,Settings!$C$6,Settings!$C$7)*1)</f>
        <v/>
      </c>
      <c r="AF1463" s="7">
        <f>IF($C1463="","",AE1463*AC1463)</f>
        <v/>
      </c>
      <c r="AG1463" s="7">
        <f>IF($C1463="","",AC1463-AF1463)</f>
        <v/>
      </c>
      <c r="AH1463" s="7">
        <f>IF($C1463="","",AG1463-R1463)</f>
        <v/>
      </c>
      <c r="AI1463">
        <f>IF($C1463="","",IF(COUNTIF($C$2:$C1463,$C1463)=1,1,0))</f>
        <v/>
      </c>
      <c r="AJ1463">
        <f>IF($AI1463=1,SUMPRODUCT(--($AL$2:$AL$1501&lt;$AL1463))+1,"")</f>
        <v/>
      </c>
      <c r="AK1463">
        <f>IF($C1463="","",IF(OR($AD1463=TRUE(),$AD1463="TRUE"),0,1))</f>
        <v/>
      </c>
      <c r="AL1463">
        <f>IF($AI1463=1,IFERROR(IF(VALUE($C1463)&lt;100000000,VALUE($C1463),1000000000),IFERROR(IF(VALUE(MID($C1463,2,20))&lt;100000000,VALUE(MID($C1463,2,20)),1000000000),1000000000))+ROW()/100000,"")</f>
        <v/>
      </c>
    </row>
    <row r="1464">
      <c r="J1464" s="7" t="n"/>
      <c r="K1464" s="7" t="n"/>
      <c r="R1464" s="7">
        <f>IF($C1464="","",Q1464*AC1464/100)</f>
        <v/>
      </c>
      <c r="S1464" s="11" t="n"/>
      <c r="U1464" s="11" t="n"/>
      <c r="AA1464" s="7" t="n"/>
      <c r="AC1464" s="7" t="n"/>
      <c r="AE1464">
        <f>IF($C1464="","",IF($AK1464=1,Settings!$C$6,Settings!$C$7)*1)</f>
        <v/>
      </c>
      <c r="AF1464" s="7">
        <f>IF($C1464="","",AE1464*AC1464)</f>
        <v/>
      </c>
      <c r="AG1464" s="7">
        <f>IF($C1464="","",AC1464-AF1464)</f>
        <v/>
      </c>
      <c r="AH1464" s="7">
        <f>IF($C1464="","",AG1464-R1464)</f>
        <v/>
      </c>
      <c r="AI1464">
        <f>IF($C1464="","",IF(COUNTIF($C$2:$C1464,$C1464)=1,1,0))</f>
        <v/>
      </c>
      <c r="AJ1464">
        <f>IF($AI1464=1,SUMPRODUCT(--($AL$2:$AL$1501&lt;$AL1464))+1,"")</f>
        <v/>
      </c>
      <c r="AK1464">
        <f>IF($C1464="","",IF(OR($AD1464=TRUE(),$AD1464="TRUE"),0,1))</f>
        <v/>
      </c>
      <c r="AL1464">
        <f>IF($AI1464=1,IFERROR(IF(VALUE($C1464)&lt;100000000,VALUE($C1464),1000000000),IFERROR(IF(VALUE(MID($C1464,2,20))&lt;100000000,VALUE(MID($C1464,2,20)),1000000000),1000000000))+ROW()/100000,"")</f>
        <v/>
      </c>
    </row>
    <row r="1465">
      <c r="J1465" s="7" t="n"/>
      <c r="K1465" s="7" t="n"/>
      <c r="R1465" s="7">
        <f>IF($C1465="","",Q1465*AC1465/100)</f>
        <v/>
      </c>
      <c r="S1465" s="11" t="n"/>
      <c r="U1465" s="11" t="n"/>
      <c r="AA1465" s="7" t="n"/>
      <c r="AC1465" s="7" t="n"/>
      <c r="AE1465">
        <f>IF($C1465="","",IF($AK1465=1,Settings!$C$6,Settings!$C$7)*1)</f>
        <v/>
      </c>
      <c r="AF1465" s="7">
        <f>IF($C1465="","",AE1465*AC1465)</f>
        <v/>
      </c>
      <c r="AG1465" s="7">
        <f>IF($C1465="","",AC1465-AF1465)</f>
        <v/>
      </c>
      <c r="AH1465" s="7">
        <f>IF($C1465="","",AG1465-R1465)</f>
        <v/>
      </c>
      <c r="AI1465">
        <f>IF($C1465="","",IF(COUNTIF($C$2:$C1465,$C1465)=1,1,0))</f>
        <v/>
      </c>
      <c r="AJ1465">
        <f>IF($AI1465=1,SUMPRODUCT(--($AL$2:$AL$1501&lt;$AL1465))+1,"")</f>
        <v/>
      </c>
      <c r="AK1465">
        <f>IF($C1465="","",IF(OR($AD1465=TRUE(),$AD1465="TRUE"),0,1))</f>
        <v/>
      </c>
      <c r="AL1465">
        <f>IF($AI1465=1,IFERROR(IF(VALUE($C1465)&lt;100000000,VALUE($C1465),1000000000),IFERROR(IF(VALUE(MID($C1465,2,20))&lt;100000000,VALUE(MID($C1465,2,20)),1000000000),1000000000))+ROW()/100000,"")</f>
        <v/>
      </c>
    </row>
    <row r="1466">
      <c r="J1466" s="7" t="n"/>
      <c r="K1466" s="7" t="n"/>
      <c r="R1466" s="7">
        <f>IF($C1466="","",Q1466*AC1466/100)</f>
        <v/>
      </c>
      <c r="S1466" s="11" t="n"/>
      <c r="U1466" s="11" t="n"/>
      <c r="AA1466" s="7" t="n"/>
      <c r="AC1466" s="7" t="n"/>
      <c r="AE1466">
        <f>IF($C1466="","",IF($AK1466=1,Settings!$C$6,Settings!$C$7)*1)</f>
        <v/>
      </c>
      <c r="AF1466" s="7">
        <f>IF($C1466="","",AE1466*AC1466)</f>
        <v/>
      </c>
      <c r="AG1466" s="7">
        <f>IF($C1466="","",AC1466-AF1466)</f>
        <v/>
      </c>
      <c r="AH1466" s="7">
        <f>IF($C1466="","",AG1466-R1466)</f>
        <v/>
      </c>
      <c r="AI1466">
        <f>IF($C1466="","",IF(COUNTIF($C$2:$C1466,$C1466)=1,1,0))</f>
        <v/>
      </c>
      <c r="AJ1466">
        <f>IF($AI1466=1,SUMPRODUCT(--($AL$2:$AL$1501&lt;$AL1466))+1,"")</f>
        <v/>
      </c>
      <c r="AK1466">
        <f>IF($C1466="","",IF(OR($AD1466=TRUE(),$AD1466="TRUE"),0,1))</f>
        <v/>
      </c>
      <c r="AL1466">
        <f>IF($AI1466=1,IFERROR(IF(VALUE($C1466)&lt;100000000,VALUE($C1466),1000000000),IFERROR(IF(VALUE(MID($C1466,2,20))&lt;100000000,VALUE(MID($C1466,2,20)),1000000000),1000000000))+ROW()/100000,"")</f>
        <v/>
      </c>
    </row>
    <row r="1467">
      <c r="J1467" s="7" t="n"/>
      <c r="K1467" s="7" t="n"/>
      <c r="R1467" s="7">
        <f>IF($C1467="","",Q1467*AC1467/100)</f>
        <v/>
      </c>
      <c r="S1467" s="11" t="n"/>
      <c r="U1467" s="11" t="n"/>
      <c r="AA1467" s="7" t="n"/>
      <c r="AC1467" s="7" t="n"/>
      <c r="AE1467">
        <f>IF($C1467="","",IF($AK1467=1,Settings!$C$6,Settings!$C$7)*1)</f>
        <v/>
      </c>
      <c r="AF1467" s="7">
        <f>IF($C1467="","",AE1467*AC1467)</f>
        <v/>
      </c>
      <c r="AG1467" s="7">
        <f>IF($C1467="","",AC1467-AF1467)</f>
        <v/>
      </c>
      <c r="AH1467" s="7">
        <f>IF($C1467="","",AG1467-R1467)</f>
        <v/>
      </c>
      <c r="AI1467">
        <f>IF($C1467="","",IF(COUNTIF($C$2:$C1467,$C1467)=1,1,0))</f>
        <v/>
      </c>
      <c r="AJ1467">
        <f>IF($AI1467=1,SUMPRODUCT(--($AL$2:$AL$1501&lt;$AL1467))+1,"")</f>
        <v/>
      </c>
      <c r="AK1467">
        <f>IF($C1467="","",IF(OR($AD1467=TRUE(),$AD1467="TRUE"),0,1))</f>
        <v/>
      </c>
      <c r="AL1467">
        <f>IF($AI1467=1,IFERROR(IF(VALUE($C1467)&lt;100000000,VALUE($C1467),1000000000),IFERROR(IF(VALUE(MID($C1467,2,20))&lt;100000000,VALUE(MID($C1467,2,20)),1000000000),1000000000))+ROW()/100000,"")</f>
        <v/>
      </c>
    </row>
    <row r="1468">
      <c r="J1468" s="7" t="n"/>
      <c r="K1468" s="7" t="n"/>
      <c r="R1468" s="7">
        <f>IF($C1468="","",Q1468*AC1468/100)</f>
        <v/>
      </c>
      <c r="S1468" s="11" t="n"/>
      <c r="U1468" s="11" t="n"/>
      <c r="AA1468" s="7" t="n"/>
      <c r="AC1468" s="7" t="n"/>
      <c r="AE1468">
        <f>IF($C1468="","",IF($AK1468=1,Settings!$C$6,Settings!$C$7)*1)</f>
        <v/>
      </c>
      <c r="AF1468" s="7">
        <f>IF($C1468="","",AE1468*AC1468)</f>
        <v/>
      </c>
      <c r="AG1468" s="7">
        <f>IF($C1468="","",AC1468-AF1468)</f>
        <v/>
      </c>
      <c r="AH1468" s="7">
        <f>IF($C1468="","",AG1468-R1468)</f>
        <v/>
      </c>
      <c r="AI1468">
        <f>IF($C1468="","",IF(COUNTIF($C$2:$C1468,$C1468)=1,1,0))</f>
        <v/>
      </c>
      <c r="AJ1468">
        <f>IF($AI1468=1,SUMPRODUCT(--($AL$2:$AL$1501&lt;$AL1468))+1,"")</f>
        <v/>
      </c>
      <c r="AK1468">
        <f>IF($C1468="","",IF(OR($AD1468=TRUE(),$AD1468="TRUE"),0,1))</f>
        <v/>
      </c>
      <c r="AL1468">
        <f>IF($AI1468=1,IFERROR(IF(VALUE($C1468)&lt;100000000,VALUE($C1468),1000000000),IFERROR(IF(VALUE(MID($C1468,2,20))&lt;100000000,VALUE(MID($C1468,2,20)),1000000000),1000000000))+ROW()/100000,"")</f>
        <v/>
      </c>
    </row>
    <row r="1469">
      <c r="J1469" s="7" t="n"/>
      <c r="K1469" s="7" t="n"/>
      <c r="R1469" s="7">
        <f>IF($C1469="","",Q1469*AC1469/100)</f>
        <v/>
      </c>
      <c r="S1469" s="11" t="n"/>
      <c r="U1469" s="11" t="n"/>
      <c r="AA1469" s="7" t="n"/>
      <c r="AC1469" s="7" t="n"/>
      <c r="AE1469">
        <f>IF($C1469="","",IF($AK1469=1,Settings!$C$6,Settings!$C$7)*1)</f>
        <v/>
      </c>
      <c r="AF1469" s="7">
        <f>IF($C1469="","",AE1469*AC1469)</f>
        <v/>
      </c>
      <c r="AG1469" s="7">
        <f>IF($C1469="","",AC1469-AF1469)</f>
        <v/>
      </c>
      <c r="AH1469" s="7">
        <f>IF($C1469="","",AG1469-R1469)</f>
        <v/>
      </c>
      <c r="AI1469">
        <f>IF($C1469="","",IF(COUNTIF($C$2:$C1469,$C1469)=1,1,0))</f>
        <v/>
      </c>
      <c r="AJ1469">
        <f>IF($AI1469=1,SUMPRODUCT(--($AL$2:$AL$1501&lt;$AL1469))+1,"")</f>
        <v/>
      </c>
      <c r="AK1469">
        <f>IF($C1469="","",IF(OR($AD1469=TRUE(),$AD1469="TRUE"),0,1))</f>
        <v/>
      </c>
      <c r="AL1469">
        <f>IF($AI1469=1,IFERROR(IF(VALUE($C1469)&lt;100000000,VALUE($C1469),1000000000),IFERROR(IF(VALUE(MID($C1469,2,20))&lt;100000000,VALUE(MID($C1469,2,20)),1000000000),1000000000))+ROW()/100000,"")</f>
        <v/>
      </c>
    </row>
    <row r="1470">
      <c r="J1470" s="7" t="n"/>
      <c r="K1470" s="7" t="n"/>
      <c r="R1470" s="7">
        <f>IF($C1470="","",Q1470*AC1470/100)</f>
        <v/>
      </c>
      <c r="S1470" s="11" t="n"/>
      <c r="U1470" s="11" t="n"/>
      <c r="AA1470" s="7" t="n"/>
      <c r="AC1470" s="7" t="n"/>
      <c r="AE1470">
        <f>IF($C1470="","",IF($AK1470=1,Settings!$C$6,Settings!$C$7)*1)</f>
        <v/>
      </c>
      <c r="AF1470" s="7">
        <f>IF($C1470="","",AE1470*AC1470)</f>
        <v/>
      </c>
      <c r="AG1470" s="7">
        <f>IF($C1470="","",AC1470-AF1470)</f>
        <v/>
      </c>
      <c r="AH1470" s="7">
        <f>IF($C1470="","",AG1470-R1470)</f>
        <v/>
      </c>
      <c r="AI1470">
        <f>IF($C1470="","",IF(COUNTIF($C$2:$C1470,$C1470)=1,1,0))</f>
        <v/>
      </c>
      <c r="AJ1470">
        <f>IF($AI1470=1,SUMPRODUCT(--($AL$2:$AL$1501&lt;$AL1470))+1,"")</f>
        <v/>
      </c>
      <c r="AK1470">
        <f>IF($C1470="","",IF(OR($AD1470=TRUE(),$AD1470="TRUE"),0,1))</f>
        <v/>
      </c>
      <c r="AL1470">
        <f>IF($AI1470=1,IFERROR(IF(VALUE($C1470)&lt;100000000,VALUE($C1470),1000000000),IFERROR(IF(VALUE(MID($C1470,2,20))&lt;100000000,VALUE(MID($C1470,2,20)),1000000000),1000000000))+ROW()/100000,"")</f>
        <v/>
      </c>
    </row>
    <row r="1471">
      <c r="J1471" s="7" t="n"/>
      <c r="K1471" s="7" t="n"/>
      <c r="R1471" s="7">
        <f>IF($C1471="","",Q1471*AC1471/100)</f>
        <v/>
      </c>
      <c r="S1471" s="11" t="n"/>
      <c r="U1471" s="11" t="n"/>
      <c r="AA1471" s="7" t="n"/>
      <c r="AC1471" s="7" t="n"/>
      <c r="AE1471">
        <f>IF($C1471="","",IF($AK1471=1,Settings!$C$6,Settings!$C$7)*1)</f>
        <v/>
      </c>
      <c r="AF1471" s="7">
        <f>IF($C1471="","",AE1471*AC1471)</f>
        <v/>
      </c>
      <c r="AG1471" s="7">
        <f>IF($C1471="","",AC1471-AF1471)</f>
        <v/>
      </c>
      <c r="AH1471" s="7">
        <f>IF($C1471="","",AG1471-R1471)</f>
        <v/>
      </c>
      <c r="AI1471">
        <f>IF($C1471="","",IF(COUNTIF($C$2:$C1471,$C1471)=1,1,0))</f>
        <v/>
      </c>
      <c r="AJ1471">
        <f>IF($AI1471=1,SUMPRODUCT(--($AL$2:$AL$1501&lt;$AL1471))+1,"")</f>
        <v/>
      </c>
      <c r="AK1471">
        <f>IF($C1471="","",IF(OR($AD1471=TRUE(),$AD1471="TRUE"),0,1))</f>
        <v/>
      </c>
      <c r="AL1471">
        <f>IF($AI1471=1,IFERROR(IF(VALUE($C1471)&lt;100000000,VALUE($C1471),1000000000),IFERROR(IF(VALUE(MID($C1471,2,20))&lt;100000000,VALUE(MID($C1471,2,20)),1000000000),1000000000))+ROW()/100000,"")</f>
        <v/>
      </c>
    </row>
    <row r="1472">
      <c r="J1472" s="7" t="n"/>
      <c r="K1472" s="7" t="n"/>
      <c r="R1472" s="7">
        <f>IF($C1472="","",Q1472*AC1472/100)</f>
        <v/>
      </c>
      <c r="S1472" s="11" t="n"/>
      <c r="U1472" s="11" t="n"/>
      <c r="AA1472" s="7" t="n"/>
      <c r="AC1472" s="7" t="n"/>
      <c r="AE1472">
        <f>IF($C1472="","",IF($AK1472=1,Settings!$C$6,Settings!$C$7)*1)</f>
        <v/>
      </c>
      <c r="AF1472" s="7">
        <f>IF($C1472="","",AE1472*AC1472)</f>
        <v/>
      </c>
      <c r="AG1472" s="7">
        <f>IF($C1472="","",AC1472-AF1472)</f>
        <v/>
      </c>
      <c r="AH1472" s="7">
        <f>IF($C1472="","",AG1472-R1472)</f>
        <v/>
      </c>
      <c r="AI1472">
        <f>IF($C1472="","",IF(COUNTIF($C$2:$C1472,$C1472)=1,1,0))</f>
        <v/>
      </c>
      <c r="AJ1472">
        <f>IF($AI1472=1,SUMPRODUCT(--($AL$2:$AL$1501&lt;$AL1472))+1,"")</f>
        <v/>
      </c>
      <c r="AK1472">
        <f>IF($C1472="","",IF(OR($AD1472=TRUE(),$AD1472="TRUE"),0,1))</f>
        <v/>
      </c>
      <c r="AL1472">
        <f>IF($AI1472=1,IFERROR(IF(VALUE($C1472)&lt;100000000,VALUE($C1472),1000000000),IFERROR(IF(VALUE(MID($C1472,2,20))&lt;100000000,VALUE(MID($C1472,2,20)),1000000000),1000000000))+ROW()/100000,"")</f>
        <v/>
      </c>
    </row>
    <row r="1473">
      <c r="J1473" s="7" t="n"/>
      <c r="K1473" s="7" t="n"/>
      <c r="R1473" s="7">
        <f>IF($C1473="","",Q1473*AC1473/100)</f>
        <v/>
      </c>
      <c r="S1473" s="11" t="n"/>
      <c r="U1473" s="11" t="n"/>
      <c r="AA1473" s="7" t="n"/>
      <c r="AC1473" s="7" t="n"/>
      <c r="AE1473">
        <f>IF($C1473="","",IF($AK1473=1,Settings!$C$6,Settings!$C$7)*1)</f>
        <v/>
      </c>
      <c r="AF1473" s="7">
        <f>IF($C1473="","",AE1473*AC1473)</f>
        <v/>
      </c>
      <c r="AG1473" s="7">
        <f>IF($C1473="","",AC1473-AF1473)</f>
        <v/>
      </c>
      <c r="AH1473" s="7">
        <f>IF($C1473="","",AG1473-R1473)</f>
        <v/>
      </c>
      <c r="AI1473">
        <f>IF($C1473="","",IF(COUNTIF($C$2:$C1473,$C1473)=1,1,0))</f>
        <v/>
      </c>
      <c r="AJ1473">
        <f>IF($AI1473=1,SUMPRODUCT(--($AL$2:$AL$1501&lt;$AL1473))+1,"")</f>
        <v/>
      </c>
      <c r="AK1473">
        <f>IF($C1473="","",IF(OR($AD1473=TRUE(),$AD1473="TRUE"),0,1))</f>
        <v/>
      </c>
      <c r="AL1473">
        <f>IF($AI1473=1,IFERROR(IF(VALUE($C1473)&lt;100000000,VALUE($C1473),1000000000),IFERROR(IF(VALUE(MID($C1473,2,20))&lt;100000000,VALUE(MID($C1473,2,20)),1000000000),1000000000))+ROW()/100000,"")</f>
        <v/>
      </c>
    </row>
    <row r="1474">
      <c r="J1474" s="7" t="n"/>
      <c r="K1474" s="7" t="n"/>
      <c r="R1474" s="7">
        <f>IF($C1474="","",Q1474*AC1474/100)</f>
        <v/>
      </c>
      <c r="S1474" s="11" t="n"/>
      <c r="U1474" s="11" t="n"/>
      <c r="AA1474" s="7" t="n"/>
      <c r="AC1474" s="7" t="n"/>
      <c r="AE1474">
        <f>IF($C1474="","",IF($AK1474=1,Settings!$C$6,Settings!$C$7)*1)</f>
        <v/>
      </c>
      <c r="AF1474" s="7">
        <f>IF($C1474="","",AE1474*AC1474)</f>
        <v/>
      </c>
      <c r="AG1474" s="7">
        <f>IF($C1474="","",AC1474-AF1474)</f>
        <v/>
      </c>
      <c r="AH1474" s="7">
        <f>IF($C1474="","",AG1474-R1474)</f>
        <v/>
      </c>
      <c r="AI1474">
        <f>IF($C1474="","",IF(COUNTIF($C$2:$C1474,$C1474)=1,1,0))</f>
        <v/>
      </c>
      <c r="AJ1474">
        <f>IF($AI1474=1,SUMPRODUCT(--($AL$2:$AL$1501&lt;$AL1474))+1,"")</f>
        <v/>
      </c>
      <c r="AK1474">
        <f>IF($C1474="","",IF(OR($AD1474=TRUE(),$AD1474="TRUE"),0,1))</f>
        <v/>
      </c>
      <c r="AL1474">
        <f>IF($AI1474=1,IFERROR(IF(VALUE($C1474)&lt;100000000,VALUE($C1474),1000000000),IFERROR(IF(VALUE(MID($C1474,2,20))&lt;100000000,VALUE(MID($C1474,2,20)),1000000000),1000000000))+ROW()/100000,"")</f>
        <v/>
      </c>
    </row>
    <row r="1475">
      <c r="J1475" s="7" t="n"/>
      <c r="K1475" s="7" t="n"/>
      <c r="R1475" s="7">
        <f>IF($C1475="","",Q1475*AC1475/100)</f>
        <v/>
      </c>
      <c r="S1475" s="11" t="n"/>
      <c r="U1475" s="11" t="n"/>
      <c r="AA1475" s="7" t="n"/>
      <c r="AC1475" s="7" t="n"/>
      <c r="AE1475">
        <f>IF($C1475="","",IF($AK1475=1,Settings!$C$6,Settings!$C$7)*1)</f>
        <v/>
      </c>
      <c r="AF1475" s="7">
        <f>IF($C1475="","",AE1475*AC1475)</f>
        <v/>
      </c>
      <c r="AG1475" s="7">
        <f>IF($C1475="","",AC1475-AF1475)</f>
        <v/>
      </c>
      <c r="AH1475" s="7">
        <f>IF($C1475="","",AG1475-R1475)</f>
        <v/>
      </c>
      <c r="AI1475">
        <f>IF($C1475="","",IF(COUNTIF($C$2:$C1475,$C1475)=1,1,0))</f>
        <v/>
      </c>
      <c r="AJ1475">
        <f>IF($AI1475=1,SUMPRODUCT(--($AL$2:$AL$1501&lt;$AL1475))+1,"")</f>
        <v/>
      </c>
      <c r="AK1475">
        <f>IF($C1475="","",IF(OR($AD1475=TRUE(),$AD1475="TRUE"),0,1))</f>
        <v/>
      </c>
      <c r="AL1475">
        <f>IF($AI1475=1,IFERROR(IF(VALUE($C1475)&lt;100000000,VALUE($C1475),1000000000),IFERROR(IF(VALUE(MID($C1475,2,20))&lt;100000000,VALUE(MID($C1475,2,20)),1000000000),1000000000))+ROW()/100000,"")</f>
        <v/>
      </c>
    </row>
    <row r="1476">
      <c r="J1476" s="7" t="n"/>
      <c r="K1476" s="7" t="n"/>
      <c r="R1476" s="7">
        <f>IF($C1476="","",Q1476*AC1476/100)</f>
        <v/>
      </c>
      <c r="S1476" s="11" t="n"/>
      <c r="U1476" s="11" t="n"/>
      <c r="AA1476" s="7" t="n"/>
      <c r="AC1476" s="7" t="n"/>
      <c r="AE1476">
        <f>IF($C1476="","",IF($AK1476=1,Settings!$C$6,Settings!$C$7)*1)</f>
        <v/>
      </c>
      <c r="AF1476" s="7">
        <f>IF($C1476="","",AE1476*AC1476)</f>
        <v/>
      </c>
      <c r="AG1476" s="7">
        <f>IF($C1476="","",AC1476-AF1476)</f>
        <v/>
      </c>
      <c r="AH1476" s="7">
        <f>IF($C1476="","",AG1476-R1476)</f>
        <v/>
      </c>
      <c r="AI1476">
        <f>IF($C1476="","",IF(COUNTIF($C$2:$C1476,$C1476)=1,1,0))</f>
        <v/>
      </c>
      <c r="AJ1476">
        <f>IF($AI1476=1,SUMPRODUCT(--($AL$2:$AL$1501&lt;$AL1476))+1,"")</f>
        <v/>
      </c>
      <c r="AK1476">
        <f>IF($C1476="","",IF(OR($AD1476=TRUE(),$AD1476="TRUE"),0,1))</f>
        <v/>
      </c>
      <c r="AL1476">
        <f>IF($AI1476=1,IFERROR(IF(VALUE($C1476)&lt;100000000,VALUE($C1476),1000000000),IFERROR(IF(VALUE(MID($C1476,2,20))&lt;100000000,VALUE(MID($C1476,2,20)),1000000000),1000000000))+ROW()/100000,"")</f>
        <v/>
      </c>
    </row>
    <row r="1477">
      <c r="J1477" s="7" t="n"/>
      <c r="K1477" s="7" t="n"/>
      <c r="R1477" s="7">
        <f>IF($C1477="","",Q1477*AC1477/100)</f>
        <v/>
      </c>
      <c r="S1477" s="11" t="n"/>
      <c r="U1477" s="11" t="n"/>
      <c r="AA1477" s="7" t="n"/>
      <c r="AC1477" s="7" t="n"/>
      <c r="AE1477">
        <f>IF($C1477="","",IF($AK1477=1,Settings!$C$6,Settings!$C$7)*1)</f>
        <v/>
      </c>
      <c r="AF1477" s="7">
        <f>IF($C1477="","",AE1477*AC1477)</f>
        <v/>
      </c>
      <c r="AG1477" s="7">
        <f>IF($C1477="","",AC1477-AF1477)</f>
        <v/>
      </c>
      <c r="AH1477" s="7">
        <f>IF($C1477="","",AG1477-R1477)</f>
        <v/>
      </c>
      <c r="AI1477">
        <f>IF($C1477="","",IF(COUNTIF($C$2:$C1477,$C1477)=1,1,0))</f>
        <v/>
      </c>
      <c r="AJ1477">
        <f>IF($AI1477=1,SUMPRODUCT(--($AL$2:$AL$1501&lt;$AL1477))+1,"")</f>
        <v/>
      </c>
      <c r="AK1477">
        <f>IF($C1477="","",IF(OR($AD1477=TRUE(),$AD1477="TRUE"),0,1))</f>
        <v/>
      </c>
      <c r="AL1477">
        <f>IF($AI1477=1,IFERROR(IF(VALUE($C1477)&lt;100000000,VALUE($C1477),1000000000),IFERROR(IF(VALUE(MID($C1477,2,20))&lt;100000000,VALUE(MID($C1477,2,20)),1000000000),1000000000))+ROW()/100000,"")</f>
        <v/>
      </c>
    </row>
    <row r="1478">
      <c r="J1478" s="7" t="n"/>
      <c r="K1478" s="7" t="n"/>
      <c r="R1478" s="7">
        <f>IF($C1478="","",Q1478*AC1478/100)</f>
        <v/>
      </c>
      <c r="S1478" s="11" t="n"/>
      <c r="U1478" s="11" t="n"/>
      <c r="AA1478" s="7" t="n"/>
      <c r="AC1478" s="7" t="n"/>
      <c r="AE1478">
        <f>IF($C1478="","",IF($AK1478=1,Settings!$C$6,Settings!$C$7)*1)</f>
        <v/>
      </c>
      <c r="AF1478" s="7">
        <f>IF($C1478="","",AE1478*AC1478)</f>
        <v/>
      </c>
      <c r="AG1478" s="7">
        <f>IF($C1478="","",AC1478-AF1478)</f>
        <v/>
      </c>
      <c r="AH1478" s="7">
        <f>IF($C1478="","",AG1478-R1478)</f>
        <v/>
      </c>
      <c r="AI1478">
        <f>IF($C1478="","",IF(COUNTIF($C$2:$C1478,$C1478)=1,1,0))</f>
        <v/>
      </c>
      <c r="AJ1478">
        <f>IF($AI1478=1,SUMPRODUCT(--($AL$2:$AL$1501&lt;$AL1478))+1,"")</f>
        <v/>
      </c>
      <c r="AK1478">
        <f>IF($C1478="","",IF(OR($AD1478=TRUE(),$AD1478="TRUE"),0,1))</f>
        <v/>
      </c>
      <c r="AL1478">
        <f>IF($AI1478=1,IFERROR(IF(VALUE($C1478)&lt;100000000,VALUE($C1478),1000000000),IFERROR(IF(VALUE(MID($C1478,2,20))&lt;100000000,VALUE(MID($C1478,2,20)),1000000000),1000000000))+ROW()/100000,"")</f>
        <v/>
      </c>
    </row>
    <row r="1479">
      <c r="J1479" s="7" t="n"/>
      <c r="K1479" s="7" t="n"/>
      <c r="R1479" s="7">
        <f>IF($C1479="","",Q1479*AC1479/100)</f>
        <v/>
      </c>
      <c r="S1479" s="11" t="n"/>
      <c r="U1479" s="11" t="n"/>
      <c r="AA1479" s="7" t="n"/>
      <c r="AC1479" s="7" t="n"/>
      <c r="AE1479">
        <f>IF($C1479="","",IF($AK1479=1,Settings!$C$6,Settings!$C$7)*1)</f>
        <v/>
      </c>
      <c r="AF1479" s="7">
        <f>IF($C1479="","",AE1479*AC1479)</f>
        <v/>
      </c>
      <c r="AG1479" s="7">
        <f>IF($C1479="","",AC1479-AF1479)</f>
        <v/>
      </c>
      <c r="AH1479" s="7">
        <f>IF($C1479="","",AG1479-R1479)</f>
        <v/>
      </c>
      <c r="AI1479">
        <f>IF($C1479="","",IF(COUNTIF($C$2:$C1479,$C1479)=1,1,0))</f>
        <v/>
      </c>
      <c r="AJ1479">
        <f>IF($AI1479=1,SUMPRODUCT(--($AL$2:$AL$1501&lt;$AL1479))+1,"")</f>
        <v/>
      </c>
      <c r="AK1479">
        <f>IF($C1479="","",IF(OR($AD1479=TRUE(),$AD1479="TRUE"),0,1))</f>
        <v/>
      </c>
      <c r="AL1479">
        <f>IF($AI1479=1,IFERROR(IF(VALUE($C1479)&lt;100000000,VALUE($C1479),1000000000),IFERROR(IF(VALUE(MID($C1479,2,20))&lt;100000000,VALUE(MID($C1479,2,20)),1000000000),1000000000))+ROW()/100000,"")</f>
        <v/>
      </c>
    </row>
    <row r="1480">
      <c r="J1480" s="7" t="n"/>
      <c r="K1480" s="7" t="n"/>
      <c r="R1480" s="7">
        <f>IF($C1480="","",Q1480*AC1480/100)</f>
        <v/>
      </c>
      <c r="S1480" s="11" t="n"/>
      <c r="U1480" s="11" t="n"/>
      <c r="AA1480" s="7" t="n"/>
      <c r="AC1480" s="7" t="n"/>
      <c r="AE1480">
        <f>IF($C1480="","",IF($AK1480=1,Settings!$C$6,Settings!$C$7)*1)</f>
        <v/>
      </c>
      <c r="AF1480" s="7">
        <f>IF($C1480="","",AE1480*AC1480)</f>
        <v/>
      </c>
      <c r="AG1480" s="7">
        <f>IF($C1480="","",AC1480-AF1480)</f>
        <v/>
      </c>
      <c r="AH1480" s="7">
        <f>IF($C1480="","",AG1480-R1480)</f>
        <v/>
      </c>
      <c r="AI1480">
        <f>IF($C1480="","",IF(COUNTIF($C$2:$C1480,$C1480)=1,1,0))</f>
        <v/>
      </c>
      <c r="AJ1480">
        <f>IF($AI1480=1,SUMPRODUCT(--($AL$2:$AL$1501&lt;$AL1480))+1,"")</f>
        <v/>
      </c>
      <c r="AK1480">
        <f>IF($C1480="","",IF(OR($AD1480=TRUE(),$AD1480="TRUE"),0,1))</f>
        <v/>
      </c>
      <c r="AL1480">
        <f>IF($AI1480=1,IFERROR(IF(VALUE($C1480)&lt;100000000,VALUE($C1480),1000000000),IFERROR(IF(VALUE(MID($C1480,2,20))&lt;100000000,VALUE(MID($C1480,2,20)),1000000000),1000000000))+ROW()/100000,"")</f>
        <v/>
      </c>
    </row>
    <row r="1481">
      <c r="J1481" s="7" t="n"/>
      <c r="K1481" s="7" t="n"/>
      <c r="R1481" s="7">
        <f>IF($C1481="","",Q1481*AC1481/100)</f>
        <v/>
      </c>
      <c r="S1481" s="11" t="n"/>
      <c r="U1481" s="11" t="n"/>
      <c r="AA1481" s="7" t="n"/>
      <c r="AC1481" s="7" t="n"/>
      <c r="AE1481">
        <f>IF($C1481="","",IF($AK1481=1,Settings!$C$6,Settings!$C$7)*1)</f>
        <v/>
      </c>
      <c r="AF1481" s="7">
        <f>IF($C1481="","",AE1481*AC1481)</f>
        <v/>
      </c>
      <c r="AG1481" s="7">
        <f>IF($C1481="","",AC1481-AF1481)</f>
        <v/>
      </c>
      <c r="AH1481" s="7">
        <f>IF($C1481="","",AG1481-R1481)</f>
        <v/>
      </c>
      <c r="AI1481">
        <f>IF($C1481="","",IF(COUNTIF($C$2:$C1481,$C1481)=1,1,0))</f>
        <v/>
      </c>
      <c r="AJ1481">
        <f>IF($AI1481=1,SUMPRODUCT(--($AL$2:$AL$1501&lt;$AL1481))+1,"")</f>
        <v/>
      </c>
      <c r="AK1481">
        <f>IF($C1481="","",IF(OR($AD1481=TRUE(),$AD1481="TRUE"),0,1))</f>
        <v/>
      </c>
      <c r="AL1481">
        <f>IF($AI1481=1,IFERROR(IF(VALUE($C1481)&lt;100000000,VALUE($C1481),1000000000),IFERROR(IF(VALUE(MID($C1481,2,20))&lt;100000000,VALUE(MID($C1481,2,20)),1000000000),1000000000))+ROW()/100000,"")</f>
        <v/>
      </c>
    </row>
    <row r="1482">
      <c r="J1482" s="7" t="n"/>
      <c r="K1482" s="7" t="n"/>
      <c r="R1482" s="7">
        <f>IF($C1482="","",Q1482*AC1482/100)</f>
        <v/>
      </c>
      <c r="S1482" s="11" t="n"/>
      <c r="U1482" s="11" t="n"/>
      <c r="AA1482" s="7" t="n"/>
      <c r="AC1482" s="7" t="n"/>
      <c r="AE1482">
        <f>IF($C1482="","",IF($AK1482=1,Settings!$C$6,Settings!$C$7)*1)</f>
        <v/>
      </c>
      <c r="AF1482" s="7">
        <f>IF($C1482="","",AE1482*AC1482)</f>
        <v/>
      </c>
      <c r="AG1482" s="7">
        <f>IF($C1482="","",AC1482-AF1482)</f>
        <v/>
      </c>
      <c r="AH1482" s="7">
        <f>IF($C1482="","",AG1482-R1482)</f>
        <v/>
      </c>
      <c r="AI1482">
        <f>IF($C1482="","",IF(COUNTIF($C$2:$C1482,$C1482)=1,1,0))</f>
        <v/>
      </c>
      <c r="AJ1482">
        <f>IF($AI1482=1,SUMPRODUCT(--($AL$2:$AL$1501&lt;$AL1482))+1,"")</f>
        <v/>
      </c>
      <c r="AK1482">
        <f>IF($C1482="","",IF(OR($AD1482=TRUE(),$AD1482="TRUE"),0,1))</f>
        <v/>
      </c>
      <c r="AL1482">
        <f>IF($AI1482=1,IFERROR(IF(VALUE($C1482)&lt;100000000,VALUE($C1482),1000000000),IFERROR(IF(VALUE(MID($C1482,2,20))&lt;100000000,VALUE(MID($C1482,2,20)),1000000000),1000000000))+ROW()/100000,"")</f>
        <v/>
      </c>
    </row>
    <row r="1483">
      <c r="J1483" s="7" t="n"/>
      <c r="K1483" s="7" t="n"/>
      <c r="R1483" s="7">
        <f>IF($C1483="","",Q1483*AC1483/100)</f>
        <v/>
      </c>
      <c r="S1483" s="11" t="n"/>
      <c r="U1483" s="11" t="n"/>
      <c r="AA1483" s="7" t="n"/>
      <c r="AC1483" s="7" t="n"/>
      <c r="AE1483">
        <f>IF($C1483="","",IF($AK1483=1,Settings!$C$6,Settings!$C$7)*1)</f>
        <v/>
      </c>
      <c r="AF1483" s="7">
        <f>IF($C1483="","",AE1483*AC1483)</f>
        <v/>
      </c>
      <c r="AG1483" s="7">
        <f>IF($C1483="","",AC1483-AF1483)</f>
        <v/>
      </c>
      <c r="AH1483" s="7">
        <f>IF($C1483="","",AG1483-R1483)</f>
        <v/>
      </c>
      <c r="AI1483">
        <f>IF($C1483="","",IF(COUNTIF($C$2:$C1483,$C1483)=1,1,0))</f>
        <v/>
      </c>
      <c r="AJ1483">
        <f>IF($AI1483=1,SUMPRODUCT(--($AL$2:$AL$1501&lt;$AL1483))+1,"")</f>
        <v/>
      </c>
      <c r="AK1483">
        <f>IF($C1483="","",IF(OR($AD1483=TRUE(),$AD1483="TRUE"),0,1))</f>
        <v/>
      </c>
      <c r="AL1483">
        <f>IF($AI1483=1,IFERROR(IF(VALUE($C1483)&lt;100000000,VALUE($C1483),1000000000),IFERROR(IF(VALUE(MID($C1483,2,20))&lt;100000000,VALUE(MID($C1483,2,20)),1000000000),1000000000))+ROW()/100000,"")</f>
        <v/>
      </c>
    </row>
    <row r="1484">
      <c r="J1484" s="7" t="n"/>
      <c r="K1484" s="7" t="n"/>
      <c r="R1484" s="7">
        <f>IF($C1484="","",Q1484*AC1484/100)</f>
        <v/>
      </c>
      <c r="S1484" s="11" t="n"/>
      <c r="U1484" s="11" t="n"/>
      <c r="AA1484" s="7" t="n"/>
      <c r="AC1484" s="7" t="n"/>
      <c r="AE1484">
        <f>IF($C1484="","",IF($AK1484=1,Settings!$C$6,Settings!$C$7)*1)</f>
        <v/>
      </c>
      <c r="AF1484" s="7">
        <f>IF($C1484="","",AE1484*AC1484)</f>
        <v/>
      </c>
      <c r="AG1484" s="7">
        <f>IF($C1484="","",AC1484-AF1484)</f>
        <v/>
      </c>
      <c r="AH1484" s="7">
        <f>IF($C1484="","",AG1484-R1484)</f>
        <v/>
      </c>
      <c r="AI1484">
        <f>IF($C1484="","",IF(COUNTIF($C$2:$C1484,$C1484)=1,1,0))</f>
        <v/>
      </c>
      <c r="AJ1484">
        <f>IF($AI1484=1,SUMPRODUCT(--($AL$2:$AL$1501&lt;$AL1484))+1,"")</f>
        <v/>
      </c>
      <c r="AK1484">
        <f>IF($C1484="","",IF(OR($AD1484=TRUE(),$AD1484="TRUE"),0,1))</f>
        <v/>
      </c>
      <c r="AL1484">
        <f>IF($AI1484=1,IFERROR(IF(VALUE($C1484)&lt;100000000,VALUE($C1484),1000000000),IFERROR(IF(VALUE(MID($C1484,2,20))&lt;100000000,VALUE(MID($C1484,2,20)),1000000000),1000000000))+ROW()/100000,"")</f>
        <v/>
      </c>
    </row>
    <row r="1485">
      <c r="J1485" s="7" t="n"/>
      <c r="K1485" s="7" t="n"/>
      <c r="R1485" s="7">
        <f>IF($C1485="","",Q1485*AC1485/100)</f>
        <v/>
      </c>
      <c r="S1485" s="11" t="n"/>
      <c r="U1485" s="11" t="n"/>
      <c r="AA1485" s="7" t="n"/>
      <c r="AC1485" s="7" t="n"/>
      <c r="AE1485">
        <f>IF($C1485="","",IF($AK1485=1,Settings!$C$6,Settings!$C$7)*1)</f>
        <v/>
      </c>
      <c r="AF1485" s="7">
        <f>IF($C1485="","",AE1485*AC1485)</f>
        <v/>
      </c>
      <c r="AG1485" s="7">
        <f>IF($C1485="","",AC1485-AF1485)</f>
        <v/>
      </c>
      <c r="AH1485" s="7">
        <f>IF($C1485="","",AG1485-R1485)</f>
        <v/>
      </c>
      <c r="AI1485">
        <f>IF($C1485="","",IF(COUNTIF($C$2:$C1485,$C1485)=1,1,0))</f>
        <v/>
      </c>
      <c r="AJ1485">
        <f>IF($AI1485=1,SUMPRODUCT(--($AL$2:$AL$1501&lt;$AL1485))+1,"")</f>
        <v/>
      </c>
      <c r="AK1485">
        <f>IF($C1485="","",IF(OR($AD1485=TRUE(),$AD1485="TRUE"),0,1))</f>
        <v/>
      </c>
      <c r="AL1485">
        <f>IF($AI1485=1,IFERROR(IF(VALUE($C1485)&lt;100000000,VALUE($C1485),1000000000),IFERROR(IF(VALUE(MID($C1485,2,20))&lt;100000000,VALUE(MID($C1485,2,20)),1000000000),1000000000))+ROW()/100000,"")</f>
        <v/>
      </c>
    </row>
    <row r="1486">
      <c r="J1486" s="7" t="n"/>
      <c r="K1486" s="7" t="n"/>
      <c r="R1486" s="7">
        <f>IF($C1486="","",Q1486*AC1486/100)</f>
        <v/>
      </c>
      <c r="S1486" s="11" t="n"/>
      <c r="U1486" s="11" t="n"/>
      <c r="AA1486" s="7" t="n"/>
      <c r="AC1486" s="7" t="n"/>
      <c r="AE1486">
        <f>IF($C1486="","",IF($AK1486=1,Settings!$C$6,Settings!$C$7)*1)</f>
        <v/>
      </c>
      <c r="AF1486" s="7">
        <f>IF($C1486="","",AE1486*AC1486)</f>
        <v/>
      </c>
      <c r="AG1486" s="7">
        <f>IF($C1486="","",AC1486-AF1486)</f>
        <v/>
      </c>
      <c r="AH1486" s="7">
        <f>IF($C1486="","",AG1486-R1486)</f>
        <v/>
      </c>
      <c r="AI1486">
        <f>IF($C1486="","",IF(COUNTIF($C$2:$C1486,$C1486)=1,1,0))</f>
        <v/>
      </c>
      <c r="AJ1486">
        <f>IF($AI1486=1,SUMPRODUCT(--($AL$2:$AL$1501&lt;$AL1486))+1,"")</f>
        <v/>
      </c>
      <c r="AK1486">
        <f>IF($C1486="","",IF(OR($AD1486=TRUE(),$AD1486="TRUE"),0,1))</f>
        <v/>
      </c>
      <c r="AL1486">
        <f>IF($AI1486=1,IFERROR(IF(VALUE($C1486)&lt;100000000,VALUE($C1486),1000000000),IFERROR(IF(VALUE(MID($C1486,2,20))&lt;100000000,VALUE(MID($C1486,2,20)),1000000000),1000000000))+ROW()/100000,"")</f>
        <v/>
      </c>
    </row>
    <row r="1487">
      <c r="J1487" s="7" t="n"/>
      <c r="K1487" s="7" t="n"/>
      <c r="R1487" s="7">
        <f>IF($C1487="","",Q1487*AC1487/100)</f>
        <v/>
      </c>
      <c r="S1487" s="11" t="n"/>
      <c r="U1487" s="11" t="n"/>
      <c r="AA1487" s="7" t="n"/>
      <c r="AC1487" s="7" t="n"/>
      <c r="AE1487">
        <f>IF($C1487="","",IF($AK1487=1,Settings!$C$6,Settings!$C$7)*1)</f>
        <v/>
      </c>
      <c r="AF1487" s="7">
        <f>IF($C1487="","",AE1487*AC1487)</f>
        <v/>
      </c>
      <c r="AG1487" s="7">
        <f>IF($C1487="","",AC1487-AF1487)</f>
        <v/>
      </c>
      <c r="AH1487" s="7">
        <f>IF($C1487="","",AG1487-R1487)</f>
        <v/>
      </c>
      <c r="AI1487">
        <f>IF($C1487="","",IF(COUNTIF($C$2:$C1487,$C1487)=1,1,0))</f>
        <v/>
      </c>
      <c r="AJ1487">
        <f>IF($AI1487=1,SUMPRODUCT(--($AL$2:$AL$1501&lt;$AL1487))+1,"")</f>
        <v/>
      </c>
      <c r="AK1487">
        <f>IF($C1487="","",IF(OR($AD1487=TRUE(),$AD1487="TRUE"),0,1))</f>
        <v/>
      </c>
      <c r="AL1487">
        <f>IF($AI1487=1,IFERROR(IF(VALUE($C1487)&lt;100000000,VALUE($C1487),1000000000),IFERROR(IF(VALUE(MID($C1487,2,20))&lt;100000000,VALUE(MID($C1487,2,20)),1000000000),1000000000))+ROW()/100000,"")</f>
        <v/>
      </c>
    </row>
    <row r="1488">
      <c r="J1488" s="7" t="n"/>
      <c r="K1488" s="7" t="n"/>
      <c r="R1488" s="7">
        <f>IF($C1488="","",Q1488*AC1488/100)</f>
        <v/>
      </c>
      <c r="S1488" s="11" t="n"/>
      <c r="U1488" s="11" t="n"/>
      <c r="AA1488" s="7" t="n"/>
      <c r="AC1488" s="7" t="n"/>
      <c r="AE1488">
        <f>IF($C1488="","",IF($AK1488=1,Settings!$C$6,Settings!$C$7)*1)</f>
        <v/>
      </c>
      <c r="AF1488" s="7">
        <f>IF($C1488="","",AE1488*AC1488)</f>
        <v/>
      </c>
      <c r="AG1488" s="7">
        <f>IF($C1488="","",AC1488-AF1488)</f>
        <v/>
      </c>
      <c r="AH1488" s="7">
        <f>IF($C1488="","",AG1488-R1488)</f>
        <v/>
      </c>
      <c r="AI1488">
        <f>IF($C1488="","",IF(COUNTIF($C$2:$C1488,$C1488)=1,1,0))</f>
        <v/>
      </c>
      <c r="AJ1488">
        <f>IF($AI1488=1,SUMPRODUCT(--($AL$2:$AL$1501&lt;$AL1488))+1,"")</f>
        <v/>
      </c>
      <c r="AK1488">
        <f>IF($C1488="","",IF(OR($AD1488=TRUE(),$AD1488="TRUE"),0,1))</f>
        <v/>
      </c>
      <c r="AL1488">
        <f>IF($AI1488=1,IFERROR(IF(VALUE($C1488)&lt;100000000,VALUE($C1488),1000000000),IFERROR(IF(VALUE(MID($C1488,2,20))&lt;100000000,VALUE(MID($C1488,2,20)),1000000000),1000000000))+ROW()/100000,"")</f>
        <v/>
      </c>
    </row>
    <row r="1489">
      <c r="J1489" s="7" t="n"/>
      <c r="K1489" s="7" t="n"/>
      <c r="R1489" s="7">
        <f>IF($C1489="","",Q1489*AC1489/100)</f>
        <v/>
      </c>
      <c r="S1489" s="11" t="n"/>
      <c r="U1489" s="11" t="n"/>
      <c r="AA1489" s="7" t="n"/>
      <c r="AC1489" s="7" t="n"/>
      <c r="AE1489">
        <f>IF($C1489="","",IF($AK1489=1,Settings!$C$6,Settings!$C$7)*1)</f>
        <v/>
      </c>
      <c r="AF1489" s="7">
        <f>IF($C1489="","",AE1489*AC1489)</f>
        <v/>
      </c>
      <c r="AG1489" s="7">
        <f>IF($C1489="","",AC1489-AF1489)</f>
        <v/>
      </c>
      <c r="AH1489" s="7">
        <f>IF($C1489="","",AG1489-R1489)</f>
        <v/>
      </c>
      <c r="AI1489">
        <f>IF($C1489="","",IF(COUNTIF($C$2:$C1489,$C1489)=1,1,0))</f>
        <v/>
      </c>
      <c r="AJ1489">
        <f>IF($AI1489=1,SUMPRODUCT(--($AL$2:$AL$1501&lt;$AL1489))+1,"")</f>
        <v/>
      </c>
      <c r="AK1489">
        <f>IF($C1489="","",IF(OR($AD1489=TRUE(),$AD1489="TRUE"),0,1))</f>
        <v/>
      </c>
      <c r="AL1489">
        <f>IF($AI1489=1,IFERROR(IF(VALUE($C1489)&lt;100000000,VALUE($C1489),1000000000),IFERROR(IF(VALUE(MID($C1489,2,20))&lt;100000000,VALUE(MID($C1489,2,20)),1000000000),1000000000))+ROW()/100000,"")</f>
        <v/>
      </c>
    </row>
    <row r="1490">
      <c r="J1490" s="7" t="n"/>
      <c r="K1490" s="7" t="n"/>
      <c r="R1490" s="7">
        <f>IF($C1490="","",Q1490*AC1490/100)</f>
        <v/>
      </c>
      <c r="S1490" s="11" t="n"/>
      <c r="U1490" s="11" t="n"/>
      <c r="AA1490" s="7" t="n"/>
      <c r="AC1490" s="7" t="n"/>
      <c r="AE1490">
        <f>IF($C1490="","",IF($AK1490=1,Settings!$C$6,Settings!$C$7)*1)</f>
        <v/>
      </c>
      <c r="AF1490" s="7">
        <f>IF($C1490="","",AE1490*AC1490)</f>
        <v/>
      </c>
      <c r="AG1490" s="7">
        <f>IF($C1490="","",AC1490-AF1490)</f>
        <v/>
      </c>
      <c r="AH1490" s="7">
        <f>IF($C1490="","",AG1490-R1490)</f>
        <v/>
      </c>
      <c r="AI1490">
        <f>IF($C1490="","",IF(COUNTIF($C$2:$C1490,$C1490)=1,1,0))</f>
        <v/>
      </c>
      <c r="AJ1490">
        <f>IF($AI1490=1,SUMPRODUCT(--($AL$2:$AL$1501&lt;$AL1490))+1,"")</f>
        <v/>
      </c>
      <c r="AK1490">
        <f>IF($C1490="","",IF(OR($AD1490=TRUE(),$AD1490="TRUE"),0,1))</f>
        <v/>
      </c>
      <c r="AL1490">
        <f>IF($AI1490=1,IFERROR(IF(VALUE($C1490)&lt;100000000,VALUE($C1490),1000000000),IFERROR(IF(VALUE(MID($C1490,2,20))&lt;100000000,VALUE(MID($C1490,2,20)),1000000000),1000000000))+ROW()/100000,"")</f>
        <v/>
      </c>
    </row>
    <row r="1491">
      <c r="J1491" s="7" t="n"/>
      <c r="K1491" s="7" t="n"/>
      <c r="R1491" s="7">
        <f>IF($C1491="","",Q1491*AC1491/100)</f>
        <v/>
      </c>
      <c r="S1491" s="11" t="n"/>
      <c r="U1491" s="11" t="n"/>
      <c r="AA1491" s="7" t="n"/>
      <c r="AC1491" s="7" t="n"/>
      <c r="AE1491">
        <f>IF($C1491="","",IF($AK1491=1,Settings!$C$6,Settings!$C$7)*1)</f>
        <v/>
      </c>
      <c r="AF1491" s="7">
        <f>IF($C1491="","",AE1491*AC1491)</f>
        <v/>
      </c>
      <c r="AG1491" s="7">
        <f>IF($C1491="","",AC1491-AF1491)</f>
        <v/>
      </c>
      <c r="AH1491" s="7">
        <f>IF($C1491="","",AG1491-R1491)</f>
        <v/>
      </c>
      <c r="AI1491">
        <f>IF($C1491="","",IF(COUNTIF($C$2:$C1491,$C1491)=1,1,0))</f>
        <v/>
      </c>
      <c r="AJ1491">
        <f>IF($AI1491=1,SUMPRODUCT(--($AL$2:$AL$1501&lt;$AL1491))+1,"")</f>
        <v/>
      </c>
      <c r="AK1491">
        <f>IF($C1491="","",IF(OR($AD1491=TRUE(),$AD1491="TRUE"),0,1))</f>
        <v/>
      </c>
      <c r="AL1491">
        <f>IF($AI1491=1,IFERROR(IF(VALUE($C1491)&lt;100000000,VALUE($C1491),1000000000),IFERROR(IF(VALUE(MID($C1491,2,20))&lt;100000000,VALUE(MID($C1491,2,20)),1000000000),1000000000))+ROW()/100000,"")</f>
        <v/>
      </c>
    </row>
    <row r="1492">
      <c r="J1492" s="7" t="n"/>
      <c r="K1492" s="7" t="n"/>
      <c r="R1492" s="7">
        <f>IF($C1492="","",Q1492*AC1492/100)</f>
        <v/>
      </c>
      <c r="S1492" s="11" t="n"/>
      <c r="U1492" s="11" t="n"/>
      <c r="AA1492" s="7" t="n"/>
      <c r="AC1492" s="7" t="n"/>
      <c r="AE1492">
        <f>IF($C1492="","",IF($AK1492=1,Settings!$C$6,Settings!$C$7)*1)</f>
        <v/>
      </c>
      <c r="AF1492" s="7">
        <f>IF($C1492="","",AE1492*AC1492)</f>
        <v/>
      </c>
      <c r="AG1492" s="7">
        <f>IF($C1492="","",AC1492-AF1492)</f>
        <v/>
      </c>
      <c r="AH1492" s="7">
        <f>IF($C1492="","",AG1492-R1492)</f>
        <v/>
      </c>
      <c r="AI1492">
        <f>IF($C1492="","",IF(COUNTIF($C$2:$C1492,$C1492)=1,1,0))</f>
        <v/>
      </c>
      <c r="AJ1492">
        <f>IF($AI1492=1,SUMPRODUCT(--($AL$2:$AL$1501&lt;$AL1492))+1,"")</f>
        <v/>
      </c>
      <c r="AK1492">
        <f>IF($C1492="","",IF(OR($AD1492=TRUE(),$AD1492="TRUE"),0,1))</f>
        <v/>
      </c>
      <c r="AL1492">
        <f>IF($AI1492=1,IFERROR(IF(VALUE($C1492)&lt;100000000,VALUE($C1492),1000000000),IFERROR(IF(VALUE(MID($C1492,2,20))&lt;100000000,VALUE(MID($C1492,2,20)),1000000000),1000000000))+ROW()/100000,"")</f>
        <v/>
      </c>
    </row>
    <row r="1493">
      <c r="J1493" s="7" t="n"/>
      <c r="K1493" s="7" t="n"/>
      <c r="R1493" s="7">
        <f>IF($C1493="","",Q1493*AC1493/100)</f>
        <v/>
      </c>
      <c r="S1493" s="11" t="n"/>
      <c r="U1493" s="11" t="n"/>
      <c r="AA1493" s="7" t="n"/>
      <c r="AC1493" s="7" t="n"/>
      <c r="AE1493">
        <f>IF($C1493="","",IF($AK1493=1,Settings!$C$6,Settings!$C$7)*1)</f>
        <v/>
      </c>
      <c r="AF1493" s="7">
        <f>IF($C1493="","",AE1493*AC1493)</f>
        <v/>
      </c>
      <c r="AG1493" s="7">
        <f>IF($C1493="","",AC1493-AF1493)</f>
        <v/>
      </c>
      <c r="AH1493" s="7">
        <f>IF($C1493="","",AG1493-R1493)</f>
        <v/>
      </c>
      <c r="AI1493">
        <f>IF($C1493="","",IF(COUNTIF($C$2:$C1493,$C1493)=1,1,0))</f>
        <v/>
      </c>
      <c r="AJ1493">
        <f>IF($AI1493=1,SUMPRODUCT(--($AL$2:$AL$1501&lt;$AL1493))+1,"")</f>
        <v/>
      </c>
      <c r="AK1493">
        <f>IF($C1493="","",IF(OR($AD1493=TRUE(),$AD1493="TRUE"),0,1))</f>
        <v/>
      </c>
      <c r="AL1493">
        <f>IF($AI1493=1,IFERROR(IF(VALUE($C1493)&lt;100000000,VALUE($C1493),1000000000),IFERROR(IF(VALUE(MID($C1493,2,20))&lt;100000000,VALUE(MID($C1493,2,20)),1000000000),1000000000))+ROW()/100000,"")</f>
        <v/>
      </c>
    </row>
    <row r="1494">
      <c r="J1494" s="7" t="n"/>
      <c r="K1494" s="7" t="n"/>
      <c r="R1494" s="7">
        <f>IF($C1494="","",Q1494*AC1494/100)</f>
        <v/>
      </c>
      <c r="S1494" s="11" t="n"/>
      <c r="U1494" s="11" t="n"/>
      <c r="AA1494" s="7" t="n"/>
      <c r="AC1494" s="7" t="n"/>
      <c r="AE1494">
        <f>IF($C1494="","",IF($AK1494=1,Settings!$C$6,Settings!$C$7)*1)</f>
        <v/>
      </c>
      <c r="AF1494" s="7">
        <f>IF($C1494="","",AE1494*AC1494)</f>
        <v/>
      </c>
      <c r="AG1494" s="7">
        <f>IF($C1494="","",AC1494-AF1494)</f>
        <v/>
      </c>
      <c r="AH1494" s="7">
        <f>IF($C1494="","",AG1494-R1494)</f>
        <v/>
      </c>
      <c r="AI1494">
        <f>IF($C1494="","",IF(COUNTIF($C$2:$C1494,$C1494)=1,1,0))</f>
        <v/>
      </c>
      <c r="AJ1494">
        <f>IF($AI1494=1,SUMPRODUCT(--($AL$2:$AL$1501&lt;$AL1494))+1,"")</f>
        <v/>
      </c>
      <c r="AK1494">
        <f>IF($C1494="","",IF(OR($AD1494=TRUE(),$AD1494="TRUE"),0,1))</f>
        <v/>
      </c>
      <c r="AL1494">
        <f>IF($AI1494=1,IFERROR(IF(VALUE($C1494)&lt;100000000,VALUE($C1494),1000000000),IFERROR(IF(VALUE(MID($C1494,2,20))&lt;100000000,VALUE(MID($C1494,2,20)),1000000000),1000000000))+ROW()/100000,"")</f>
        <v/>
      </c>
    </row>
    <row r="1495">
      <c r="J1495" s="7" t="n"/>
      <c r="K1495" s="7" t="n"/>
      <c r="R1495" s="7">
        <f>IF($C1495="","",Q1495*AC1495/100)</f>
        <v/>
      </c>
      <c r="S1495" s="11" t="n"/>
      <c r="U1495" s="11" t="n"/>
      <c r="AA1495" s="7" t="n"/>
      <c r="AC1495" s="7" t="n"/>
      <c r="AE1495">
        <f>IF($C1495="","",IF($AK1495=1,Settings!$C$6,Settings!$C$7)*1)</f>
        <v/>
      </c>
      <c r="AF1495" s="7">
        <f>IF($C1495="","",AE1495*AC1495)</f>
        <v/>
      </c>
      <c r="AG1495" s="7">
        <f>IF($C1495="","",AC1495-AF1495)</f>
        <v/>
      </c>
      <c r="AH1495" s="7">
        <f>IF($C1495="","",AG1495-R1495)</f>
        <v/>
      </c>
      <c r="AI1495">
        <f>IF($C1495="","",IF(COUNTIF($C$2:$C1495,$C1495)=1,1,0))</f>
        <v/>
      </c>
      <c r="AJ1495">
        <f>IF($AI1495=1,SUMPRODUCT(--($AL$2:$AL$1501&lt;$AL1495))+1,"")</f>
        <v/>
      </c>
      <c r="AK1495">
        <f>IF($C1495="","",IF(OR($AD1495=TRUE(),$AD1495="TRUE"),0,1))</f>
        <v/>
      </c>
      <c r="AL1495">
        <f>IF($AI1495=1,IFERROR(IF(VALUE($C1495)&lt;100000000,VALUE($C1495),1000000000),IFERROR(IF(VALUE(MID($C1495,2,20))&lt;100000000,VALUE(MID($C1495,2,20)),1000000000),1000000000))+ROW()/100000,"")</f>
        <v/>
      </c>
    </row>
    <row r="1496">
      <c r="J1496" s="7" t="n"/>
      <c r="K1496" s="7" t="n"/>
      <c r="R1496" s="7">
        <f>IF($C1496="","",Q1496*AC1496/100)</f>
        <v/>
      </c>
      <c r="S1496" s="11" t="n"/>
      <c r="U1496" s="11" t="n"/>
      <c r="AA1496" s="7" t="n"/>
      <c r="AC1496" s="7" t="n"/>
      <c r="AE1496">
        <f>IF($C1496="","",IF($AK1496=1,Settings!$C$6,Settings!$C$7)*1)</f>
        <v/>
      </c>
      <c r="AF1496" s="7">
        <f>IF($C1496="","",AE1496*AC1496)</f>
        <v/>
      </c>
      <c r="AG1496" s="7">
        <f>IF($C1496="","",AC1496-AF1496)</f>
        <v/>
      </c>
      <c r="AH1496" s="7">
        <f>IF($C1496="","",AG1496-R1496)</f>
        <v/>
      </c>
      <c r="AI1496">
        <f>IF($C1496="","",IF(COUNTIF($C$2:$C1496,$C1496)=1,1,0))</f>
        <v/>
      </c>
      <c r="AJ1496">
        <f>IF($AI1496=1,SUMPRODUCT(--($AL$2:$AL$1501&lt;$AL1496))+1,"")</f>
        <v/>
      </c>
      <c r="AK1496">
        <f>IF($C1496="","",IF(OR($AD1496=TRUE(),$AD1496="TRUE"),0,1))</f>
        <v/>
      </c>
      <c r="AL1496">
        <f>IF($AI1496=1,IFERROR(IF(VALUE($C1496)&lt;100000000,VALUE($C1496),1000000000),IFERROR(IF(VALUE(MID($C1496,2,20))&lt;100000000,VALUE(MID($C1496,2,20)),1000000000),1000000000))+ROW()/100000,"")</f>
        <v/>
      </c>
    </row>
    <row r="1497">
      <c r="J1497" s="7" t="n"/>
      <c r="K1497" s="7" t="n"/>
      <c r="R1497" s="7">
        <f>IF($C1497="","",Q1497*AC1497/100)</f>
        <v/>
      </c>
      <c r="S1497" s="11" t="n"/>
      <c r="U1497" s="11" t="n"/>
      <c r="AA1497" s="7" t="n"/>
      <c r="AC1497" s="7" t="n"/>
      <c r="AE1497">
        <f>IF($C1497="","",IF($AK1497=1,Settings!$C$6,Settings!$C$7)*1)</f>
        <v/>
      </c>
      <c r="AF1497" s="7">
        <f>IF($C1497="","",AE1497*AC1497)</f>
        <v/>
      </c>
      <c r="AG1497" s="7">
        <f>IF($C1497="","",AC1497-AF1497)</f>
        <v/>
      </c>
      <c r="AH1497" s="7">
        <f>IF($C1497="","",AG1497-R1497)</f>
        <v/>
      </c>
      <c r="AI1497">
        <f>IF($C1497="","",IF(COUNTIF($C$2:$C1497,$C1497)=1,1,0))</f>
        <v/>
      </c>
      <c r="AJ1497">
        <f>IF($AI1497=1,SUMPRODUCT(--($AL$2:$AL$1501&lt;$AL1497))+1,"")</f>
        <v/>
      </c>
      <c r="AK1497">
        <f>IF($C1497="","",IF(OR($AD1497=TRUE(),$AD1497="TRUE"),0,1))</f>
        <v/>
      </c>
      <c r="AL1497">
        <f>IF($AI1497=1,IFERROR(IF(VALUE($C1497)&lt;100000000,VALUE($C1497),1000000000),IFERROR(IF(VALUE(MID($C1497,2,20))&lt;100000000,VALUE(MID($C1497,2,20)),1000000000),1000000000))+ROW()/100000,"")</f>
        <v/>
      </c>
    </row>
    <row r="1498">
      <c r="J1498" s="7" t="n"/>
      <c r="K1498" s="7" t="n"/>
      <c r="R1498" s="7">
        <f>IF($C1498="","",Q1498*AC1498/100)</f>
        <v/>
      </c>
      <c r="S1498" s="11" t="n"/>
      <c r="U1498" s="11" t="n"/>
      <c r="AA1498" s="7" t="n"/>
      <c r="AC1498" s="7" t="n"/>
      <c r="AE1498">
        <f>IF($C1498="","",IF($AK1498=1,Settings!$C$6,Settings!$C$7)*1)</f>
        <v/>
      </c>
      <c r="AF1498" s="7">
        <f>IF($C1498="","",AE1498*AC1498)</f>
        <v/>
      </c>
      <c r="AG1498" s="7">
        <f>IF($C1498="","",AC1498-AF1498)</f>
        <v/>
      </c>
      <c r="AH1498" s="7">
        <f>IF($C1498="","",AG1498-R1498)</f>
        <v/>
      </c>
      <c r="AI1498">
        <f>IF($C1498="","",IF(COUNTIF($C$2:$C1498,$C1498)=1,1,0))</f>
        <v/>
      </c>
      <c r="AJ1498">
        <f>IF($AI1498=1,SUMPRODUCT(--($AL$2:$AL$1501&lt;$AL1498))+1,"")</f>
        <v/>
      </c>
      <c r="AK1498">
        <f>IF($C1498="","",IF(OR($AD1498=TRUE(),$AD1498="TRUE"),0,1))</f>
        <v/>
      </c>
      <c r="AL1498">
        <f>IF($AI1498=1,IFERROR(IF(VALUE($C1498)&lt;100000000,VALUE($C1498),1000000000),IFERROR(IF(VALUE(MID($C1498,2,20))&lt;100000000,VALUE(MID($C1498,2,20)),1000000000),1000000000))+ROW()/100000,"")</f>
        <v/>
      </c>
    </row>
    <row r="1499">
      <c r="J1499" s="7" t="n"/>
      <c r="K1499" s="7" t="n"/>
      <c r="R1499" s="7">
        <f>IF($C1499="","",Q1499*AC1499/100)</f>
        <v/>
      </c>
      <c r="S1499" s="11" t="n"/>
      <c r="U1499" s="11" t="n"/>
      <c r="AA1499" s="7" t="n"/>
      <c r="AC1499" s="7" t="n"/>
      <c r="AE1499">
        <f>IF($C1499="","",IF($AK1499=1,Settings!$C$6,Settings!$C$7)*1)</f>
        <v/>
      </c>
      <c r="AF1499" s="7">
        <f>IF($C1499="","",AE1499*AC1499)</f>
        <v/>
      </c>
      <c r="AG1499" s="7">
        <f>IF($C1499="","",AC1499-AF1499)</f>
        <v/>
      </c>
      <c r="AH1499" s="7">
        <f>IF($C1499="","",AG1499-R1499)</f>
        <v/>
      </c>
      <c r="AI1499">
        <f>IF($C1499="","",IF(COUNTIF($C$2:$C1499,$C1499)=1,1,0))</f>
        <v/>
      </c>
      <c r="AJ1499">
        <f>IF($AI1499=1,SUMPRODUCT(--($AL$2:$AL$1501&lt;$AL1499))+1,"")</f>
        <v/>
      </c>
      <c r="AK1499">
        <f>IF($C1499="","",IF(OR($AD1499=TRUE(),$AD1499="TRUE"),0,1))</f>
        <v/>
      </c>
      <c r="AL1499">
        <f>IF($AI1499=1,IFERROR(IF(VALUE($C1499)&lt;100000000,VALUE($C1499),1000000000),IFERROR(IF(VALUE(MID($C1499,2,20))&lt;100000000,VALUE(MID($C1499,2,20)),1000000000),1000000000))+ROW()/100000,"")</f>
        <v/>
      </c>
    </row>
    <row r="1500">
      <c r="J1500" s="7" t="n"/>
      <c r="K1500" s="7" t="n"/>
      <c r="R1500" s="7">
        <f>IF($C1500="","",Q1500*AC1500/100)</f>
        <v/>
      </c>
      <c r="S1500" s="11" t="n"/>
      <c r="U1500" s="11" t="n"/>
      <c r="AA1500" s="7" t="n"/>
      <c r="AC1500" s="7" t="n"/>
      <c r="AE1500">
        <f>IF($C1500="","",IF($AK1500=1,Settings!$C$6,Settings!$C$7)*1)</f>
        <v/>
      </c>
      <c r="AF1500" s="7">
        <f>IF($C1500="","",AE1500*AC1500)</f>
        <v/>
      </c>
      <c r="AG1500" s="7">
        <f>IF($C1500="","",AC1500-AF1500)</f>
        <v/>
      </c>
      <c r="AH1500" s="7">
        <f>IF($C1500="","",AG1500-R1500)</f>
        <v/>
      </c>
      <c r="AI1500">
        <f>IF($C1500="","",IF(COUNTIF($C$2:$C1500,$C1500)=1,1,0))</f>
        <v/>
      </c>
      <c r="AJ1500">
        <f>IF($AI1500=1,SUMPRODUCT(--($AL$2:$AL$1501&lt;$AL1500))+1,"")</f>
        <v/>
      </c>
      <c r="AK1500">
        <f>IF($C1500="","",IF(OR($AD1500=TRUE(),$AD1500="TRUE"),0,1))</f>
        <v/>
      </c>
      <c r="AL1500">
        <f>IF($AI1500=1,IFERROR(IF(VALUE($C1500)&lt;100000000,VALUE($C1500),1000000000),IFERROR(IF(VALUE(MID($C1500,2,20))&lt;100000000,VALUE(MID($C1500,2,20)),1000000000),1000000000))+ROW()/100000,"")</f>
        <v/>
      </c>
    </row>
    <row r="1501">
      <c r="J1501" s="7" t="n"/>
      <c r="K1501" s="7" t="n"/>
      <c r="R1501" s="7">
        <f>IF($C1501="","",Q1501*AC1501/100)</f>
        <v/>
      </c>
      <c r="S1501" s="11" t="n"/>
      <c r="U1501" s="11" t="n"/>
      <c r="AA1501" s="7" t="n"/>
      <c r="AC1501" s="7" t="n"/>
      <c r="AE1501">
        <f>IF($C1501="","",IF($AK1501=1,Settings!$C$6,Settings!$C$7)*1)</f>
        <v/>
      </c>
      <c r="AF1501" s="7">
        <f>IF($C1501="","",AE1501*AC1501)</f>
        <v/>
      </c>
      <c r="AG1501" s="7">
        <f>IF($C1501="","",AC1501-AF1501)</f>
        <v/>
      </c>
      <c r="AH1501" s="7">
        <f>IF($C1501="","",AG1501-R1501)</f>
        <v/>
      </c>
      <c r="AI1501">
        <f>IF($C1501="","",IF(COUNTIF($C$2:$C1501,$C1501)=1,1,0))</f>
        <v/>
      </c>
      <c r="AJ1501">
        <f>IF($AI1501=1,SUMPRODUCT(--($AL$2:$AL$1501&lt;$AL1501))+1,"")</f>
        <v/>
      </c>
      <c r="AK1501">
        <f>IF($C1501="","",IF(OR($AD1501=TRUE(),$AD1501="TRUE"),0,1))</f>
        <v/>
      </c>
      <c r="AL1501">
        <f>IF($AI1501=1,IFERROR(IF(VALUE($C1501)&lt;100000000,VALUE($C1501),1000000000),IFERROR(IF(VALUE(MID($C1501,2,20))&lt;100000000,VALUE(MID($C1501,2,20)),1000000000),1000000000))+ROW()/100000,"")</f>
        <v/>
      </c>
    </row>
  </sheetData>
  <autoFilter ref="A1:AL1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</cols>
  <sheetData>
    <row r="1" ht="32" customHeight="1">
      <c r="A1" s="8" t="inlineStr">
        <is>
          <t>Invoice</t>
        </is>
      </c>
      <c r="B1" s="9" t="inlineStr">
        <is>
          <t>ERX ID</t>
        </is>
      </c>
      <c r="C1" s="9" t="inlineStr">
        <is>
          <t>Order Number</t>
        </is>
      </c>
      <c r="D1" s="9" t="inlineStr">
        <is>
          <t>creation date</t>
        </is>
      </c>
      <c r="E1" s="9" t="inlineStr">
        <is>
          <t>Approval Reference</t>
        </is>
      </c>
      <c r="F1" s="9" t="inlineStr">
        <is>
          <t>Order Type</t>
        </is>
      </c>
      <c r="G1" s="9" t="inlineStr">
        <is>
          <t>Card Holder Name</t>
        </is>
      </c>
      <c r="H1" s="9" t="inlineStr">
        <is>
          <t>Card Number</t>
        </is>
      </c>
      <c r="I1" s="9" t="inlineStr">
        <is>
          <t>Payer</t>
        </is>
      </c>
      <c r="J1" s="9" t="inlineStr">
        <is>
          <t>Co Payment (%)</t>
        </is>
      </c>
      <c r="K1" s="9" t="inlineStr">
        <is>
          <t>Co val</t>
        </is>
      </c>
      <c r="L1" s="9" t="inlineStr">
        <is>
          <t>IMP%</t>
        </is>
      </c>
      <c r="M1" s="9" t="inlineStr">
        <is>
          <t>IMP</t>
        </is>
      </c>
      <c r="N1" s="9" t="inlineStr">
        <is>
          <t>IMP VAL</t>
        </is>
      </c>
      <c r="O1" s="9" t="inlineStr">
        <is>
          <t>LOCAL %</t>
        </is>
      </c>
      <c r="P1" s="9" t="inlineStr">
        <is>
          <t>LOCAL</t>
        </is>
      </c>
      <c r="Q1" s="9" t="inlineStr">
        <is>
          <t>LOCAL VAL</t>
        </is>
      </c>
      <c r="R1" s="9" t="inlineStr">
        <is>
          <t>TOTAL VAL</t>
        </is>
      </c>
      <c r="S1" s="9" t="inlineStr">
        <is>
          <t>SUBTOTAL</t>
        </is>
      </c>
      <c r="T1" s="9" t="inlineStr">
        <is>
          <t>Grand Total</t>
        </is>
      </c>
      <c r="U1" s="9" t="inlineStr">
        <is>
          <t>NET</t>
        </is>
      </c>
      <c r="V1" s="10" t="inlineStr">
        <is>
          <t>Src Row (helper)</t>
        </is>
      </c>
    </row>
    <row r="2">
      <c r="A2" s="12" t="n"/>
      <c r="B2">
        <f>IF($V2="","",INDEX('Per Line'!$A$2:$A$1501,$V2)&amp;"")</f>
        <v/>
      </c>
      <c r="C2">
        <f>IF($V2="","",INDEX('Per Line'!$C$2:$C$1501,$V2)&amp;"")</f>
        <v/>
      </c>
      <c r="D2" s="11">
        <f>IF($V2="","",INDEX('Per Line'!$S$2:$S$1501,$V2))</f>
        <v/>
      </c>
      <c r="E2">
        <f>IF($V2="","",INDEX('Per Line'!$F$2:$F$1501,$V2)&amp;"")</f>
        <v/>
      </c>
      <c r="F2">
        <f>IF($V2="","",INDEX('Per Line'!$L$2:$L$1501,$V2)&amp;"")</f>
        <v/>
      </c>
      <c r="G2">
        <f>IF($V2="","",INDEX('Per Line'!$O$2:$O$1501,$V2)&amp;"")</f>
        <v/>
      </c>
      <c r="H2">
        <f>IF($V2="","",INDEX('Per Line'!$P$2:$P$1501,$V2)&amp;"")</f>
        <v/>
      </c>
      <c r="I2">
        <f>IF($V2="","",INDEX('Per Line'!$N$2:$N$1501,$V2)&amp;"")</f>
        <v/>
      </c>
      <c r="J2">
        <f>IF($V2="","",INDEX('Per Line'!$Q$2:$Q$1501,$V2))</f>
        <v/>
      </c>
      <c r="K2" s="7">
        <f>IF($V2="","",J2*T2/100)</f>
        <v/>
      </c>
      <c r="L2">
        <f>IF($V2="","",Settings!$C$7)</f>
        <v/>
      </c>
      <c r="M2" s="7">
        <f>IF($V2="","",SUMIFS('Per Line'!$AC$2:$AC$1501,'Per Line'!$C$2:$C$1501,$C2,'Per Line'!$AK$2:$AK$1501,0))</f>
        <v/>
      </c>
      <c r="N2" s="7">
        <f>IF($V2="","",M2*L2)</f>
        <v/>
      </c>
      <c r="O2">
        <f>IF($V2="","",Settings!$C$6)</f>
        <v/>
      </c>
      <c r="P2" s="7">
        <f>IF($V2="","",SUMIFS('Per Line'!$AC$2:$AC$1501,'Per Line'!$C$2:$C$1501,$C2,'Per Line'!$AK$2:$AK$1501,1))</f>
        <v/>
      </c>
      <c r="Q2" s="7">
        <f>IF($V2="","",P2*O2)</f>
        <v/>
      </c>
      <c r="R2" s="7">
        <f>IF($V2="","",Q2+N2)</f>
        <v/>
      </c>
      <c r="S2" s="7">
        <f>IF($V2="","",T2-R2)</f>
        <v/>
      </c>
      <c r="T2" s="7">
        <f>IF($V2="","",M2+P2)</f>
        <v/>
      </c>
      <c r="U2" s="7">
        <f>IF($V2="","",T2-R2-K2)</f>
        <v/>
      </c>
      <c r="V2" s="13">
        <f>IF(ROWS($V$2:$V2)&lt;=MAX('Per Line'!$AJ$2:$AJ$1501),MATCH(ROWS($V$2:$V2),'Per Line'!$AJ$2:$AJ$1501,0),"")</f>
        <v/>
      </c>
    </row>
    <row r="3">
      <c r="A3" s="12" t="n"/>
      <c r="B3">
        <f>IF($V3="","",INDEX('Per Line'!$A$2:$A$1501,$V3)&amp;"")</f>
        <v/>
      </c>
      <c r="C3">
        <f>IF($V3="","",INDEX('Per Line'!$C$2:$C$1501,$V3)&amp;"")</f>
        <v/>
      </c>
      <c r="D3" s="11">
        <f>IF($V3="","",INDEX('Per Line'!$S$2:$S$1501,$V3))</f>
        <v/>
      </c>
      <c r="E3">
        <f>IF($V3="","",INDEX('Per Line'!$F$2:$F$1501,$V3)&amp;"")</f>
        <v/>
      </c>
      <c r="F3">
        <f>IF($V3="","",INDEX('Per Line'!$L$2:$L$1501,$V3)&amp;"")</f>
        <v/>
      </c>
      <c r="G3">
        <f>IF($V3="","",INDEX('Per Line'!$O$2:$O$1501,$V3)&amp;"")</f>
        <v/>
      </c>
      <c r="H3">
        <f>IF($V3="","",INDEX('Per Line'!$P$2:$P$1501,$V3)&amp;"")</f>
        <v/>
      </c>
      <c r="I3">
        <f>IF($V3="","",INDEX('Per Line'!$N$2:$N$1501,$V3)&amp;"")</f>
        <v/>
      </c>
      <c r="J3">
        <f>IF($V3="","",INDEX('Per Line'!$Q$2:$Q$1501,$V3))</f>
        <v/>
      </c>
      <c r="K3" s="7">
        <f>IF($V3="","",J3*T3/100)</f>
        <v/>
      </c>
      <c r="L3">
        <f>IF($V3="","",Settings!$C$7)</f>
        <v/>
      </c>
      <c r="M3" s="7">
        <f>IF($V3="","",SUMIFS('Per Line'!$AC$2:$AC$1501,'Per Line'!$C$2:$C$1501,$C3,'Per Line'!$AK$2:$AK$1501,0))</f>
        <v/>
      </c>
      <c r="N3" s="7">
        <f>IF($V3="","",M3*L3)</f>
        <v/>
      </c>
      <c r="O3">
        <f>IF($V3="","",Settings!$C$6)</f>
        <v/>
      </c>
      <c r="P3" s="7">
        <f>IF($V3="","",SUMIFS('Per Line'!$AC$2:$AC$1501,'Per Line'!$C$2:$C$1501,$C3,'Per Line'!$AK$2:$AK$1501,1))</f>
        <v/>
      </c>
      <c r="Q3" s="7">
        <f>IF($V3="","",P3*O3)</f>
        <v/>
      </c>
      <c r="R3" s="7">
        <f>IF($V3="","",Q3+N3)</f>
        <v/>
      </c>
      <c r="S3" s="7">
        <f>IF($V3="","",T3-R3)</f>
        <v/>
      </c>
      <c r="T3" s="7">
        <f>IF($V3="","",M3+P3)</f>
        <v/>
      </c>
      <c r="U3" s="7">
        <f>IF($V3="","",T3-R3-K3)</f>
        <v/>
      </c>
      <c r="V3" s="13">
        <f>IF(ROWS($V$2:$V3)&lt;=MAX('Per Line'!$AJ$2:$AJ$1501),MATCH(ROWS($V$2:$V3),'Per Line'!$AJ$2:$AJ$1501,0),"")</f>
        <v/>
      </c>
    </row>
    <row r="4">
      <c r="A4" s="12" t="n"/>
      <c r="B4">
        <f>IF($V4="","",INDEX('Per Line'!$A$2:$A$1501,$V4)&amp;"")</f>
        <v/>
      </c>
      <c r="C4">
        <f>IF($V4="","",INDEX('Per Line'!$C$2:$C$1501,$V4)&amp;"")</f>
        <v/>
      </c>
      <c r="D4" s="11">
        <f>IF($V4="","",INDEX('Per Line'!$S$2:$S$1501,$V4))</f>
        <v/>
      </c>
      <c r="E4">
        <f>IF($V4="","",INDEX('Per Line'!$F$2:$F$1501,$V4)&amp;"")</f>
        <v/>
      </c>
      <c r="F4">
        <f>IF($V4="","",INDEX('Per Line'!$L$2:$L$1501,$V4)&amp;"")</f>
        <v/>
      </c>
      <c r="G4">
        <f>IF($V4="","",INDEX('Per Line'!$O$2:$O$1501,$V4)&amp;"")</f>
        <v/>
      </c>
      <c r="H4">
        <f>IF($V4="","",INDEX('Per Line'!$P$2:$P$1501,$V4)&amp;"")</f>
        <v/>
      </c>
      <c r="I4">
        <f>IF($V4="","",INDEX('Per Line'!$N$2:$N$1501,$V4)&amp;"")</f>
        <v/>
      </c>
      <c r="J4">
        <f>IF($V4="","",INDEX('Per Line'!$Q$2:$Q$1501,$V4))</f>
        <v/>
      </c>
      <c r="K4" s="7">
        <f>IF($V4="","",J4*T4/100)</f>
        <v/>
      </c>
      <c r="L4">
        <f>IF($V4="","",Settings!$C$7)</f>
        <v/>
      </c>
      <c r="M4" s="7">
        <f>IF($V4="","",SUMIFS('Per Line'!$AC$2:$AC$1501,'Per Line'!$C$2:$C$1501,$C4,'Per Line'!$AK$2:$AK$1501,0))</f>
        <v/>
      </c>
      <c r="N4" s="7">
        <f>IF($V4="","",M4*L4)</f>
        <v/>
      </c>
      <c r="O4">
        <f>IF($V4="","",Settings!$C$6)</f>
        <v/>
      </c>
      <c r="P4" s="7">
        <f>IF($V4="","",SUMIFS('Per Line'!$AC$2:$AC$1501,'Per Line'!$C$2:$C$1501,$C4,'Per Line'!$AK$2:$AK$1501,1))</f>
        <v/>
      </c>
      <c r="Q4" s="7">
        <f>IF($V4="","",P4*O4)</f>
        <v/>
      </c>
      <c r="R4" s="7">
        <f>IF($V4="","",Q4+N4)</f>
        <v/>
      </c>
      <c r="S4" s="7">
        <f>IF($V4="","",T4-R4)</f>
        <v/>
      </c>
      <c r="T4" s="7">
        <f>IF($V4="","",M4+P4)</f>
        <v/>
      </c>
      <c r="U4" s="7">
        <f>IF($V4="","",T4-R4-K4)</f>
        <v/>
      </c>
      <c r="V4" s="13">
        <f>IF(ROWS($V$2:$V4)&lt;=MAX('Per Line'!$AJ$2:$AJ$1501),MATCH(ROWS($V$2:$V4),'Per Line'!$AJ$2:$AJ$1501,0),"")</f>
        <v/>
      </c>
    </row>
    <row r="5">
      <c r="A5" s="12" t="n"/>
      <c r="B5">
        <f>IF($V5="","",INDEX('Per Line'!$A$2:$A$1501,$V5)&amp;"")</f>
        <v/>
      </c>
      <c r="C5">
        <f>IF($V5="","",INDEX('Per Line'!$C$2:$C$1501,$V5)&amp;"")</f>
        <v/>
      </c>
      <c r="D5" s="11">
        <f>IF($V5="","",INDEX('Per Line'!$S$2:$S$1501,$V5))</f>
        <v/>
      </c>
      <c r="E5">
        <f>IF($V5="","",INDEX('Per Line'!$F$2:$F$1501,$V5)&amp;"")</f>
        <v/>
      </c>
      <c r="F5">
        <f>IF($V5="","",INDEX('Per Line'!$L$2:$L$1501,$V5)&amp;"")</f>
        <v/>
      </c>
      <c r="G5">
        <f>IF($V5="","",INDEX('Per Line'!$O$2:$O$1501,$V5)&amp;"")</f>
        <v/>
      </c>
      <c r="H5">
        <f>IF($V5="","",INDEX('Per Line'!$P$2:$P$1501,$V5)&amp;"")</f>
        <v/>
      </c>
      <c r="I5">
        <f>IF($V5="","",INDEX('Per Line'!$N$2:$N$1501,$V5)&amp;"")</f>
        <v/>
      </c>
      <c r="J5">
        <f>IF($V5="","",INDEX('Per Line'!$Q$2:$Q$1501,$V5))</f>
        <v/>
      </c>
      <c r="K5" s="7">
        <f>IF($V5="","",J5*T5/100)</f>
        <v/>
      </c>
      <c r="L5">
        <f>IF($V5="","",Settings!$C$7)</f>
        <v/>
      </c>
      <c r="M5" s="7">
        <f>IF($V5="","",SUMIFS('Per Line'!$AC$2:$AC$1501,'Per Line'!$C$2:$C$1501,$C5,'Per Line'!$AK$2:$AK$1501,0))</f>
        <v/>
      </c>
      <c r="N5" s="7">
        <f>IF($V5="","",M5*L5)</f>
        <v/>
      </c>
      <c r="O5">
        <f>IF($V5="","",Settings!$C$6)</f>
        <v/>
      </c>
      <c r="P5" s="7">
        <f>IF($V5="","",SUMIFS('Per Line'!$AC$2:$AC$1501,'Per Line'!$C$2:$C$1501,$C5,'Per Line'!$AK$2:$AK$1501,1))</f>
        <v/>
      </c>
      <c r="Q5" s="7">
        <f>IF($V5="","",P5*O5)</f>
        <v/>
      </c>
      <c r="R5" s="7">
        <f>IF($V5="","",Q5+N5)</f>
        <v/>
      </c>
      <c r="S5" s="7">
        <f>IF($V5="","",T5-R5)</f>
        <v/>
      </c>
      <c r="T5" s="7">
        <f>IF($V5="","",M5+P5)</f>
        <v/>
      </c>
      <c r="U5" s="7">
        <f>IF($V5="","",T5-R5-K5)</f>
        <v/>
      </c>
      <c r="V5" s="13">
        <f>IF(ROWS($V$2:$V5)&lt;=MAX('Per Line'!$AJ$2:$AJ$1501),MATCH(ROWS($V$2:$V5),'Per Line'!$AJ$2:$AJ$1501,0),"")</f>
        <v/>
      </c>
    </row>
    <row r="6">
      <c r="A6" s="12" t="n"/>
      <c r="B6">
        <f>IF($V6="","",INDEX('Per Line'!$A$2:$A$1501,$V6)&amp;"")</f>
        <v/>
      </c>
      <c r="C6">
        <f>IF($V6="","",INDEX('Per Line'!$C$2:$C$1501,$V6)&amp;"")</f>
        <v/>
      </c>
      <c r="D6" s="11">
        <f>IF($V6="","",INDEX('Per Line'!$S$2:$S$1501,$V6))</f>
        <v/>
      </c>
      <c r="E6">
        <f>IF($V6="","",INDEX('Per Line'!$F$2:$F$1501,$V6)&amp;"")</f>
        <v/>
      </c>
      <c r="F6">
        <f>IF($V6="","",INDEX('Per Line'!$L$2:$L$1501,$V6)&amp;"")</f>
        <v/>
      </c>
      <c r="G6">
        <f>IF($V6="","",INDEX('Per Line'!$O$2:$O$1501,$V6)&amp;"")</f>
        <v/>
      </c>
      <c r="H6">
        <f>IF($V6="","",INDEX('Per Line'!$P$2:$P$1501,$V6)&amp;"")</f>
        <v/>
      </c>
      <c r="I6">
        <f>IF($V6="","",INDEX('Per Line'!$N$2:$N$1501,$V6)&amp;"")</f>
        <v/>
      </c>
      <c r="J6">
        <f>IF($V6="","",INDEX('Per Line'!$Q$2:$Q$1501,$V6))</f>
        <v/>
      </c>
      <c r="K6" s="7">
        <f>IF($V6="","",J6*T6/100)</f>
        <v/>
      </c>
      <c r="L6">
        <f>IF($V6="","",Settings!$C$7)</f>
        <v/>
      </c>
      <c r="M6" s="7">
        <f>IF($V6="","",SUMIFS('Per Line'!$AC$2:$AC$1501,'Per Line'!$C$2:$C$1501,$C6,'Per Line'!$AK$2:$AK$1501,0))</f>
        <v/>
      </c>
      <c r="N6" s="7">
        <f>IF($V6="","",M6*L6)</f>
        <v/>
      </c>
      <c r="O6">
        <f>IF($V6="","",Settings!$C$6)</f>
        <v/>
      </c>
      <c r="P6" s="7">
        <f>IF($V6="","",SUMIFS('Per Line'!$AC$2:$AC$1501,'Per Line'!$C$2:$C$1501,$C6,'Per Line'!$AK$2:$AK$1501,1))</f>
        <v/>
      </c>
      <c r="Q6" s="7">
        <f>IF($V6="","",P6*O6)</f>
        <v/>
      </c>
      <c r="R6" s="7">
        <f>IF($V6="","",Q6+N6)</f>
        <v/>
      </c>
      <c r="S6" s="7">
        <f>IF($V6="","",T6-R6)</f>
        <v/>
      </c>
      <c r="T6" s="7">
        <f>IF($V6="","",M6+P6)</f>
        <v/>
      </c>
      <c r="U6" s="7">
        <f>IF($V6="","",T6-R6-K6)</f>
        <v/>
      </c>
      <c r="V6" s="13">
        <f>IF(ROWS($V$2:$V6)&lt;=MAX('Per Line'!$AJ$2:$AJ$1501),MATCH(ROWS($V$2:$V6),'Per Line'!$AJ$2:$AJ$1501,0),"")</f>
        <v/>
      </c>
    </row>
    <row r="7">
      <c r="A7" s="12" t="n"/>
      <c r="B7">
        <f>IF($V7="","",INDEX('Per Line'!$A$2:$A$1501,$V7)&amp;"")</f>
        <v/>
      </c>
      <c r="C7">
        <f>IF($V7="","",INDEX('Per Line'!$C$2:$C$1501,$V7)&amp;"")</f>
        <v/>
      </c>
      <c r="D7" s="11">
        <f>IF($V7="","",INDEX('Per Line'!$S$2:$S$1501,$V7))</f>
        <v/>
      </c>
      <c r="E7">
        <f>IF($V7="","",INDEX('Per Line'!$F$2:$F$1501,$V7)&amp;"")</f>
        <v/>
      </c>
      <c r="F7">
        <f>IF($V7="","",INDEX('Per Line'!$L$2:$L$1501,$V7)&amp;"")</f>
        <v/>
      </c>
      <c r="G7">
        <f>IF($V7="","",INDEX('Per Line'!$O$2:$O$1501,$V7)&amp;"")</f>
        <v/>
      </c>
      <c r="H7">
        <f>IF($V7="","",INDEX('Per Line'!$P$2:$P$1501,$V7)&amp;"")</f>
        <v/>
      </c>
      <c r="I7">
        <f>IF($V7="","",INDEX('Per Line'!$N$2:$N$1501,$V7)&amp;"")</f>
        <v/>
      </c>
      <c r="J7">
        <f>IF($V7="","",INDEX('Per Line'!$Q$2:$Q$1501,$V7))</f>
        <v/>
      </c>
      <c r="K7" s="7">
        <f>IF($V7="","",J7*T7/100)</f>
        <v/>
      </c>
      <c r="L7">
        <f>IF($V7="","",Settings!$C$7)</f>
        <v/>
      </c>
      <c r="M7" s="7">
        <f>IF($V7="","",SUMIFS('Per Line'!$AC$2:$AC$1501,'Per Line'!$C$2:$C$1501,$C7,'Per Line'!$AK$2:$AK$1501,0))</f>
        <v/>
      </c>
      <c r="N7" s="7">
        <f>IF($V7="","",M7*L7)</f>
        <v/>
      </c>
      <c r="O7">
        <f>IF($V7="","",Settings!$C$6)</f>
        <v/>
      </c>
      <c r="P7" s="7">
        <f>IF($V7="","",SUMIFS('Per Line'!$AC$2:$AC$1501,'Per Line'!$C$2:$C$1501,$C7,'Per Line'!$AK$2:$AK$1501,1))</f>
        <v/>
      </c>
      <c r="Q7" s="7">
        <f>IF($V7="","",P7*O7)</f>
        <v/>
      </c>
      <c r="R7" s="7">
        <f>IF($V7="","",Q7+N7)</f>
        <v/>
      </c>
      <c r="S7" s="7">
        <f>IF($V7="","",T7-R7)</f>
        <v/>
      </c>
      <c r="T7" s="7">
        <f>IF($V7="","",M7+P7)</f>
        <v/>
      </c>
      <c r="U7" s="7">
        <f>IF($V7="","",T7-R7-K7)</f>
        <v/>
      </c>
      <c r="V7" s="13">
        <f>IF(ROWS($V$2:$V7)&lt;=MAX('Per Line'!$AJ$2:$AJ$1501),MATCH(ROWS($V$2:$V7),'Per Line'!$AJ$2:$AJ$1501,0),"")</f>
        <v/>
      </c>
    </row>
    <row r="8">
      <c r="A8" s="12" t="n"/>
      <c r="B8">
        <f>IF($V8="","",INDEX('Per Line'!$A$2:$A$1501,$V8)&amp;"")</f>
        <v/>
      </c>
      <c r="C8">
        <f>IF($V8="","",INDEX('Per Line'!$C$2:$C$1501,$V8)&amp;"")</f>
        <v/>
      </c>
      <c r="D8" s="11">
        <f>IF($V8="","",INDEX('Per Line'!$S$2:$S$1501,$V8))</f>
        <v/>
      </c>
      <c r="E8">
        <f>IF($V8="","",INDEX('Per Line'!$F$2:$F$1501,$V8)&amp;"")</f>
        <v/>
      </c>
      <c r="F8">
        <f>IF($V8="","",INDEX('Per Line'!$L$2:$L$1501,$V8)&amp;"")</f>
        <v/>
      </c>
      <c r="G8">
        <f>IF($V8="","",INDEX('Per Line'!$O$2:$O$1501,$V8)&amp;"")</f>
        <v/>
      </c>
      <c r="H8">
        <f>IF($V8="","",INDEX('Per Line'!$P$2:$P$1501,$V8)&amp;"")</f>
        <v/>
      </c>
      <c r="I8">
        <f>IF($V8="","",INDEX('Per Line'!$N$2:$N$1501,$V8)&amp;"")</f>
        <v/>
      </c>
      <c r="J8">
        <f>IF($V8="","",INDEX('Per Line'!$Q$2:$Q$1501,$V8))</f>
        <v/>
      </c>
      <c r="K8" s="7">
        <f>IF($V8="","",J8*T8/100)</f>
        <v/>
      </c>
      <c r="L8">
        <f>IF($V8="","",Settings!$C$7)</f>
        <v/>
      </c>
      <c r="M8" s="7">
        <f>IF($V8="","",SUMIFS('Per Line'!$AC$2:$AC$1501,'Per Line'!$C$2:$C$1501,$C8,'Per Line'!$AK$2:$AK$1501,0))</f>
        <v/>
      </c>
      <c r="N8" s="7">
        <f>IF($V8="","",M8*L8)</f>
        <v/>
      </c>
      <c r="O8">
        <f>IF($V8="","",Settings!$C$6)</f>
        <v/>
      </c>
      <c r="P8" s="7">
        <f>IF($V8="","",SUMIFS('Per Line'!$AC$2:$AC$1501,'Per Line'!$C$2:$C$1501,$C8,'Per Line'!$AK$2:$AK$1501,1))</f>
        <v/>
      </c>
      <c r="Q8" s="7">
        <f>IF($V8="","",P8*O8)</f>
        <v/>
      </c>
      <c r="R8" s="7">
        <f>IF($V8="","",Q8+N8)</f>
        <v/>
      </c>
      <c r="S8" s="7">
        <f>IF($V8="","",T8-R8)</f>
        <v/>
      </c>
      <c r="T8" s="7">
        <f>IF($V8="","",M8+P8)</f>
        <v/>
      </c>
      <c r="U8" s="7">
        <f>IF($V8="","",T8-R8-K8)</f>
        <v/>
      </c>
      <c r="V8" s="13">
        <f>IF(ROWS($V$2:$V8)&lt;=MAX('Per Line'!$AJ$2:$AJ$1501),MATCH(ROWS($V$2:$V8),'Per Line'!$AJ$2:$AJ$1501,0),"")</f>
        <v/>
      </c>
    </row>
    <row r="9">
      <c r="A9" s="12" t="n"/>
      <c r="B9">
        <f>IF($V9="","",INDEX('Per Line'!$A$2:$A$1501,$V9)&amp;"")</f>
        <v/>
      </c>
      <c r="C9">
        <f>IF($V9="","",INDEX('Per Line'!$C$2:$C$1501,$V9)&amp;"")</f>
        <v/>
      </c>
      <c r="D9" s="11">
        <f>IF($V9="","",INDEX('Per Line'!$S$2:$S$1501,$V9))</f>
        <v/>
      </c>
      <c r="E9">
        <f>IF($V9="","",INDEX('Per Line'!$F$2:$F$1501,$V9)&amp;"")</f>
        <v/>
      </c>
      <c r="F9">
        <f>IF($V9="","",INDEX('Per Line'!$L$2:$L$1501,$V9)&amp;"")</f>
        <v/>
      </c>
      <c r="G9">
        <f>IF($V9="","",INDEX('Per Line'!$O$2:$O$1501,$V9)&amp;"")</f>
        <v/>
      </c>
      <c r="H9">
        <f>IF($V9="","",INDEX('Per Line'!$P$2:$P$1501,$V9)&amp;"")</f>
        <v/>
      </c>
      <c r="I9">
        <f>IF($V9="","",INDEX('Per Line'!$N$2:$N$1501,$V9)&amp;"")</f>
        <v/>
      </c>
      <c r="J9">
        <f>IF($V9="","",INDEX('Per Line'!$Q$2:$Q$1501,$V9))</f>
        <v/>
      </c>
      <c r="K9" s="7">
        <f>IF($V9="","",J9*T9/100)</f>
        <v/>
      </c>
      <c r="L9">
        <f>IF($V9="","",Settings!$C$7)</f>
        <v/>
      </c>
      <c r="M9" s="7">
        <f>IF($V9="","",SUMIFS('Per Line'!$AC$2:$AC$1501,'Per Line'!$C$2:$C$1501,$C9,'Per Line'!$AK$2:$AK$1501,0))</f>
        <v/>
      </c>
      <c r="N9" s="7">
        <f>IF($V9="","",M9*L9)</f>
        <v/>
      </c>
      <c r="O9">
        <f>IF($V9="","",Settings!$C$6)</f>
        <v/>
      </c>
      <c r="P9" s="7">
        <f>IF($V9="","",SUMIFS('Per Line'!$AC$2:$AC$1501,'Per Line'!$C$2:$C$1501,$C9,'Per Line'!$AK$2:$AK$1501,1))</f>
        <v/>
      </c>
      <c r="Q9" s="7">
        <f>IF($V9="","",P9*O9)</f>
        <v/>
      </c>
      <c r="R9" s="7">
        <f>IF($V9="","",Q9+N9)</f>
        <v/>
      </c>
      <c r="S9" s="7">
        <f>IF($V9="","",T9-R9)</f>
        <v/>
      </c>
      <c r="T9" s="7">
        <f>IF($V9="","",M9+P9)</f>
        <v/>
      </c>
      <c r="U9" s="7">
        <f>IF($V9="","",T9-R9-K9)</f>
        <v/>
      </c>
      <c r="V9" s="13">
        <f>IF(ROWS($V$2:$V9)&lt;=MAX('Per Line'!$AJ$2:$AJ$1501),MATCH(ROWS($V$2:$V9),'Per Line'!$AJ$2:$AJ$1501,0),"")</f>
        <v/>
      </c>
    </row>
    <row r="10">
      <c r="A10" s="12" t="n"/>
      <c r="B10">
        <f>IF($V10="","",INDEX('Per Line'!$A$2:$A$1501,$V10)&amp;"")</f>
        <v/>
      </c>
      <c r="C10">
        <f>IF($V10="","",INDEX('Per Line'!$C$2:$C$1501,$V10)&amp;"")</f>
        <v/>
      </c>
      <c r="D10" s="11">
        <f>IF($V10="","",INDEX('Per Line'!$S$2:$S$1501,$V10))</f>
        <v/>
      </c>
      <c r="E10">
        <f>IF($V10="","",INDEX('Per Line'!$F$2:$F$1501,$V10)&amp;"")</f>
        <v/>
      </c>
      <c r="F10">
        <f>IF($V10="","",INDEX('Per Line'!$L$2:$L$1501,$V10)&amp;"")</f>
        <v/>
      </c>
      <c r="G10">
        <f>IF($V10="","",INDEX('Per Line'!$O$2:$O$1501,$V10)&amp;"")</f>
        <v/>
      </c>
      <c r="H10">
        <f>IF($V10="","",INDEX('Per Line'!$P$2:$P$1501,$V10)&amp;"")</f>
        <v/>
      </c>
      <c r="I10">
        <f>IF($V10="","",INDEX('Per Line'!$N$2:$N$1501,$V10)&amp;"")</f>
        <v/>
      </c>
      <c r="J10">
        <f>IF($V10="","",INDEX('Per Line'!$Q$2:$Q$1501,$V10))</f>
        <v/>
      </c>
      <c r="K10" s="7">
        <f>IF($V10="","",J10*T10/100)</f>
        <v/>
      </c>
      <c r="L10">
        <f>IF($V10="","",Settings!$C$7)</f>
        <v/>
      </c>
      <c r="M10" s="7">
        <f>IF($V10="","",SUMIFS('Per Line'!$AC$2:$AC$1501,'Per Line'!$C$2:$C$1501,$C10,'Per Line'!$AK$2:$AK$1501,0))</f>
        <v/>
      </c>
      <c r="N10" s="7">
        <f>IF($V10="","",M10*L10)</f>
        <v/>
      </c>
      <c r="O10">
        <f>IF($V10="","",Settings!$C$6)</f>
        <v/>
      </c>
      <c r="P10" s="7">
        <f>IF($V10="","",SUMIFS('Per Line'!$AC$2:$AC$1501,'Per Line'!$C$2:$C$1501,$C10,'Per Line'!$AK$2:$AK$1501,1))</f>
        <v/>
      </c>
      <c r="Q10" s="7">
        <f>IF($V10="","",P10*O10)</f>
        <v/>
      </c>
      <c r="R10" s="7">
        <f>IF($V10="","",Q10+N10)</f>
        <v/>
      </c>
      <c r="S10" s="7">
        <f>IF($V10="","",T10-R10)</f>
        <v/>
      </c>
      <c r="T10" s="7">
        <f>IF($V10="","",M10+P10)</f>
        <v/>
      </c>
      <c r="U10" s="7">
        <f>IF($V10="","",T10-R10-K10)</f>
        <v/>
      </c>
      <c r="V10" s="13">
        <f>IF(ROWS($V$2:$V10)&lt;=MAX('Per Line'!$AJ$2:$AJ$1501),MATCH(ROWS($V$2:$V10),'Per Line'!$AJ$2:$AJ$1501,0),"")</f>
        <v/>
      </c>
    </row>
    <row r="11">
      <c r="A11" s="12" t="n"/>
      <c r="B11">
        <f>IF($V11="","",INDEX('Per Line'!$A$2:$A$1501,$V11)&amp;"")</f>
        <v/>
      </c>
      <c r="C11">
        <f>IF($V11="","",INDEX('Per Line'!$C$2:$C$1501,$V11)&amp;"")</f>
        <v/>
      </c>
      <c r="D11" s="11">
        <f>IF($V11="","",INDEX('Per Line'!$S$2:$S$1501,$V11))</f>
        <v/>
      </c>
      <c r="E11">
        <f>IF($V11="","",INDEX('Per Line'!$F$2:$F$1501,$V11)&amp;"")</f>
        <v/>
      </c>
      <c r="F11">
        <f>IF($V11="","",INDEX('Per Line'!$L$2:$L$1501,$V11)&amp;"")</f>
        <v/>
      </c>
      <c r="G11">
        <f>IF($V11="","",INDEX('Per Line'!$O$2:$O$1501,$V11)&amp;"")</f>
        <v/>
      </c>
      <c r="H11">
        <f>IF($V11="","",INDEX('Per Line'!$P$2:$P$1501,$V11)&amp;"")</f>
        <v/>
      </c>
      <c r="I11">
        <f>IF($V11="","",INDEX('Per Line'!$N$2:$N$1501,$V11)&amp;"")</f>
        <v/>
      </c>
      <c r="J11">
        <f>IF($V11="","",INDEX('Per Line'!$Q$2:$Q$1501,$V11))</f>
        <v/>
      </c>
      <c r="K11" s="7">
        <f>IF($V11="","",J11*T11/100)</f>
        <v/>
      </c>
      <c r="L11">
        <f>IF($V11="","",Settings!$C$7)</f>
        <v/>
      </c>
      <c r="M11" s="7">
        <f>IF($V11="","",SUMIFS('Per Line'!$AC$2:$AC$1501,'Per Line'!$C$2:$C$1501,$C11,'Per Line'!$AK$2:$AK$1501,0))</f>
        <v/>
      </c>
      <c r="N11" s="7">
        <f>IF($V11="","",M11*L11)</f>
        <v/>
      </c>
      <c r="O11">
        <f>IF($V11="","",Settings!$C$6)</f>
        <v/>
      </c>
      <c r="P11" s="7">
        <f>IF($V11="","",SUMIFS('Per Line'!$AC$2:$AC$1501,'Per Line'!$C$2:$C$1501,$C11,'Per Line'!$AK$2:$AK$1501,1))</f>
        <v/>
      </c>
      <c r="Q11" s="7">
        <f>IF($V11="","",P11*O11)</f>
        <v/>
      </c>
      <c r="R11" s="7">
        <f>IF($V11="","",Q11+N11)</f>
        <v/>
      </c>
      <c r="S11" s="7">
        <f>IF($V11="","",T11-R11)</f>
        <v/>
      </c>
      <c r="T11" s="7">
        <f>IF($V11="","",M11+P11)</f>
        <v/>
      </c>
      <c r="U11" s="7">
        <f>IF($V11="","",T11-R11-K11)</f>
        <v/>
      </c>
      <c r="V11" s="13">
        <f>IF(ROWS($V$2:$V11)&lt;=MAX('Per Line'!$AJ$2:$AJ$1501),MATCH(ROWS($V$2:$V11),'Per Line'!$AJ$2:$AJ$1501,0),"")</f>
        <v/>
      </c>
    </row>
    <row r="12">
      <c r="A12" s="12" t="n"/>
      <c r="B12">
        <f>IF($V12="","",INDEX('Per Line'!$A$2:$A$1501,$V12)&amp;"")</f>
        <v/>
      </c>
      <c r="C12">
        <f>IF($V12="","",INDEX('Per Line'!$C$2:$C$1501,$V12)&amp;"")</f>
        <v/>
      </c>
      <c r="D12" s="11">
        <f>IF($V12="","",INDEX('Per Line'!$S$2:$S$1501,$V12))</f>
        <v/>
      </c>
      <c r="E12">
        <f>IF($V12="","",INDEX('Per Line'!$F$2:$F$1501,$V12)&amp;"")</f>
        <v/>
      </c>
      <c r="F12">
        <f>IF($V12="","",INDEX('Per Line'!$L$2:$L$1501,$V12)&amp;"")</f>
        <v/>
      </c>
      <c r="G12">
        <f>IF($V12="","",INDEX('Per Line'!$O$2:$O$1501,$V12)&amp;"")</f>
        <v/>
      </c>
      <c r="H12">
        <f>IF($V12="","",INDEX('Per Line'!$P$2:$P$1501,$V12)&amp;"")</f>
        <v/>
      </c>
      <c r="I12">
        <f>IF($V12="","",INDEX('Per Line'!$N$2:$N$1501,$V12)&amp;"")</f>
        <v/>
      </c>
      <c r="J12">
        <f>IF($V12="","",INDEX('Per Line'!$Q$2:$Q$1501,$V12))</f>
        <v/>
      </c>
      <c r="K12" s="7">
        <f>IF($V12="","",J12*T12/100)</f>
        <v/>
      </c>
      <c r="L12">
        <f>IF($V12="","",Settings!$C$7)</f>
        <v/>
      </c>
      <c r="M12" s="7">
        <f>IF($V12="","",SUMIFS('Per Line'!$AC$2:$AC$1501,'Per Line'!$C$2:$C$1501,$C12,'Per Line'!$AK$2:$AK$1501,0))</f>
        <v/>
      </c>
      <c r="N12" s="7">
        <f>IF($V12="","",M12*L12)</f>
        <v/>
      </c>
      <c r="O12">
        <f>IF($V12="","",Settings!$C$6)</f>
        <v/>
      </c>
      <c r="P12" s="7">
        <f>IF($V12="","",SUMIFS('Per Line'!$AC$2:$AC$1501,'Per Line'!$C$2:$C$1501,$C12,'Per Line'!$AK$2:$AK$1501,1))</f>
        <v/>
      </c>
      <c r="Q12" s="7">
        <f>IF($V12="","",P12*O12)</f>
        <v/>
      </c>
      <c r="R12" s="7">
        <f>IF($V12="","",Q12+N12)</f>
        <v/>
      </c>
      <c r="S12" s="7">
        <f>IF($V12="","",T12-R12)</f>
        <v/>
      </c>
      <c r="T12" s="7">
        <f>IF($V12="","",M12+P12)</f>
        <v/>
      </c>
      <c r="U12" s="7">
        <f>IF($V12="","",T12-R12-K12)</f>
        <v/>
      </c>
      <c r="V12" s="13">
        <f>IF(ROWS($V$2:$V12)&lt;=MAX('Per Line'!$AJ$2:$AJ$1501),MATCH(ROWS($V$2:$V12),'Per Line'!$AJ$2:$AJ$1501,0),"")</f>
        <v/>
      </c>
    </row>
    <row r="13">
      <c r="A13" s="12" t="n"/>
      <c r="B13">
        <f>IF($V13="","",INDEX('Per Line'!$A$2:$A$1501,$V13)&amp;"")</f>
        <v/>
      </c>
      <c r="C13">
        <f>IF($V13="","",INDEX('Per Line'!$C$2:$C$1501,$V13)&amp;"")</f>
        <v/>
      </c>
      <c r="D13" s="11">
        <f>IF($V13="","",INDEX('Per Line'!$S$2:$S$1501,$V13))</f>
        <v/>
      </c>
      <c r="E13">
        <f>IF($V13="","",INDEX('Per Line'!$F$2:$F$1501,$V13)&amp;"")</f>
        <v/>
      </c>
      <c r="F13">
        <f>IF($V13="","",INDEX('Per Line'!$L$2:$L$1501,$V13)&amp;"")</f>
        <v/>
      </c>
      <c r="G13">
        <f>IF($V13="","",INDEX('Per Line'!$O$2:$O$1501,$V13)&amp;"")</f>
        <v/>
      </c>
      <c r="H13">
        <f>IF($V13="","",INDEX('Per Line'!$P$2:$P$1501,$V13)&amp;"")</f>
        <v/>
      </c>
      <c r="I13">
        <f>IF($V13="","",INDEX('Per Line'!$N$2:$N$1501,$V13)&amp;"")</f>
        <v/>
      </c>
      <c r="J13">
        <f>IF($V13="","",INDEX('Per Line'!$Q$2:$Q$1501,$V13))</f>
        <v/>
      </c>
      <c r="K13" s="7">
        <f>IF($V13="","",J13*T13/100)</f>
        <v/>
      </c>
      <c r="L13">
        <f>IF($V13="","",Settings!$C$7)</f>
        <v/>
      </c>
      <c r="M13" s="7">
        <f>IF($V13="","",SUMIFS('Per Line'!$AC$2:$AC$1501,'Per Line'!$C$2:$C$1501,$C13,'Per Line'!$AK$2:$AK$1501,0))</f>
        <v/>
      </c>
      <c r="N13" s="7">
        <f>IF($V13="","",M13*L13)</f>
        <v/>
      </c>
      <c r="O13">
        <f>IF($V13="","",Settings!$C$6)</f>
        <v/>
      </c>
      <c r="P13" s="7">
        <f>IF($V13="","",SUMIFS('Per Line'!$AC$2:$AC$1501,'Per Line'!$C$2:$C$1501,$C13,'Per Line'!$AK$2:$AK$1501,1))</f>
        <v/>
      </c>
      <c r="Q13" s="7">
        <f>IF($V13="","",P13*O13)</f>
        <v/>
      </c>
      <c r="R13" s="7">
        <f>IF($V13="","",Q13+N13)</f>
        <v/>
      </c>
      <c r="S13" s="7">
        <f>IF($V13="","",T13-R13)</f>
        <v/>
      </c>
      <c r="T13" s="7">
        <f>IF($V13="","",M13+P13)</f>
        <v/>
      </c>
      <c r="U13" s="7">
        <f>IF($V13="","",T13-R13-K13)</f>
        <v/>
      </c>
      <c r="V13" s="13">
        <f>IF(ROWS($V$2:$V13)&lt;=MAX('Per Line'!$AJ$2:$AJ$1501),MATCH(ROWS($V$2:$V13),'Per Line'!$AJ$2:$AJ$1501,0),"")</f>
        <v/>
      </c>
    </row>
    <row r="14">
      <c r="A14" s="12" t="n"/>
      <c r="B14">
        <f>IF($V14="","",INDEX('Per Line'!$A$2:$A$1501,$V14)&amp;"")</f>
        <v/>
      </c>
      <c r="C14">
        <f>IF($V14="","",INDEX('Per Line'!$C$2:$C$1501,$V14)&amp;"")</f>
        <v/>
      </c>
      <c r="D14" s="11">
        <f>IF($V14="","",INDEX('Per Line'!$S$2:$S$1501,$V14))</f>
        <v/>
      </c>
      <c r="E14">
        <f>IF($V14="","",INDEX('Per Line'!$F$2:$F$1501,$V14)&amp;"")</f>
        <v/>
      </c>
      <c r="F14">
        <f>IF($V14="","",INDEX('Per Line'!$L$2:$L$1501,$V14)&amp;"")</f>
        <v/>
      </c>
      <c r="G14">
        <f>IF($V14="","",INDEX('Per Line'!$O$2:$O$1501,$V14)&amp;"")</f>
        <v/>
      </c>
      <c r="H14">
        <f>IF($V14="","",INDEX('Per Line'!$P$2:$P$1501,$V14)&amp;"")</f>
        <v/>
      </c>
      <c r="I14">
        <f>IF($V14="","",INDEX('Per Line'!$N$2:$N$1501,$V14)&amp;"")</f>
        <v/>
      </c>
      <c r="J14">
        <f>IF($V14="","",INDEX('Per Line'!$Q$2:$Q$1501,$V14))</f>
        <v/>
      </c>
      <c r="K14" s="7">
        <f>IF($V14="","",J14*T14/100)</f>
        <v/>
      </c>
      <c r="L14">
        <f>IF($V14="","",Settings!$C$7)</f>
        <v/>
      </c>
      <c r="M14" s="7">
        <f>IF($V14="","",SUMIFS('Per Line'!$AC$2:$AC$1501,'Per Line'!$C$2:$C$1501,$C14,'Per Line'!$AK$2:$AK$1501,0))</f>
        <v/>
      </c>
      <c r="N14" s="7">
        <f>IF($V14="","",M14*L14)</f>
        <v/>
      </c>
      <c r="O14">
        <f>IF($V14="","",Settings!$C$6)</f>
        <v/>
      </c>
      <c r="P14" s="7">
        <f>IF($V14="","",SUMIFS('Per Line'!$AC$2:$AC$1501,'Per Line'!$C$2:$C$1501,$C14,'Per Line'!$AK$2:$AK$1501,1))</f>
        <v/>
      </c>
      <c r="Q14" s="7">
        <f>IF($V14="","",P14*O14)</f>
        <v/>
      </c>
      <c r="R14" s="7">
        <f>IF($V14="","",Q14+N14)</f>
        <v/>
      </c>
      <c r="S14" s="7">
        <f>IF($V14="","",T14-R14)</f>
        <v/>
      </c>
      <c r="T14" s="7">
        <f>IF($V14="","",M14+P14)</f>
        <v/>
      </c>
      <c r="U14" s="7">
        <f>IF($V14="","",T14-R14-K14)</f>
        <v/>
      </c>
      <c r="V14" s="13">
        <f>IF(ROWS($V$2:$V14)&lt;=MAX('Per Line'!$AJ$2:$AJ$1501),MATCH(ROWS($V$2:$V14),'Per Line'!$AJ$2:$AJ$1501,0),"")</f>
        <v/>
      </c>
    </row>
    <row r="15">
      <c r="A15" s="12" t="n"/>
      <c r="B15">
        <f>IF($V15="","",INDEX('Per Line'!$A$2:$A$1501,$V15)&amp;"")</f>
        <v/>
      </c>
      <c r="C15">
        <f>IF($V15="","",INDEX('Per Line'!$C$2:$C$1501,$V15)&amp;"")</f>
        <v/>
      </c>
      <c r="D15" s="11">
        <f>IF($V15="","",INDEX('Per Line'!$S$2:$S$1501,$V15))</f>
        <v/>
      </c>
      <c r="E15">
        <f>IF($V15="","",INDEX('Per Line'!$F$2:$F$1501,$V15)&amp;"")</f>
        <v/>
      </c>
      <c r="F15">
        <f>IF($V15="","",INDEX('Per Line'!$L$2:$L$1501,$V15)&amp;"")</f>
        <v/>
      </c>
      <c r="G15">
        <f>IF($V15="","",INDEX('Per Line'!$O$2:$O$1501,$V15)&amp;"")</f>
        <v/>
      </c>
      <c r="H15">
        <f>IF($V15="","",INDEX('Per Line'!$P$2:$P$1501,$V15)&amp;"")</f>
        <v/>
      </c>
      <c r="I15">
        <f>IF($V15="","",INDEX('Per Line'!$N$2:$N$1501,$V15)&amp;"")</f>
        <v/>
      </c>
      <c r="J15">
        <f>IF($V15="","",INDEX('Per Line'!$Q$2:$Q$1501,$V15))</f>
        <v/>
      </c>
      <c r="K15" s="7">
        <f>IF($V15="","",J15*T15/100)</f>
        <v/>
      </c>
      <c r="L15">
        <f>IF($V15="","",Settings!$C$7)</f>
        <v/>
      </c>
      <c r="M15" s="7">
        <f>IF($V15="","",SUMIFS('Per Line'!$AC$2:$AC$1501,'Per Line'!$C$2:$C$1501,$C15,'Per Line'!$AK$2:$AK$1501,0))</f>
        <v/>
      </c>
      <c r="N15" s="7">
        <f>IF($V15="","",M15*L15)</f>
        <v/>
      </c>
      <c r="O15">
        <f>IF($V15="","",Settings!$C$6)</f>
        <v/>
      </c>
      <c r="P15" s="7">
        <f>IF($V15="","",SUMIFS('Per Line'!$AC$2:$AC$1501,'Per Line'!$C$2:$C$1501,$C15,'Per Line'!$AK$2:$AK$1501,1))</f>
        <v/>
      </c>
      <c r="Q15" s="7">
        <f>IF($V15="","",P15*O15)</f>
        <v/>
      </c>
      <c r="R15" s="7">
        <f>IF($V15="","",Q15+N15)</f>
        <v/>
      </c>
      <c r="S15" s="7">
        <f>IF($V15="","",T15-R15)</f>
        <v/>
      </c>
      <c r="T15" s="7">
        <f>IF($V15="","",M15+P15)</f>
        <v/>
      </c>
      <c r="U15" s="7">
        <f>IF($V15="","",T15-R15-K15)</f>
        <v/>
      </c>
      <c r="V15" s="13">
        <f>IF(ROWS($V$2:$V15)&lt;=MAX('Per Line'!$AJ$2:$AJ$1501),MATCH(ROWS($V$2:$V15),'Per Line'!$AJ$2:$AJ$1501,0),"")</f>
        <v/>
      </c>
    </row>
    <row r="16">
      <c r="A16" s="12" t="n"/>
      <c r="B16">
        <f>IF($V16="","",INDEX('Per Line'!$A$2:$A$1501,$V16)&amp;"")</f>
        <v/>
      </c>
      <c r="C16">
        <f>IF($V16="","",INDEX('Per Line'!$C$2:$C$1501,$V16)&amp;"")</f>
        <v/>
      </c>
      <c r="D16" s="11">
        <f>IF($V16="","",INDEX('Per Line'!$S$2:$S$1501,$V16))</f>
        <v/>
      </c>
      <c r="E16">
        <f>IF($V16="","",INDEX('Per Line'!$F$2:$F$1501,$V16)&amp;"")</f>
        <v/>
      </c>
      <c r="F16">
        <f>IF($V16="","",INDEX('Per Line'!$L$2:$L$1501,$V16)&amp;"")</f>
        <v/>
      </c>
      <c r="G16">
        <f>IF($V16="","",INDEX('Per Line'!$O$2:$O$1501,$V16)&amp;"")</f>
        <v/>
      </c>
      <c r="H16">
        <f>IF($V16="","",INDEX('Per Line'!$P$2:$P$1501,$V16)&amp;"")</f>
        <v/>
      </c>
      <c r="I16">
        <f>IF($V16="","",INDEX('Per Line'!$N$2:$N$1501,$V16)&amp;"")</f>
        <v/>
      </c>
      <c r="J16">
        <f>IF($V16="","",INDEX('Per Line'!$Q$2:$Q$1501,$V16))</f>
        <v/>
      </c>
      <c r="K16" s="7">
        <f>IF($V16="","",J16*T16/100)</f>
        <v/>
      </c>
      <c r="L16">
        <f>IF($V16="","",Settings!$C$7)</f>
        <v/>
      </c>
      <c r="M16" s="7">
        <f>IF($V16="","",SUMIFS('Per Line'!$AC$2:$AC$1501,'Per Line'!$C$2:$C$1501,$C16,'Per Line'!$AK$2:$AK$1501,0))</f>
        <v/>
      </c>
      <c r="N16" s="7">
        <f>IF($V16="","",M16*L16)</f>
        <v/>
      </c>
      <c r="O16">
        <f>IF($V16="","",Settings!$C$6)</f>
        <v/>
      </c>
      <c r="P16" s="7">
        <f>IF($V16="","",SUMIFS('Per Line'!$AC$2:$AC$1501,'Per Line'!$C$2:$C$1501,$C16,'Per Line'!$AK$2:$AK$1501,1))</f>
        <v/>
      </c>
      <c r="Q16" s="7">
        <f>IF($V16="","",P16*O16)</f>
        <v/>
      </c>
      <c r="R16" s="7">
        <f>IF($V16="","",Q16+N16)</f>
        <v/>
      </c>
      <c r="S16" s="7">
        <f>IF($V16="","",T16-R16)</f>
        <v/>
      </c>
      <c r="T16" s="7">
        <f>IF($V16="","",M16+P16)</f>
        <v/>
      </c>
      <c r="U16" s="7">
        <f>IF($V16="","",T16-R16-K16)</f>
        <v/>
      </c>
      <c r="V16" s="13">
        <f>IF(ROWS($V$2:$V16)&lt;=MAX('Per Line'!$AJ$2:$AJ$1501),MATCH(ROWS($V$2:$V16),'Per Line'!$AJ$2:$AJ$1501,0),"")</f>
        <v/>
      </c>
    </row>
    <row r="17">
      <c r="A17" s="12" t="n"/>
      <c r="B17">
        <f>IF($V17="","",INDEX('Per Line'!$A$2:$A$1501,$V17)&amp;"")</f>
        <v/>
      </c>
      <c r="C17">
        <f>IF($V17="","",INDEX('Per Line'!$C$2:$C$1501,$V17)&amp;"")</f>
        <v/>
      </c>
      <c r="D17" s="11">
        <f>IF($V17="","",INDEX('Per Line'!$S$2:$S$1501,$V17))</f>
        <v/>
      </c>
      <c r="E17">
        <f>IF($V17="","",INDEX('Per Line'!$F$2:$F$1501,$V17)&amp;"")</f>
        <v/>
      </c>
      <c r="F17">
        <f>IF($V17="","",INDEX('Per Line'!$L$2:$L$1501,$V17)&amp;"")</f>
        <v/>
      </c>
      <c r="G17">
        <f>IF($V17="","",INDEX('Per Line'!$O$2:$O$1501,$V17)&amp;"")</f>
        <v/>
      </c>
      <c r="H17">
        <f>IF($V17="","",INDEX('Per Line'!$P$2:$P$1501,$V17)&amp;"")</f>
        <v/>
      </c>
      <c r="I17">
        <f>IF($V17="","",INDEX('Per Line'!$N$2:$N$1501,$V17)&amp;"")</f>
        <v/>
      </c>
      <c r="J17">
        <f>IF($V17="","",INDEX('Per Line'!$Q$2:$Q$1501,$V17))</f>
        <v/>
      </c>
      <c r="K17" s="7">
        <f>IF($V17="","",J17*T17/100)</f>
        <v/>
      </c>
      <c r="L17">
        <f>IF($V17="","",Settings!$C$7)</f>
        <v/>
      </c>
      <c r="M17" s="7">
        <f>IF($V17="","",SUMIFS('Per Line'!$AC$2:$AC$1501,'Per Line'!$C$2:$C$1501,$C17,'Per Line'!$AK$2:$AK$1501,0))</f>
        <v/>
      </c>
      <c r="N17" s="7">
        <f>IF($V17="","",M17*L17)</f>
        <v/>
      </c>
      <c r="O17">
        <f>IF($V17="","",Settings!$C$6)</f>
        <v/>
      </c>
      <c r="P17" s="7">
        <f>IF($V17="","",SUMIFS('Per Line'!$AC$2:$AC$1501,'Per Line'!$C$2:$C$1501,$C17,'Per Line'!$AK$2:$AK$1501,1))</f>
        <v/>
      </c>
      <c r="Q17" s="7">
        <f>IF($V17="","",P17*O17)</f>
        <v/>
      </c>
      <c r="R17" s="7">
        <f>IF($V17="","",Q17+N17)</f>
        <v/>
      </c>
      <c r="S17" s="7">
        <f>IF($V17="","",T17-R17)</f>
        <v/>
      </c>
      <c r="T17" s="7">
        <f>IF($V17="","",M17+P17)</f>
        <v/>
      </c>
      <c r="U17" s="7">
        <f>IF($V17="","",T17-R17-K17)</f>
        <v/>
      </c>
      <c r="V17" s="13">
        <f>IF(ROWS($V$2:$V17)&lt;=MAX('Per Line'!$AJ$2:$AJ$1501),MATCH(ROWS($V$2:$V17),'Per Line'!$AJ$2:$AJ$1501,0),"")</f>
        <v/>
      </c>
    </row>
    <row r="18">
      <c r="A18" s="12" t="n"/>
      <c r="B18">
        <f>IF($V18="","",INDEX('Per Line'!$A$2:$A$1501,$V18)&amp;"")</f>
        <v/>
      </c>
      <c r="C18">
        <f>IF($V18="","",INDEX('Per Line'!$C$2:$C$1501,$V18)&amp;"")</f>
        <v/>
      </c>
      <c r="D18" s="11">
        <f>IF($V18="","",INDEX('Per Line'!$S$2:$S$1501,$V18))</f>
        <v/>
      </c>
      <c r="E18">
        <f>IF($V18="","",INDEX('Per Line'!$F$2:$F$1501,$V18)&amp;"")</f>
        <v/>
      </c>
      <c r="F18">
        <f>IF($V18="","",INDEX('Per Line'!$L$2:$L$1501,$V18)&amp;"")</f>
        <v/>
      </c>
      <c r="G18">
        <f>IF($V18="","",INDEX('Per Line'!$O$2:$O$1501,$V18)&amp;"")</f>
        <v/>
      </c>
      <c r="H18">
        <f>IF($V18="","",INDEX('Per Line'!$P$2:$P$1501,$V18)&amp;"")</f>
        <v/>
      </c>
      <c r="I18">
        <f>IF($V18="","",INDEX('Per Line'!$N$2:$N$1501,$V18)&amp;"")</f>
        <v/>
      </c>
      <c r="J18">
        <f>IF($V18="","",INDEX('Per Line'!$Q$2:$Q$1501,$V18))</f>
        <v/>
      </c>
      <c r="K18" s="7">
        <f>IF($V18="","",J18*T18/100)</f>
        <v/>
      </c>
      <c r="L18">
        <f>IF($V18="","",Settings!$C$7)</f>
        <v/>
      </c>
      <c r="M18" s="7">
        <f>IF($V18="","",SUMIFS('Per Line'!$AC$2:$AC$1501,'Per Line'!$C$2:$C$1501,$C18,'Per Line'!$AK$2:$AK$1501,0))</f>
        <v/>
      </c>
      <c r="N18" s="7">
        <f>IF($V18="","",M18*L18)</f>
        <v/>
      </c>
      <c r="O18">
        <f>IF($V18="","",Settings!$C$6)</f>
        <v/>
      </c>
      <c r="P18" s="7">
        <f>IF($V18="","",SUMIFS('Per Line'!$AC$2:$AC$1501,'Per Line'!$C$2:$C$1501,$C18,'Per Line'!$AK$2:$AK$1501,1))</f>
        <v/>
      </c>
      <c r="Q18" s="7">
        <f>IF($V18="","",P18*O18)</f>
        <v/>
      </c>
      <c r="R18" s="7">
        <f>IF($V18="","",Q18+N18)</f>
        <v/>
      </c>
      <c r="S18" s="7">
        <f>IF($V18="","",T18-R18)</f>
        <v/>
      </c>
      <c r="T18" s="7">
        <f>IF($V18="","",M18+P18)</f>
        <v/>
      </c>
      <c r="U18" s="7">
        <f>IF($V18="","",T18-R18-K18)</f>
        <v/>
      </c>
      <c r="V18" s="13">
        <f>IF(ROWS($V$2:$V18)&lt;=MAX('Per Line'!$AJ$2:$AJ$1501),MATCH(ROWS($V$2:$V18),'Per Line'!$AJ$2:$AJ$1501,0),"")</f>
        <v/>
      </c>
    </row>
    <row r="19">
      <c r="A19" s="12" t="n"/>
      <c r="B19">
        <f>IF($V19="","",INDEX('Per Line'!$A$2:$A$1501,$V19)&amp;"")</f>
        <v/>
      </c>
      <c r="C19">
        <f>IF($V19="","",INDEX('Per Line'!$C$2:$C$1501,$V19)&amp;"")</f>
        <v/>
      </c>
      <c r="D19" s="11">
        <f>IF($V19="","",INDEX('Per Line'!$S$2:$S$1501,$V19))</f>
        <v/>
      </c>
      <c r="E19">
        <f>IF($V19="","",INDEX('Per Line'!$F$2:$F$1501,$V19)&amp;"")</f>
        <v/>
      </c>
      <c r="F19">
        <f>IF($V19="","",INDEX('Per Line'!$L$2:$L$1501,$V19)&amp;"")</f>
        <v/>
      </c>
      <c r="G19">
        <f>IF($V19="","",INDEX('Per Line'!$O$2:$O$1501,$V19)&amp;"")</f>
        <v/>
      </c>
      <c r="H19">
        <f>IF($V19="","",INDEX('Per Line'!$P$2:$P$1501,$V19)&amp;"")</f>
        <v/>
      </c>
      <c r="I19">
        <f>IF($V19="","",INDEX('Per Line'!$N$2:$N$1501,$V19)&amp;"")</f>
        <v/>
      </c>
      <c r="J19">
        <f>IF($V19="","",INDEX('Per Line'!$Q$2:$Q$1501,$V19))</f>
        <v/>
      </c>
      <c r="K19" s="7">
        <f>IF($V19="","",J19*T19/100)</f>
        <v/>
      </c>
      <c r="L19">
        <f>IF($V19="","",Settings!$C$7)</f>
        <v/>
      </c>
      <c r="M19" s="7">
        <f>IF($V19="","",SUMIFS('Per Line'!$AC$2:$AC$1501,'Per Line'!$C$2:$C$1501,$C19,'Per Line'!$AK$2:$AK$1501,0))</f>
        <v/>
      </c>
      <c r="N19" s="7">
        <f>IF($V19="","",M19*L19)</f>
        <v/>
      </c>
      <c r="O19">
        <f>IF($V19="","",Settings!$C$6)</f>
        <v/>
      </c>
      <c r="P19" s="7">
        <f>IF($V19="","",SUMIFS('Per Line'!$AC$2:$AC$1501,'Per Line'!$C$2:$C$1501,$C19,'Per Line'!$AK$2:$AK$1501,1))</f>
        <v/>
      </c>
      <c r="Q19" s="7">
        <f>IF($V19="","",P19*O19)</f>
        <v/>
      </c>
      <c r="R19" s="7">
        <f>IF($V19="","",Q19+N19)</f>
        <v/>
      </c>
      <c r="S19" s="7">
        <f>IF($V19="","",T19-R19)</f>
        <v/>
      </c>
      <c r="T19" s="7">
        <f>IF($V19="","",M19+P19)</f>
        <v/>
      </c>
      <c r="U19" s="7">
        <f>IF($V19="","",T19-R19-K19)</f>
        <v/>
      </c>
      <c r="V19" s="13">
        <f>IF(ROWS($V$2:$V19)&lt;=MAX('Per Line'!$AJ$2:$AJ$1501),MATCH(ROWS($V$2:$V19),'Per Line'!$AJ$2:$AJ$1501,0),"")</f>
        <v/>
      </c>
    </row>
    <row r="20">
      <c r="A20" s="12" t="n"/>
      <c r="B20">
        <f>IF($V20="","",INDEX('Per Line'!$A$2:$A$1501,$V20)&amp;"")</f>
        <v/>
      </c>
      <c r="C20">
        <f>IF($V20="","",INDEX('Per Line'!$C$2:$C$1501,$V20)&amp;"")</f>
        <v/>
      </c>
      <c r="D20" s="11">
        <f>IF($V20="","",INDEX('Per Line'!$S$2:$S$1501,$V20))</f>
        <v/>
      </c>
      <c r="E20">
        <f>IF($V20="","",INDEX('Per Line'!$F$2:$F$1501,$V20)&amp;"")</f>
        <v/>
      </c>
      <c r="F20">
        <f>IF($V20="","",INDEX('Per Line'!$L$2:$L$1501,$V20)&amp;"")</f>
        <v/>
      </c>
      <c r="G20">
        <f>IF($V20="","",INDEX('Per Line'!$O$2:$O$1501,$V20)&amp;"")</f>
        <v/>
      </c>
      <c r="H20">
        <f>IF($V20="","",INDEX('Per Line'!$P$2:$P$1501,$V20)&amp;"")</f>
        <v/>
      </c>
      <c r="I20">
        <f>IF($V20="","",INDEX('Per Line'!$N$2:$N$1501,$V20)&amp;"")</f>
        <v/>
      </c>
      <c r="J20">
        <f>IF($V20="","",INDEX('Per Line'!$Q$2:$Q$1501,$V20))</f>
        <v/>
      </c>
      <c r="K20" s="7">
        <f>IF($V20="","",J20*T20/100)</f>
        <v/>
      </c>
      <c r="L20">
        <f>IF($V20="","",Settings!$C$7)</f>
        <v/>
      </c>
      <c r="M20" s="7">
        <f>IF($V20="","",SUMIFS('Per Line'!$AC$2:$AC$1501,'Per Line'!$C$2:$C$1501,$C20,'Per Line'!$AK$2:$AK$1501,0))</f>
        <v/>
      </c>
      <c r="N20" s="7">
        <f>IF($V20="","",M20*L20)</f>
        <v/>
      </c>
      <c r="O20">
        <f>IF($V20="","",Settings!$C$6)</f>
        <v/>
      </c>
      <c r="P20" s="7">
        <f>IF($V20="","",SUMIFS('Per Line'!$AC$2:$AC$1501,'Per Line'!$C$2:$C$1501,$C20,'Per Line'!$AK$2:$AK$1501,1))</f>
        <v/>
      </c>
      <c r="Q20" s="7">
        <f>IF($V20="","",P20*O20)</f>
        <v/>
      </c>
      <c r="R20" s="7">
        <f>IF($V20="","",Q20+N20)</f>
        <v/>
      </c>
      <c r="S20" s="7">
        <f>IF($V20="","",T20-R20)</f>
        <v/>
      </c>
      <c r="T20" s="7">
        <f>IF($V20="","",M20+P20)</f>
        <v/>
      </c>
      <c r="U20" s="7">
        <f>IF($V20="","",T20-R20-K20)</f>
        <v/>
      </c>
      <c r="V20" s="13">
        <f>IF(ROWS($V$2:$V20)&lt;=MAX('Per Line'!$AJ$2:$AJ$1501),MATCH(ROWS($V$2:$V20),'Per Line'!$AJ$2:$AJ$1501,0),"")</f>
        <v/>
      </c>
    </row>
    <row r="21">
      <c r="A21" s="12" t="n"/>
      <c r="B21">
        <f>IF($V21="","",INDEX('Per Line'!$A$2:$A$1501,$V21)&amp;"")</f>
        <v/>
      </c>
      <c r="C21">
        <f>IF($V21="","",INDEX('Per Line'!$C$2:$C$1501,$V21)&amp;"")</f>
        <v/>
      </c>
      <c r="D21" s="11">
        <f>IF($V21="","",INDEX('Per Line'!$S$2:$S$1501,$V21))</f>
        <v/>
      </c>
      <c r="E21">
        <f>IF($V21="","",INDEX('Per Line'!$F$2:$F$1501,$V21)&amp;"")</f>
        <v/>
      </c>
      <c r="F21">
        <f>IF($V21="","",INDEX('Per Line'!$L$2:$L$1501,$V21)&amp;"")</f>
        <v/>
      </c>
      <c r="G21">
        <f>IF($V21="","",INDEX('Per Line'!$O$2:$O$1501,$V21)&amp;"")</f>
        <v/>
      </c>
      <c r="H21">
        <f>IF($V21="","",INDEX('Per Line'!$P$2:$P$1501,$V21)&amp;"")</f>
        <v/>
      </c>
      <c r="I21">
        <f>IF($V21="","",INDEX('Per Line'!$N$2:$N$1501,$V21)&amp;"")</f>
        <v/>
      </c>
      <c r="J21">
        <f>IF($V21="","",INDEX('Per Line'!$Q$2:$Q$1501,$V21))</f>
        <v/>
      </c>
      <c r="K21" s="7">
        <f>IF($V21="","",J21*T21/100)</f>
        <v/>
      </c>
      <c r="L21">
        <f>IF($V21="","",Settings!$C$7)</f>
        <v/>
      </c>
      <c r="M21" s="7">
        <f>IF($V21="","",SUMIFS('Per Line'!$AC$2:$AC$1501,'Per Line'!$C$2:$C$1501,$C21,'Per Line'!$AK$2:$AK$1501,0))</f>
        <v/>
      </c>
      <c r="N21" s="7">
        <f>IF($V21="","",M21*L21)</f>
        <v/>
      </c>
      <c r="O21">
        <f>IF($V21="","",Settings!$C$6)</f>
        <v/>
      </c>
      <c r="P21" s="7">
        <f>IF($V21="","",SUMIFS('Per Line'!$AC$2:$AC$1501,'Per Line'!$C$2:$C$1501,$C21,'Per Line'!$AK$2:$AK$1501,1))</f>
        <v/>
      </c>
      <c r="Q21" s="7">
        <f>IF($V21="","",P21*O21)</f>
        <v/>
      </c>
      <c r="R21" s="7">
        <f>IF($V21="","",Q21+N21)</f>
        <v/>
      </c>
      <c r="S21" s="7">
        <f>IF($V21="","",T21-R21)</f>
        <v/>
      </c>
      <c r="T21" s="7">
        <f>IF($V21="","",M21+P21)</f>
        <v/>
      </c>
      <c r="U21" s="7">
        <f>IF($V21="","",T21-R21-K21)</f>
        <v/>
      </c>
      <c r="V21" s="13">
        <f>IF(ROWS($V$2:$V21)&lt;=MAX('Per Line'!$AJ$2:$AJ$1501),MATCH(ROWS($V$2:$V21),'Per Line'!$AJ$2:$AJ$1501,0),"")</f>
        <v/>
      </c>
    </row>
    <row r="22">
      <c r="A22" s="12" t="n"/>
      <c r="B22">
        <f>IF($V22="","",INDEX('Per Line'!$A$2:$A$1501,$V22)&amp;"")</f>
        <v/>
      </c>
      <c r="C22">
        <f>IF($V22="","",INDEX('Per Line'!$C$2:$C$1501,$V22)&amp;"")</f>
        <v/>
      </c>
      <c r="D22" s="11">
        <f>IF($V22="","",INDEX('Per Line'!$S$2:$S$1501,$V22))</f>
        <v/>
      </c>
      <c r="E22">
        <f>IF($V22="","",INDEX('Per Line'!$F$2:$F$1501,$V22)&amp;"")</f>
        <v/>
      </c>
      <c r="F22">
        <f>IF($V22="","",INDEX('Per Line'!$L$2:$L$1501,$V22)&amp;"")</f>
        <v/>
      </c>
      <c r="G22">
        <f>IF($V22="","",INDEX('Per Line'!$O$2:$O$1501,$V22)&amp;"")</f>
        <v/>
      </c>
      <c r="H22">
        <f>IF($V22="","",INDEX('Per Line'!$P$2:$P$1501,$V22)&amp;"")</f>
        <v/>
      </c>
      <c r="I22">
        <f>IF($V22="","",INDEX('Per Line'!$N$2:$N$1501,$V22)&amp;"")</f>
        <v/>
      </c>
      <c r="J22">
        <f>IF($V22="","",INDEX('Per Line'!$Q$2:$Q$1501,$V22))</f>
        <v/>
      </c>
      <c r="K22" s="7">
        <f>IF($V22="","",J22*T22/100)</f>
        <v/>
      </c>
      <c r="L22">
        <f>IF($V22="","",Settings!$C$7)</f>
        <v/>
      </c>
      <c r="M22" s="7">
        <f>IF($V22="","",SUMIFS('Per Line'!$AC$2:$AC$1501,'Per Line'!$C$2:$C$1501,$C22,'Per Line'!$AK$2:$AK$1501,0))</f>
        <v/>
      </c>
      <c r="N22" s="7">
        <f>IF($V22="","",M22*L22)</f>
        <v/>
      </c>
      <c r="O22">
        <f>IF($V22="","",Settings!$C$6)</f>
        <v/>
      </c>
      <c r="P22" s="7">
        <f>IF($V22="","",SUMIFS('Per Line'!$AC$2:$AC$1501,'Per Line'!$C$2:$C$1501,$C22,'Per Line'!$AK$2:$AK$1501,1))</f>
        <v/>
      </c>
      <c r="Q22" s="7">
        <f>IF($V22="","",P22*O22)</f>
        <v/>
      </c>
      <c r="R22" s="7">
        <f>IF($V22="","",Q22+N22)</f>
        <v/>
      </c>
      <c r="S22" s="7">
        <f>IF($V22="","",T22-R22)</f>
        <v/>
      </c>
      <c r="T22" s="7">
        <f>IF($V22="","",M22+P22)</f>
        <v/>
      </c>
      <c r="U22" s="7">
        <f>IF($V22="","",T22-R22-K22)</f>
        <v/>
      </c>
      <c r="V22" s="13">
        <f>IF(ROWS($V$2:$V22)&lt;=MAX('Per Line'!$AJ$2:$AJ$1501),MATCH(ROWS($V$2:$V22),'Per Line'!$AJ$2:$AJ$1501,0),"")</f>
        <v/>
      </c>
    </row>
    <row r="23">
      <c r="A23" s="12" t="n"/>
      <c r="B23">
        <f>IF($V23="","",INDEX('Per Line'!$A$2:$A$1501,$V23)&amp;"")</f>
        <v/>
      </c>
      <c r="C23">
        <f>IF($V23="","",INDEX('Per Line'!$C$2:$C$1501,$V23)&amp;"")</f>
        <v/>
      </c>
      <c r="D23" s="11">
        <f>IF($V23="","",INDEX('Per Line'!$S$2:$S$1501,$V23))</f>
        <v/>
      </c>
      <c r="E23">
        <f>IF($V23="","",INDEX('Per Line'!$F$2:$F$1501,$V23)&amp;"")</f>
        <v/>
      </c>
      <c r="F23">
        <f>IF($V23="","",INDEX('Per Line'!$L$2:$L$1501,$V23)&amp;"")</f>
        <v/>
      </c>
      <c r="G23">
        <f>IF($V23="","",INDEX('Per Line'!$O$2:$O$1501,$V23)&amp;"")</f>
        <v/>
      </c>
      <c r="H23">
        <f>IF($V23="","",INDEX('Per Line'!$P$2:$P$1501,$V23)&amp;"")</f>
        <v/>
      </c>
      <c r="I23">
        <f>IF($V23="","",INDEX('Per Line'!$N$2:$N$1501,$V23)&amp;"")</f>
        <v/>
      </c>
      <c r="J23">
        <f>IF($V23="","",INDEX('Per Line'!$Q$2:$Q$1501,$V23))</f>
        <v/>
      </c>
      <c r="K23" s="7">
        <f>IF($V23="","",J23*T23/100)</f>
        <v/>
      </c>
      <c r="L23">
        <f>IF($V23="","",Settings!$C$7)</f>
        <v/>
      </c>
      <c r="M23" s="7">
        <f>IF($V23="","",SUMIFS('Per Line'!$AC$2:$AC$1501,'Per Line'!$C$2:$C$1501,$C23,'Per Line'!$AK$2:$AK$1501,0))</f>
        <v/>
      </c>
      <c r="N23" s="7">
        <f>IF($V23="","",M23*L23)</f>
        <v/>
      </c>
      <c r="O23">
        <f>IF($V23="","",Settings!$C$6)</f>
        <v/>
      </c>
      <c r="P23" s="7">
        <f>IF($V23="","",SUMIFS('Per Line'!$AC$2:$AC$1501,'Per Line'!$C$2:$C$1501,$C23,'Per Line'!$AK$2:$AK$1501,1))</f>
        <v/>
      </c>
      <c r="Q23" s="7">
        <f>IF($V23="","",P23*O23)</f>
        <v/>
      </c>
      <c r="R23" s="7">
        <f>IF($V23="","",Q23+N23)</f>
        <v/>
      </c>
      <c r="S23" s="7">
        <f>IF($V23="","",T23-R23)</f>
        <v/>
      </c>
      <c r="T23" s="7">
        <f>IF($V23="","",M23+P23)</f>
        <v/>
      </c>
      <c r="U23" s="7">
        <f>IF($V23="","",T23-R23-K23)</f>
        <v/>
      </c>
      <c r="V23" s="13">
        <f>IF(ROWS($V$2:$V23)&lt;=MAX('Per Line'!$AJ$2:$AJ$1501),MATCH(ROWS($V$2:$V23),'Per Line'!$AJ$2:$AJ$1501,0),"")</f>
        <v/>
      </c>
    </row>
    <row r="24">
      <c r="A24" s="12" t="n"/>
      <c r="B24">
        <f>IF($V24="","",INDEX('Per Line'!$A$2:$A$1501,$V24)&amp;"")</f>
        <v/>
      </c>
      <c r="C24">
        <f>IF($V24="","",INDEX('Per Line'!$C$2:$C$1501,$V24)&amp;"")</f>
        <v/>
      </c>
      <c r="D24" s="11">
        <f>IF($V24="","",INDEX('Per Line'!$S$2:$S$1501,$V24))</f>
        <v/>
      </c>
      <c r="E24">
        <f>IF($V24="","",INDEX('Per Line'!$F$2:$F$1501,$V24)&amp;"")</f>
        <v/>
      </c>
      <c r="F24">
        <f>IF($V24="","",INDEX('Per Line'!$L$2:$L$1501,$V24)&amp;"")</f>
        <v/>
      </c>
      <c r="G24">
        <f>IF($V24="","",INDEX('Per Line'!$O$2:$O$1501,$V24)&amp;"")</f>
        <v/>
      </c>
      <c r="H24">
        <f>IF($V24="","",INDEX('Per Line'!$P$2:$P$1501,$V24)&amp;"")</f>
        <v/>
      </c>
      <c r="I24">
        <f>IF($V24="","",INDEX('Per Line'!$N$2:$N$1501,$V24)&amp;"")</f>
        <v/>
      </c>
      <c r="J24">
        <f>IF($V24="","",INDEX('Per Line'!$Q$2:$Q$1501,$V24))</f>
        <v/>
      </c>
      <c r="K24" s="7">
        <f>IF($V24="","",J24*T24/100)</f>
        <v/>
      </c>
      <c r="L24">
        <f>IF($V24="","",Settings!$C$7)</f>
        <v/>
      </c>
      <c r="M24" s="7">
        <f>IF($V24="","",SUMIFS('Per Line'!$AC$2:$AC$1501,'Per Line'!$C$2:$C$1501,$C24,'Per Line'!$AK$2:$AK$1501,0))</f>
        <v/>
      </c>
      <c r="N24" s="7">
        <f>IF($V24="","",M24*L24)</f>
        <v/>
      </c>
      <c r="O24">
        <f>IF($V24="","",Settings!$C$6)</f>
        <v/>
      </c>
      <c r="P24" s="7">
        <f>IF($V24="","",SUMIFS('Per Line'!$AC$2:$AC$1501,'Per Line'!$C$2:$C$1501,$C24,'Per Line'!$AK$2:$AK$1501,1))</f>
        <v/>
      </c>
      <c r="Q24" s="7">
        <f>IF($V24="","",P24*O24)</f>
        <v/>
      </c>
      <c r="R24" s="7">
        <f>IF($V24="","",Q24+N24)</f>
        <v/>
      </c>
      <c r="S24" s="7">
        <f>IF($V24="","",T24-R24)</f>
        <v/>
      </c>
      <c r="T24" s="7">
        <f>IF($V24="","",M24+P24)</f>
        <v/>
      </c>
      <c r="U24" s="7">
        <f>IF($V24="","",T24-R24-K24)</f>
        <v/>
      </c>
      <c r="V24" s="13">
        <f>IF(ROWS($V$2:$V24)&lt;=MAX('Per Line'!$AJ$2:$AJ$1501),MATCH(ROWS($V$2:$V24),'Per Line'!$AJ$2:$AJ$1501,0),"")</f>
        <v/>
      </c>
    </row>
    <row r="25">
      <c r="A25" s="12" t="n"/>
      <c r="B25">
        <f>IF($V25="","",INDEX('Per Line'!$A$2:$A$1501,$V25)&amp;"")</f>
        <v/>
      </c>
      <c r="C25">
        <f>IF($V25="","",INDEX('Per Line'!$C$2:$C$1501,$V25)&amp;"")</f>
        <v/>
      </c>
      <c r="D25" s="11">
        <f>IF($V25="","",INDEX('Per Line'!$S$2:$S$1501,$V25))</f>
        <v/>
      </c>
      <c r="E25">
        <f>IF($V25="","",INDEX('Per Line'!$F$2:$F$1501,$V25)&amp;"")</f>
        <v/>
      </c>
      <c r="F25">
        <f>IF($V25="","",INDEX('Per Line'!$L$2:$L$1501,$V25)&amp;"")</f>
        <v/>
      </c>
      <c r="G25">
        <f>IF($V25="","",INDEX('Per Line'!$O$2:$O$1501,$V25)&amp;"")</f>
        <v/>
      </c>
      <c r="H25">
        <f>IF($V25="","",INDEX('Per Line'!$P$2:$P$1501,$V25)&amp;"")</f>
        <v/>
      </c>
      <c r="I25">
        <f>IF($V25="","",INDEX('Per Line'!$N$2:$N$1501,$V25)&amp;"")</f>
        <v/>
      </c>
      <c r="J25">
        <f>IF($V25="","",INDEX('Per Line'!$Q$2:$Q$1501,$V25))</f>
        <v/>
      </c>
      <c r="K25" s="7">
        <f>IF($V25="","",J25*T25/100)</f>
        <v/>
      </c>
      <c r="L25">
        <f>IF($V25="","",Settings!$C$7)</f>
        <v/>
      </c>
      <c r="M25" s="7">
        <f>IF($V25="","",SUMIFS('Per Line'!$AC$2:$AC$1501,'Per Line'!$C$2:$C$1501,$C25,'Per Line'!$AK$2:$AK$1501,0))</f>
        <v/>
      </c>
      <c r="N25" s="7">
        <f>IF($V25="","",M25*L25)</f>
        <v/>
      </c>
      <c r="O25">
        <f>IF($V25="","",Settings!$C$6)</f>
        <v/>
      </c>
      <c r="P25" s="7">
        <f>IF($V25="","",SUMIFS('Per Line'!$AC$2:$AC$1501,'Per Line'!$C$2:$C$1501,$C25,'Per Line'!$AK$2:$AK$1501,1))</f>
        <v/>
      </c>
      <c r="Q25" s="7">
        <f>IF($V25="","",P25*O25)</f>
        <v/>
      </c>
      <c r="R25" s="7">
        <f>IF($V25="","",Q25+N25)</f>
        <v/>
      </c>
      <c r="S25" s="7">
        <f>IF($V25="","",T25-R25)</f>
        <v/>
      </c>
      <c r="T25" s="7">
        <f>IF($V25="","",M25+P25)</f>
        <v/>
      </c>
      <c r="U25" s="7">
        <f>IF($V25="","",T25-R25-K25)</f>
        <v/>
      </c>
      <c r="V25" s="13">
        <f>IF(ROWS($V$2:$V25)&lt;=MAX('Per Line'!$AJ$2:$AJ$1501),MATCH(ROWS($V$2:$V25),'Per Line'!$AJ$2:$AJ$1501,0),"")</f>
        <v/>
      </c>
    </row>
    <row r="26">
      <c r="A26" s="12" t="n"/>
      <c r="B26">
        <f>IF($V26="","",INDEX('Per Line'!$A$2:$A$1501,$V26)&amp;"")</f>
        <v/>
      </c>
      <c r="C26">
        <f>IF($V26="","",INDEX('Per Line'!$C$2:$C$1501,$V26)&amp;"")</f>
        <v/>
      </c>
      <c r="D26" s="11">
        <f>IF($V26="","",INDEX('Per Line'!$S$2:$S$1501,$V26))</f>
        <v/>
      </c>
      <c r="E26">
        <f>IF($V26="","",INDEX('Per Line'!$F$2:$F$1501,$V26)&amp;"")</f>
        <v/>
      </c>
      <c r="F26">
        <f>IF($V26="","",INDEX('Per Line'!$L$2:$L$1501,$V26)&amp;"")</f>
        <v/>
      </c>
      <c r="G26">
        <f>IF($V26="","",INDEX('Per Line'!$O$2:$O$1501,$V26)&amp;"")</f>
        <v/>
      </c>
      <c r="H26">
        <f>IF($V26="","",INDEX('Per Line'!$P$2:$P$1501,$V26)&amp;"")</f>
        <v/>
      </c>
      <c r="I26">
        <f>IF($V26="","",INDEX('Per Line'!$N$2:$N$1501,$V26)&amp;"")</f>
        <v/>
      </c>
      <c r="J26">
        <f>IF($V26="","",INDEX('Per Line'!$Q$2:$Q$1501,$V26))</f>
        <v/>
      </c>
      <c r="K26" s="7">
        <f>IF($V26="","",J26*T26/100)</f>
        <v/>
      </c>
      <c r="L26">
        <f>IF($V26="","",Settings!$C$7)</f>
        <v/>
      </c>
      <c r="M26" s="7">
        <f>IF($V26="","",SUMIFS('Per Line'!$AC$2:$AC$1501,'Per Line'!$C$2:$C$1501,$C26,'Per Line'!$AK$2:$AK$1501,0))</f>
        <v/>
      </c>
      <c r="N26" s="7">
        <f>IF($V26="","",M26*L26)</f>
        <v/>
      </c>
      <c r="O26">
        <f>IF($V26="","",Settings!$C$6)</f>
        <v/>
      </c>
      <c r="P26" s="7">
        <f>IF($V26="","",SUMIFS('Per Line'!$AC$2:$AC$1501,'Per Line'!$C$2:$C$1501,$C26,'Per Line'!$AK$2:$AK$1501,1))</f>
        <v/>
      </c>
      <c r="Q26" s="7">
        <f>IF($V26="","",P26*O26)</f>
        <v/>
      </c>
      <c r="R26" s="7">
        <f>IF($V26="","",Q26+N26)</f>
        <v/>
      </c>
      <c r="S26" s="7">
        <f>IF($V26="","",T26-R26)</f>
        <v/>
      </c>
      <c r="T26" s="7">
        <f>IF($V26="","",M26+P26)</f>
        <v/>
      </c>
      <c r="U26" s="7">
        <f>IF($V26="","",T26-R26-K26)</f>
        <v/>
      </c>
      <c r="V26" s="13">
        <f>IF(ROWS($V$2:$V26)&lt;=MAX('Per Line'!$AJ$2:$AJ$1501),MATCH(ROWS($V$2:$V26),'Per Line'!$AJ$2:$AJ$1501,0),"")</f>
        <v/>
      </c>
    </row>
    <row r="27">
      <c r="A27" s="12" t="n"/>
      <c r="B27">
        <f>IF($V27="","",INDEX('Per Line'!$A$2:$A$1501,$V27)&amp;"")</f>
        <v/>
      </c>
      <c r="C27">
        <f>IF($V27="","",INDEX('Per Line'!$C$2:$C$1501,$V27)&amp;"")</f>
        <v/>
      </c>
      <c r="D27" s="11">
        <f>IF($V27="","",INDEX('Per Line'!$S$2:$S$1501,$V27))</f>
        <v/>
      </c>
      <c r="E27">
        <f>IF($V27="","",INDEX('Per Line'!$F$2:$F$1501,$V27)&amp;"")</f>
        <v/>
      </c>
      <c r="F27">
        <f>IF($V27="","",INDEX('Per Line'!$L$2:$L$1501,$V27)&amp;"")</f>
        <v/>
      </c>
      <c r="G27">
        <f>IF($V27="","",INDEX('Per Line'!$O$2:$O$1501,$V27)&amp;"")</f>
        <v/>
      </c>
      <c r="H27">
        <f>IF($V27="","",INDEX('Per Line'!$P$2:$P$1501,$V27)&amp;"")</f>
        <v/>
      </c>
      <c r="I27">
        <f>IF($V27="","",INDEX('Per Line'!$N$2:$N$1501,$V27)&amp;"")</f>
        <v/>
      </c>
      <c r="J27">
        <f>IF($V27="","",INDEX('Per Line'!$Q$2:$Q$1501,$V27))</f>
        <v/>
      </c>
      <c r="K27" s="7">
        <f>IF($V27="","",J27*T27/100)</f>
        <v/>
      </c>
      <c r="L27">
        <f>IF($V27="","",Settings!$C$7)</f>
        <v/>
      </c>
      <c r="M27" s="7">
        <f>IF($V27="","",SUMIFS('Per Line'!$AC$2:$AC$1501,'Per Line'!$C$2:$C$1501,$C27,'Per Line'!$AK$2:$AK$1501,0))</f>
        <v/>
      </c>
      <c r="N27" s="7">
        <f>IF($V27="","",M27*L27)</f>
        <v/>
      </c>
      <c r="O27">
        <f>IF($V27="","",Settings!$C$6)</f>
        <v/>
      </c>
      <c r="P27" s="7">
        <f>IF($V27="","",SUMIFS('Per Line'!$AC$2:$AC$1501,'Per Line'!$C$2:$C$1501,$C27,'Per Line'!$AK$2:$AK$1501,1))</f>
        <v/>
      </c>
      <c r="Q27" s="7">
        <f>IF($V27="","",P27*O27)</f>
        <v/>
      </c>
      <c r="R27" s="7">
        <f>IF($V27="","",Q27+N27)</f>
        <v/>
      </c>
      <c r="S27" s="7">
        <f>IF($V27="","",T27-R27)</f>
        <v/>
      </c>
      <c r="T27" s="7">
        <f>IF($V27="","",M27+P27)</f>
        <v/>
      </c>
      <c r="U27" s="7">
        <f>IF($V27="","",T27-R27-K27)</f>
        <v/>
      </c>
      <c r="V27" s="13">
        <f>IF(ROWS($V$2:$V27)&lt;=MAX('Per Line'!$AJ$2:$AJ$1501),MATCH(ROWS($V$2:$V27),'Per Line'!$AJ$2:$AJ$1501,0),"")</f>
        <v/>
      </c>
    </row>
    <row r="28">
      <c r="A28" s="12" t="n"/>
      <c r="B28">
        <f>IF($V28="","",INDEX('Per Line'!$A$2:$A$1501,$V28)&amp;"")</f>
        <v/>
      </c>
      <c r="C28">
        <f>IF($V28="","",INDEX('Per Line'!$C$2:$C$1501,$V28)&amp;"")</f>
        <v/>
      </c>
      <c r="D28" s="11">
        <f>IF($V28="","",INDEX('Per Line'!$S$2:$S$1501,$V28))</f>
        <v/>
      </c>
      <c r="E28">
        <f>IF($V28="","",INDEX('Per Line'!$F$2:$F$1501,$V28)&amp;"")</f>
        <v/>
      </c>
      <c r="F28">
        <f>IF($V28="","",INDEX('Per Line'!$L$2:$L$1501,$V28)&amp;"")</f>
        <v/>
      </c>
      <c r="G28">
        <f>IF($V28="","",INDEX('Per Line'!$O$2:$O$1501,$V28)&amp;"")</f>
        <v/>
      </c>
      <c r="H28">
        <f>IF($V28="","",INDEX('Per Line'!$P$2:$P$1501,$V28)&amp;"")</f>
        <v/>
      </c>
      <c r="I28">
        <f>IF($V28="","",INDEX('Per Line'!$N$2:$N$1501,$V28)&amp;"")</f>
        <v/>
      </c>
      <c r="J28">
        <f>IF($V28="","",INDEX('Per Line'!$Q$2:$Q$1501,$V28))</f>
        <v/>
      </c>
      <c r="K28" s="7">
        <f>IF($V28="","",J28*T28/100)</f>
        <v/>
      </c>
      <c r="L28">
        <f>IF($V28="","",Settings!$C$7)</f>
        <v/>
      </c>
      <c r="M28" s="7">
        <f>IF($V28="","",SUMIFS('Per Line'!$AC$2:$AC$1501,'Per Line'!$C$2:$C$1501,$C28,'Per Line'!$AK$2:$AK$1501,0))</f>
        <v/>
      </c>
      <c r="N28" s="7">
        <f>IF($V28="","",M28*L28)</f>
        <v/>
      </c>
      <c r="O28">
        <f>IF($V28="","",Settings!$C$6)</f>
        <v/>
      </c>
      <c r="P28" s="7">
        <f>IF($V28="","",SUMIFS('Per Line'!$AC$2:$AC$1501,'Per Line'!$C$2:$C$1501,$C28,'Per Line'!$AK$2:$AK$1501,1))</f>
        <v/>
      </c>
      <c r="Q28" s="7">
        <f>IF($V28="","",P28*O28)</f>
        <v/>
      </c>
      <c r="R28" s="7">
        <f>IF($V28="","",Q28+N28)</f>
        <v/>
      </c>
      <c r="S28" s="7">
        <f>IF($V28="","",T28-R28)</f>
        <v/>
      </c>
      <c r="T28" s="7">
        <f>IF($V28="","",M28+P28)</f>
        <v/>
      </c>
      <c r="U28" s="7">
        <f>IF($V28="","",T28-R28-K28)</f>
        <v/>
      </c>
      <c r="V28" s="13">
        <f>IF(ROWS($V$2:$V28)&lt;=MAX('Per Line'!$AJ$2:$AJ$1501),MATCH(ROWS($V$2:$V28),'Per Line'!$AJ$2:$AJ$1501,0),"")</f>
        <v/>
      </c>
    </row>
    <row r="29">
      <c r="A29" s="12" t="n"/>
      <c r="B29">
        <f>IF($V29="","",INDEX('Per Line'!$A$2:$A$1501,$V29)&amp;"")</f>
        <v/>
      </c>
      <c r="C29">
        <f>IF($V29="","",INDEX('Per Line'!$C$2:$C$1501,$V29)&amp;"")</f>
        <v/>
      </c>
      <c r="D29" s="11">
        <f>IF($V29="","",INDEX('Per Line'!$S$2:$S$1501,$V29))</f>
        <v/>
      </c>
      <c r="E29">
        <f>IF($V29="","",INDEX('Per Line'!$F$2:$F$1501,$V29)&amp;"")</f>
        <v/>
      </c>
      <c r="F29">
        <f>IF($V29="","",INDEX('Per Line'!$L$2:$L$1501,$V29)&amp;"")</f>
        <v/>
      </c>
      <c r="G29">
        <f>IF($V29="","",INDEX('Per Line'!$O$2:$O$1501,$V29)&amp;"")</f>
        <v/>
      </c>
      <c r="H29">
        <f>IF($V29="","",INDEX('Per Line'!$P$2:$P$1501,$V29)&amp;"")</f>
        <v/>
      </c>
      <c r="I29">
        <f>IF($V29="","",INDEX('Per Line'!$N$2:$N$1501,$V29)&amp;"")</f>
        <v/>
      </c>
      <c r="J29">
        <f>IF($V29="","",INDEX('Per Line'!$Q$2:$Q$1501,$V29))</f>
        <v/>
      </c>
      <c r="K29" s="7">
        <f>IF($V29="","",J29*T29/100)</f>
        <v/>
      </c>
      <c r="L29">
        <f>IF($V29="","",Settings!$C$7)</f>
        <v/>
      </c>
      <c r="M29" s="7">
        <f>IF($V29="","",SUMIFS('Per Line'!$AC$2:$AC$1501,'Per Line'!$C$2:$C$1501,$C29,'Per Line'!$AK$2:$AK$1501,0))</f>
        <v/>
      </c>
      <c r="N29" s="7">
        <f>IF($V29="","",M29*L29)</f>
        <v/>
      </c>
      <c r="O29">
        <f>IF($V29="","",Settings!$C$6)</f>
        <v/>
      </c>
      <c r="P29" s="7">
        <f>IF($V29="","",SUMIFS('Per Line'!$AC$2:$AC$1501,'Per Line'!$C$2:$C$1501,$C29,'Per Line'!$AK$2:$AK$1501,1))</f>
        <v/>
      </c>
      <c r="Q29" s="7">
        <f>IF($V29="","",P29*O29)</f>
        <v/>
      </c>
      <c r="R29" s="7">
        <f>IF($V29="","",Q29+N29)</f>
        <v/>
      </c>
      <c r="S29" s="7">
        <f>IF($V29="","",T29-R29)</f>
        <v/>
      </c>
      <c r="T29" s="7">
        <f>IF($V29="","",M29+P29)</f>
        <v/>
      </c>
      <c r="U29" s="7">
        <f>IF($V29="","",T29-R29-K29)</f>
        <v/>
      </c>
      <c r="V29" s="13">
        <f>IF(ROWS($V$2:$V29)&lt;=MAX('Per Line'!$AJ$2:$AJ$1501),MATCH(ROWS($V$2:$V29),'Per Line'!$AJ$2:$AJ$1501,0),"")</f>
        <v/>
      </c>
    </row>
    <row r="30">
      <c r="A30" s="12" t="n"/>
      <c r="B30">
        <f>IF($V30="","",INDEX('Per Line'!$A$2:$A$1501,$V30)&amp;"")</f>
        <v/>
      </c>
      <c r="C30">
        <f>IF($V30="","",INDEX('Per Line'!$C$2:$C$1501,$V30)&amp;"")</f>
        <v/>
      </c>
      <c r="D30" s="11">
        <f>IF($V30="","",INDEX('Per Line'!$S$2:$S$1501,$V30))</f>
        <v/>
      </c>
      <c r="E30">
        <f>IF($V30="","",INDEX('Per Line'!$F$2:$F$1501,$V30)&amp;"")</f>
        <v/>
      </c>
      <c r="F30">
        <f>IF($V30="","",INDEX('Per Line'!$L$2:$L$1501,$V30)&amp;"")</f>
        <v/>
      </c>
      <c r="G30">
        <f>IF($V30="","",INDEX('Per Line'!$O$2:$O$1501,$V30)&amp;"")</f>
        <v/>
      </c>
      <c r="H30">
        <f>IF($V30="","",INDEX('Per Line'!$P$2:$P$1501,$V30)&amp;"")</f>
        <v/>
      </c>
      <c r="I30">
        <f>IF($V30="","",INDEX('Per Line'!$N$2:$N$1501,$V30)&amp;"")</f>
        <v/>
      </c>
      <c r="J30">
        <f>IF($V30="","",INDEX('Per Line'!$Q$2:$Q$1501,$V30))</f>
        <v/>
      </c>
      <c r="K30" s="7">
        <f>IF($V30="","",J30*T30/100)</f>
        <v/>
      </c>
      <c r="L30">
        <f>IF($V30="","",Settings!$C$7)</f>
        <v/>
      </c>
      <c r="M30" s="7">
        <f>IF($V30="","",SUMIFS('Per Line'!$AC$2:$AC$1501,'Per Line'!$C$2:$C$1501,$C30,'Per Line'!$AK$2:$AK$1501,0))</f>
        <v/>
      </c>
      <c r="N30" s="7">
        <f>IF($V30="","",M30*L30)</f>
        <v/>
      </c>
      <c r="O30">
        <f>IF($V30="","",Settings!$C$6)</f>
        <v/>
      </c>
      <c r="P30" s="7">
        <f>IF($V30="","",SUMIFS('Per Line'!$AC$2:$AC$1501,'Per Line'!$C$2:$C$1501,$C30,'Per Line'!$AK$2:$AK$1501,1))</f>
        <v/>
      </c>
      <c r="Q30" s="7">
        <f>IF($V30="","",P30*O30)</f>
        <v/>
      </c>
      <c r="R30" s="7">
        <f>IF($V30="","",Q30+N30)</f>
        <v/>
      </c>
      <c r="S30" s="7">
        <f>IF($V30="","",T30-R30)</f>
        <v/>
      </c>
      <c r="T30" s="7">
        <f>IF($V30="","",M30+P30)</f>
        <v/>
      </c>
      <c r="U30" s="7">
        <f>IF($V30="","",T30-R30-K30)</f>
        <v/>
      </c>
      <c r="V30" s="13">
        <f>IF(ROWS($V$2:$V30)&lt;=MAX('Per Line'!$AJ$2:$AJ$1501),MATCH(ROWS($V$2:$V30),'Per Line'!$AJ$2:$AJ$1501,0),"")</f>
        <v/>
      </c>
    </row>
    <row r="31">
      <c r="A31" s="12" t="n"/>
      <c r="B31">
        <f>IF($V31="","",INDEX('Per Line'!$A$2:$A$1501,$V31)&amp;"")</f>
        <v/>
      </c>
      <c r="C31">
        <f>IF($V31="","",INDEX('Per Line'!$C$2:$C$1501,$V31)&amp;"")</f>
        <v/>
      </c>
      <c r="D31" s="11">
        <f>IF($V31="","",INDEX('Per Line'!$S$2:$S$1501,$V31))</f>
        <v/>
      </c>
      <c r="E31">
        <f>IF($V31="","",INDEX('Per Line'!$F$2:$F$1501,$V31)&amp;"")</f>
        <v/>
      </c>
      <c r="F31">
        <f>IF($V31="","",INDEX('Per Line'!$L$2:$L$1501,$V31)&amp;"")</f>
        <v/>
      </c>
      <c r="G31">
        <f>IF($V31="","",INDEX('Per Line'!$O$2:$O$1501,$V31)&amp;"")</f>
        <v/>
      </c>
      <c r="H31">
        <f>IF($V31="","",INDEX('Per Line'!$P$2:$P$1501,$V31)&amp;"")</f>
        <v/>
      </c>
      <c r="I31">
        <f>IF($V31="","",INDEX('Per Line'!$N$2:$N$1501,$V31)&amp;"")</f>
        <v/>
      </c>
      <c r="J31">
        <f>IF($V31="","",INDEX('Per Line'!$Q$2:$Q$1501,$V31))</f>
        <v/>
      </c>
      <c r="K31" s="7">
        <f>IF($V31="","",J31*T31/100)</f>
        <v/>
      </c>
      <c r="L31">
        <f>IF($V31="","",Settings!$C$7)</f>
        <v/>
      </c>
      <c r="M31" s="7">
        <f>IF($V31="","",SUMIFS('Per Line'!$AC$2:$AC$1501,'Per Line'!$C$2:$C$1501,$C31,'Per Line'!$AK$2:$AK$1501,0))</f>
        <v/>
      </c>
      <c r="N31" s="7">
        <f>IF($V31="","",M31*L31)</f>
        <v/>
      </c>
      <c r="O31">
        <f>IF($V31="","",Settings!$C$6)</f>
        <v/>
      </c>
      <c r="P31" s="7">
        <f>IF($V31="","",SUMIFS('Per Line'!$AC$2:$AC$1501,'Per Line'!$C$2:$C$1501,$C31,'Per Line'!$AK$2:$AK$1501,1))</f>
        <v/>
      </c>
      <c r="Q31" s="7">
        <f>IF($V31="","",P31*O31)</f>
        <v/>
      </c>
      <c r="R31" s="7">
        <f>IF($V31="","",Q31+N31)</f>
        <v/>
      </c>
      <c r="S31" s="7">
        <f>IF($V31="","",T31-R31)</f>
        <v/>
      </c>
      <c r="T31" s="7">
        <f>IF($V31="","",M31+P31)</f>
        <v/>
      </c>
      <c r="U31" s="7">
        <f>IF($V31="","",T31-R31-K31)</f>
        <v/>
      </c>
      <c r="V31" s="13">
        <f>IF(ROWS($V$2:$V31)&lt;=MAX('Per Line'!$AJ$2:$AJ$1501),MATCH(ROWS($V$2:$V31),'Per Line'!$AJ$2:$AJ$1501,0),"")</f>
        <v/>
      </c>
    </row>
    <row r="32">
      <c r="A32" s="12" t="n"/>
      <c r="B32">
        <f>IF($V32="","",INDEX('Per Line'!$A$2:$A$1501,$V32)&amp;"")</f>
        <v/>
      </c>
      <c r="C32">
        <f>IF($V32="","",INDEX('Per Line'!$C$2:$C$1501,$V32)&amp;"")</f>
        <v/>
      </c>
      <c r="D32" s="11">
        <f>IF($V32="","",INDEX('Per Line'!$S$2:$S$1501,$V32))</f>
        <v/>
      </c>
      <c r="E32">
        <f>IF($V32="","",INDEX('Per Line'!$F$2:$F$1501,$V32)&amp;"")</f>
        <v/>
      </c>
      <c r="F32">
        <f>IF($V32="","",INDEX('Per Line'!$L$2:$L$1501,$V32)&amp;"")</f>
        <v/>
      </c>
      <c r="G32">
        <f>IF($V32="","",INDEX('Per Line'!$O$2:$O$1501,$V32)&amp;"")</f>
        <v/>
      </c>
      <c r="H32">
        <f>IF($V32="","",INDEX('Per Line'!$P$2:$P$1501,$V32)&amp;"")</f>
        <v/>
      </c>
      <c r="I32">
        <f>IF($V32="","",INDEX('Per Line'!$N$2:$N$1501,$V32)&amp;"")</f>
        <v/>
      </c>
      <c r="J32">
        <f>IF($V32="","",INDEX('Per Line'!$Q$2:$Q$1501,$V32))</f>
        <v/>
      </c>
      <c r="K32" s="7">
        <f>IF($V32="","",J32*T32/100)</f>
        <v/>
      </c>
      <c r="L32">
        <f>IF($V32="","",Settings!$C$7)</f>
        <v/>
      </c>
      <c r="M32" s="7">
        <f>IF($V32="","",SUMIFS('Per Line'!$AC$2:$AC$1501,'Per Line'!$C$2:$C$1501,$C32,'Per Line'!$AK$2:$AK$1501,0))</f>
        <v/>
      </c>
      <c r="N32" s="7">
        <f>IF($V32="","",M32*L32)</f>
        <v/>
      </c>
      <c r="O32">
        <f>IF($V32="","",Settings!$C$6)</f>
        <v/>
      </c>
      <c r="P32" s="7">
        <f>IF($V32="","",SUMIFS('Per Line'!$AC$2:$AC$1501,'Per Line'!$C$2:$C$1501,$C32,'Per Line'!$AK$2:$AK$1501,1))</f>
        <v/>
      </c>
      <c r="Q32" s="7">
        <f>IF($V32="","",P32*O32)</f>
        <v/>
      </c>
      <c r="R32" s="7">
        <f>IF($V32="","",Q32+N32)</f>
        <v/>
      </c>
      <c r="S32" s="7">
        <f>IF($V32="","",T32-R32)</f>
        <v/>
      </c>
      <c r="T32" s="7">
        <f>IF($V32="","",M32+P32)</f>
        <v/>
      </c>
      <c r="U32" s="7">
        <f>IF($V32="","",T32-R32-K32)</f>
        <v/>
      </c>
      <c r="V32" s="13">
        <f>IF(ROWS($V$2:$V32)&lt;=MAX('Per Line'!$AJ$2:$AJ$1501),MATCH(ROWS($V$2:$V32),'Per Line'!$AJ$2:$AJ$1501,0),"")</f>
        <v/>
      </c>
    </row>
    <row r="33">
      <c r="A33" s="12" t="n"/>
      <c r="B33">
        <f>IF($V33="","",INDEX('Per Line'!$A$2:$A$1501,$V33)&amp;"")</f>
        <v/>
      </c>
      <c r="C33">
        <f>IF($V33="","",INDEX('Per Line'!$C$2:$C$1501,$V33)&amp;"")</f>
        <v/>
      </c>
      <c r="D33" s="11">
        <f>IF($V33="","",INDEX('Per Line'!$S$2:$S$1501,$V33))</f>
        <v/>
      </c>
      <c r="E33">
        <f>IF($V33="","",INDEX('Per Line'!$F$2:$F$1501,$V33)&amp;"")</f>
        <v/>
      </c>
      <c r="F33">
        <f>IF($V33="","",INDEX('Per Line'!$L$2:$L$1501,$V33)&amp;"")</f>
        <v/>
      </c>
      <c r="G33">
        <f>IF($V33="","",INDEX('Per Line'!$O$2:$O$1501,$V33)&amp;"")</f>
        <v/>
      </c>
      <c r="H33">
        <f>IF($V33="","",INDEX('Per Line'!$P$2:$P$1501,$V33)&amp;"")</f>
        <v/>
      </c>
      <c r="I33">
        <f>IF($V33="","",INDEX('Per Line'!$N$2:$N$1501,$V33)&amp;"")</f>
        <v/>
      </c>
      <c r="J33">
        <f>IF($V33="","",INDEX('Per Line'!$Q$2:$Q$1501,$V33))</f>
        <v/>
      </c>
      <c r="K33" s="7">
        <f>IF($V33="","",J33*T33/100)</f>
        <v/>
      </c>
      <c r="L33">
        <f>IF($V33="","",Settings!$C$7)</f>
        <v/>
      </c>
      <c r="M33" s="7">
        <f>IF($V33="","",SUMIFS('Per Line'!$AC$2:$AC$1501,'Per Line'!$C$2:$C$1501,$C33,'Per Line'!$AK$2:$AK$1501,0))</f>
        <v/>
      </c>
      <c r="N33" s="7">
        <f>IF($V33="","",M33*L33)</f>
        <v/>
      </c>
      <c r="O33">
        <f>IF($V33="","",Settings!$C$6)</f>
        <v/>
      </c>
      <c r="P33" s="7">
        <f>IF($V33="","",SUMIFS('Per Line'!$AC$2:$AC$1501,'Per Line'!$C$2:$C$1501,$C33,'Per Line'!$AK$2:$AK$1501,1))</f>
        <v/>
      </c>
      <c r="Q33" s="7">
        <f>IF($V33="","",P33*O33)</f>
        <v/>
      </c>
      <c r="R33" s="7">
        <f>IF($V33="","",Q33+N33)</f>
        <v/>
      </c>
      <c r="S33" s="7">
        <f>IF($V33="","",T33-R33)</f>
        <v/>
      </c>
      <c r="T33" s="7">
        <f>IF($V33="","",M33+P33)</f>
        <v/>
      </c>
      <c r="U33" s="7">
        <f>IF($V33="","",T33-R33-K33)</f>
        <v/>
      </c>
      <c r="V33" s="13">
        <f>IF(ROWS($V$2:$V33)&lt;=MAX('Per Line'!$AJ$2:$AJ$1501),MATCH(ROWS($V$2:$V33),'Per Line'!$AJ$2:$AJ$1501,0),"")</f>
        <v/>
      </c>
    </row>
    <row r="34">
      <c r="A34" s="12" t="n"/>
      <c r="B34">
        <f>IF($V34="","",INDEX('Per Line'!$A$2:$A$1501,$V34)&amp;"")</f>
        <v/>
      </c>
      <c r="C34">
        <f>IF($V34="","",INDEX('Per Line'!$C$2:$C$1501,$V34)&amp;"")</f>
        <v/>
      </c>
      <c r="D34" s="11">
        <f>IF($V34="","",INDEX('Per Line'!$S$2:$S$1501,$V34))</f>
        <v/>
      </c>
      <c r="E34">
        <f>IF($V34="","",INDEX('Per Line'!$F$2:$F$1501,$V34)&amp;"")</f>
        <v/>
      </c>
      <c r="F34">
        <f>IF($V34="","",INDEX('Per Line'!$L$2:$L$1501,$V34)&amp;"")</f>
        <v/>
      </c>
      <c r="G34">
        <f>IF($V34="","",INDEX('Per Line'!$O$2:$O$1501,$V34)&amp;"")</f>
        <v/>
      </c>
      <c r="H34">
        <f>IF($V34="","",INDEX('Per Line'!$P$2:$P$1501,$V34)&amp;"")</f>
        <v/>
      </c>
      <c r="I34">
        <f>IF($V34="","",INDEX('Per Line'!$N$2:$N$1501,$V34)&amp;"")</f>
        <v/>
      </c>
      <c r="J34">
        <f>IF($V34="","",INDEX('Per Line'!$Q$2:$Q$1501,$V34))</f>
        <v/>
      </c>
      <c r="K34" s="7">
        <f>IF($V34="","",J34*T34/100)</f>
        <v/>
      </c>
      <c r="L34">
        <f>IF($V34="","",Settings!$C$7)</f>
        <v/>
      </c>
      <c r="M34" s="7">
        <f>IF($V34="","",SUMIFS('Per Line'!$AC$2:$AC$1501,'Per Line'!$C$2:$C$1501,$C34,'Per Line'!$AK$2:$AK$1501,0))</f>
        <v/>
      </c>
      <c r="N34" s="7">
        <f>IF($V34="","",M34*L34)</f>
        <v/>
      </c>
      <c r="O34">
        <f>IF($V34="","",Settings!$C$6)</f>
        <v/>
      </c>
      <c r="P34" s="7">
        <f>IF($V34="","",SUMIFS('Per Line'!$AC$2:$AC$1501,'Per Line'!$C$2:$C$1501,$C34,'Per Line'!$AK$2:$AK$1501,1))</f>
        <v/>
      </c>
      <c r="Q34" s="7">
        <f>IF($V34="","",P34*O34)</f>
        <v/>
      </c>
      <c r="R34" s="7">
        <f>IF($V34="","",Q34+N34)</f>
        <v/>
      </c>
      <c r="S34" s="7">
        <f>IF($V34="","",T34-R34)</f>
        <v/>
      </c>
      <c r="T34" s="7">
        <f>IF($V34="","",M34+P34)</f>
        <v/>
      </c>
      <c r="U34" s="7">
        <f>IF($V34="","",T34-R34-K34)</f>
        <v/>
      </c>
      <c r="V34" s="13">
        <f>IF(ROWS($V$2:$V34)&lt;=MAX('Per Line'!$AJ$2:$AJ$1501),MATCH(ROWS($V$2:$V34),'Per Line'!$AJ$2:$AJ$1501,0),"")</f>
        <v/>
      </c>
    </row>
    <row r="35">
      <c r="A35" s="12" t="n"/>
      <c r="B35">
        <f>IF($V35="","",INDEX('Per Line'!$A$2:$A$1501,$V35)&amp;"")</f>
        <v/>
      </c>
      <c r="C35">
        <f>IF($V35="","",INDEX('Per Line'!$C$2:$C$1501,$V35)&amp;"")</f>
        <v/>
      </c>
      <c r="D35" s="11">
        <f>IF($V35="","",INDEX('Per Line'!$S$2:$S$1501,$V35))</f>
        <v/>
      </c>
      <c r="E35">
        <f>IF($V35="","",INDEX('Per Line'!$F$2:$F$1501,$V35)&amp;"")</f>
        <v/>
      </c>
      <c r="F35">
        <f>IF($V35="","",INDEX('Per Line'!$L$2:$L$1501,$V35)&amp;"")</f>
        <v/>
      </c>
      <c r="G35">
        <f>IF($V35="","",INDEX('Per Line'!$O$2:$O$1501,$V35)&amp;"")</f>
        <v/>
      </c>
      <c r="H35">
        <f>IF($V35="","",INDEX('Per Line'!$P$2:$P$1501,$V35)&amp;"")</f>
        <v/>
      </c>
      <c r="I35">
        <f>IF($V35="","",INDEX('Per Line'!$N$2:$N$1501,$V35)&amp;"")</f>
        <v/>
      </c>
      <c r="J35">
        <f>IF($V35="","",INDEX('Per Line'!$Q$2:$Q$1501,$V35))</f>
        <v/>
      </c>
      <c r="K35" s="7">
        <f>IF($V35="","",J35*T35/100)</f>
        <v/>
      </c>
      <c r="L35">
        <f>IF($V35="","",Settings!$C$7)</f>
        <v/>
      </c>
      <c r="M35" s="7">
        <f>IF($V35="","",SUMIFS('Per Line'!$AC$2:$AC$1501,'Per Line'!$C$2:$C$1501,$C35,'Per Line'!$AK$2:$AK$1501,0))</f>
        <v/>
      </c>
      <c r="N35" s="7">
        <f>IF($V35="","",M35*L35)</f>
        <v/>
      </c>
      <c r="O35">
        <f>IF($V35="","",Settings!$C$6)</f>
        <v/>
      </c>
      <c r="P35" s="7">
        <f>IF($V35="","",SUMIFS('Per Line'!$AC$2:$AC$1501,'Per Line'!$C$2:$C$1501,$C35,'Per Line'!$AK$2:$AK$1501,1))</f>
        <v/>
      </c>
      <c r="Q35" s="7">
        <f>IF($V35="","",P35*O35)</f>
        <v/>
      </c>
      <c r="R35" s="7">
        <f>IF($V35="","",Q35+N35)</f>
        <v/>
      </c>
      <c r="S35" s="7">
        <f>IF($V35="","",T35-R35)</f>
        <v/>
      </c>
      <c r="T35" s="7">
        <f>IF($V35="","",M35+P35)</f>
        <v/>
      </c>
      <c r="U35" s="7">
        <f>IF($V35="","",T35-R35-K35)</f>
        <v/>
      </c>
      <c r="V35" s="13">
        <f>IF(ROWS($V$2:$V35)&lt;=MAX('Per Line'!$AJ$2:$AJ$1501),MATCH(ROWS($V$2:$V35),'Per Line'!$AJ$2:$AJ$1501,0),"")</f>
        <v/>
      </c>
    </row>
    <row r="36">
      <c r="A36" s="12" t="n"/>
      <c r="B36">
        <f>IF($V36="","",INDEX('Per Line'!$A$2:$A$1501,$V36)&amp;"")</f>
        <v/>
      </c>
      <c r="C36">
        <f>IF($V36="","",INDEX('Per Line'!$C$2:$C$1501,$V36)&amp;"")</f>
        <v/>
      </c>
      <c r="D36" s="11">
        <f>IF($V36="","",INDEX('Per Line'!$S$2:$S$1501,$V36))</f>
        <v/>
      </c>
      <c r="E36">
        <f>IF($V36="","",INDEX('Per Line'!$F$2:$F$1501,$V36)&amp;"")</f>
        <v/>
      </c>
      <c r="F36">
        <f>IF($V36="","",INDEX('Per Line'!$L$2:$L$1501,$V36)&amp;"")</f>
        <v/>
      </c>
      <c r="G36">
        <f>IF($V36="","",INDEX('Per Line'!$O$2:$O$1501,$V36)&amp;"")</f>
        <v/>
      </c>
      <c r="H36">
        <f>IF($V36="","",INDEX('Per Line'!$P$2:$P$1501,$V36)&amp;"")</f>
        <v/>
      </c>
      <c r="I36">
        <f>IF($V36="","",INDEX('Per Line'!$N$2:$N$1501,$V36)&amp;"")</f>
        <v/>
      </c>
      <c r="J36">
        <f>IF($V36="","",INDEX('Per Line'!$Q$2:$Q$1501,$V36))</f>
        <v/>
      </c>
      <c r="K36" s="7">
        <f>IF($V36="","",J36*T36/100)</f>
        <v/>
      </c>
      <c r="L36">
        <f>IF($V36="","",Settings!$C$7)</f>
        <v/>
      </c>
      <c r="M36" s="7">
        <f>IF($V36="","",SUMIFS('Per Line'!$AC$2:$AC$1501,'Per Line'!$C$2:$C$1501,$C36,'Per Line'!$AK$2:$AK$1501,0))</f>
        <v/>
      </c>
      <c r="N36" s="7">
        <f>IF($V36="","",M36*L36)</f>
        <v/>
      </c>
      <c r="O36">
        <f>IF($V36="","",Settings!$C$6)</f>
        <v/>
      </c>
      <c r="P36" s="7">
        <f>IF($V36="","",SUMIFS('Per Line'!$AC$2:$AC$1501,'Per Line'!$C$2:$C$1501,$C36,'Per Line'!$AK$2:$AK$1501,1))</f>
        <v/>
      </c>
      <c r="Q36" s="7">
        <f>IF($V36="","",P36*O36)</f>
        <v/>
      </c>
      <c r="R36" s="7">
        <f>IF($V36="","",Q36+N36)</f>
        <v/>
      </c>
      <c r="S36" s="7">
        <f>IF($V36="","",T36-R36)</f>
        <v/>
      </c>
      <c r="T36" s="7">
        <f>IF($V36="","",M36+P36)</f>
        <v/>
      </c>
      <c r="U36" s="7">
        <f>IF($V36="","",T36-R36-K36)</f>
        <v/>
      </c>
      <c r="V36" s="13">
        <f>IF(ROWS($V$2:$V36)&lt;=MAX('Per Line'!$AJ$2:$AJ$1501),MATCH(ROWS($V$2:$V36),'Per Line'!$AJ$2:$AJ$1501,0),"")</f>
        <v/>
      </c>
    </row>
    <row r="37">
      <c r="A37" s="12" t="n"/>
      <c r="B37">
        <f>IF($V37="","",INDEX('Per Line'!$A$2:$A$1501,$V37)&amp;"")</f>
        <v/>
      </c>
      <c r="C37">
        <f>IF($V37="","",INDEX('Per Line'!$C$2:$C$1501,$V37)&amp;"")</f>
        <v/>
      </c>
      <c r="D37" s="11">
        <f>IF($V37="","",INDEX('Per Line'!$S$2:$S$1501,$V37))</f>
        <v/>
      </c>
      <c r="E37">
        <f>IF($V37="","",INDEX('Per Line'!$F$2:$F$1501,$V37)&amp;"")</f>
        <v/>
      </c>
      <c r="F37">
        <f>IF($V37="","",INDEX('Per Line'!$L$2:$L$1501,$V37)&amp;"")</f>
        <v/>
      </c>
      <c r="G37">
        <f>IF($V37="","",INDEX('Per Line'!$O$2:$O$1501,$V37)&amp;"")</f>
        <v/>
      </c>
      <c r="H37">
        <f>IF($V37="","",INDEX('Per Line'!$P$2:$P$1501,$V37)&amp;"")</f>
        <v/>
      </c>
      <c r="I37">
        <f>IF($V37="","",INDEX('Per Line'!$N$2:$N$1501,$V37)&amp;"")</f>
        <v/>
      </c>
      <c r="J37">
        <f>IF($V37="","",INDEX('Per Line'!$Q$2:$Q$1501,$V37))</f>
        <v/>
      </c>
      <c r="K37" s="7">
        <f>IF($V37="","",J37*T37/100)</f>
        <v/>
      </c>
      <c r="L37">
        <f>IF($V37="","",Settings!$C$7)</f>
        <v/>
      </c>
      <c r="M37" s="7">
        <f>IF($V37="","",SUMIFS('Per Line'!$AC$2:$AC$1501,'Per Line'!$C$2:$C$1501,$C37,'Per Line'!$AK$2:$AK$1501,0))</f>
        <v/>
      </c>
      <c r="N37" s="7">
        <f>IF($V37="","",M37*L37)</f>
        <v/>
      </c>
      <c r="O37">
        <f>IF($V37="","",Settings!$C$6)</f>
        <v/>
      </c>
      <c r="P37" s="7">
        <f>IF($V37="","",SUMIFS('Per Line'!$AC$2:$AC$1501,'Per Line'!$C$2:$C$1501,$C37,'Per Line'!$AK$2:$AK$1501,1))</f>
        <v/>
      </c>
      <c r="Q37" s="7">
        <f>IF($V37="","",P37*O37)</f>
        <v/>
      </c>
      <c r="R37" s="7">
        <f>IF($V37="","",Q37+N37)</f>
        <v/>
      </c>
      <c r="S37" s="7">
        <f>IF($V37="","",T37-R37)</f>
        <v/>
      </c>
      <c r="T37" s="7">
        <f>IF($V37="","",M37+P37)</f>
        <v/>
      </c>
      <c r="U37" s="7">
        <f>IF($V37="","",T37-R37-K37)</f>
        <v/>
      </c>
      <c r="V37" s="13">
        <f>IF(ROWS($V$2:$V37)&lt;=MAX('Per Line'!$AJ$2:$AJ$1501),MATCH(ROWS($V$2:$V37),'Per Line'!$AJ$2:$AJ$1501,0),"")</f>
        <v/>
      </c>
    </row>
    <row r="38">
      <c r="A38" s="12" t="n"/>
      <c r="B38">
        <f>IF($V38="","",INDEX('Per Line'!$A$2:$A$1501,$V38)&amp;"")</f>
        <v/>
      </c>
      <c r="C38">
        <f>IF($V38="","",INDEX('Per Line'!$C$2:$C$1501,$V38)&amp;"")</f>
        <v/>
      </c>
      <c r="D38" s="11">
        <f>IF($V38="","",INDEX('Per Line'!$S$2:$S$1501,$V38))</f>
        <v/>
      </c>
      <c r="E38">
        <f>IF($V38="","",INDEX('Per Line'!$F$2:$F$1501,$V38)&amp;"")</f>
        <v/>
      </c>
      <c r="F38">
        <f>IF($V38="","",INDEX('Per Line'!$L$2:$L$1501,$V38)&amp;"")</f>
        <v/>
      </c>
      <c r="G38">
        <f>IF($V38="","",INDEX('Per Line'!$O$2:$O$1501,$V38)&amp;"")</f>
        <v/>
      </c>
      <c r="H38">
        <f>IF($V38="","",INDEX('Per Line'!$P$2:$P$1501,$V38)&amp;"")</f>
        <v/>
      </c>
      <c r="I38">
        <f>IF($V38="","",INDEX('Per Line'!$N$2:$N$1501,$V38)&amp;"")</f>
        <v/>
      </c>
      <c r="J38">
        <f>IF($V38="","",INDEX('Per Line'!$Q$2:$Q$1501,$V38))</f>
        <v/>
      </c>
      <c r="K38" s="7">
        <f>IF($V38="","",J38*T38/100)</f>
        <v/>
      </c>
      <c r="L38">
        <f>IF($V38="","",Settings!$C$7)</f>
        <v/>
      </c>
      <c r="M38" s="7">
        <f>IF($V38="","",SUMIFS('Per Line'!$AC$2:$AC$1501,'Per Line'!$C$2:$C$1501,$C38,'Per Line'!$AK$2:$AK$1501,0))</f>
        <v/>
      </c>
      <c r="N38" s="7">
        <f>IF($V38="","",M38*L38)</f>
        <v/>
      </c>
      <c r="O38">
        <f>IF($V38="","",Settings!$C$6)</f>
        <v/>
      </c>
      <c r="P38" s="7">
        <f>IF($V38="","",SUMIFS('Per Line'!$AC$2:$AC$1501,'Per Line'!$C$2:$C$1501,$C38,'Per Line'!$AK$2:$AK$1501,1))</f>
        <v/>
      </c>
      <c r="Q38" s="7">
        <f>IF($V38="","",P38*O38)</f>
        <v/>
      </c>
      <c r="R38" s="7">
        <f>IF($V38="","",Q38+N38)</f>
        <v/>
      </c>
      <c r="S38" s="7">
        <f>IF($V38="","",T38-R38)</f>
        <v/>
      </c>
      <c r="T38" s="7">
        <f>IF($V38="","",M38+P38)</f>
        <v/>
      </c>
      <c r="U38" s="7">
        <f>IF($V38="","",T38-R38-K38)</f>
        <v/>
      </c>
      <c r="V38" s="13">
        <f>IF(ROWS($V$2:$V38)&lt;=MAX('Per Line'!$AJ$2:$AJ$1501),MATCH(ROWS($V$2:$V38),'Per Line'!$AJ$2:$AJ$1501,0),"")</f>
        <v/>
      </c>
    </row>
    <row r="39">
      <c r="A39" s="12" t="n"/>
      <c r="B39">
        <f>IF($V39="","",INDEX('Per Line'!$A$2:$A$1501,$V39)&amp;"")</f>
        <v/>
      </c>
      <c r="C39">
        <f>IF($V39="","",INDEX('Per Line'!$C$2:$C$1501,$V39)&amp;"")</f>
        <v/>
      </c>
      <c r="D39" s="11">
        <f>IF($V39="","",INDEX('Per Line'!$S$2:$S$1501,$V39))</f>
        <v/>
      </c>
      <c r="E39">
        <f>IF($V39="","",INDEX('Per Line'!$F$2:$F$1501,$V39)&amp;"")</f>
        <v/>
      </c>
      <c r="F39">
        <f>IF($V39="","",INDEX('Per Line'!$L$2:$L$1501,$V39)&amp;"")</f>
        <v/>
      </c>
      <c r="G39">
        <f>IF($V39="","",INDEX('Per Line'!$O$2:$O$1501,$V39)&amp;"")</f>
        <v/>
      </c>
      <c r="H39">
        <f>IF($V39="","",INDEX('Per Line'!$P$2:$P$1501,$V39)&amp;"")</f>
        <v/>
      </c>
      <c r="I39">
        <f>IF($V39="","",INDEX('Per Line'!$N$2:$N$1501,$V39)&amp;"")</f>
        <v/>
      </c>
      <c r="J39">
        <f>IF($V39="","",INDEX('Per Line'!$Q$2:$Q$1501,$V39))</f>
        <v/>
      </c>
      <c r="K39" s="7">
        <f>IF($V39="","",J39*T39/100)</f>
        <v/>
      </c>
      <c r="L39">
        <f>IF($V39="","",Settings!$C$7)</f>
        <v/>
      </c>
      <c r="M39" s="7">
        <f>IF($V39="","",SUMIFS('Per Line'!$AC$2:$AC$1501,'Per Line'!$C$2:$C$1501,$C39,'Per Line'!$AK$2:$AK$1501,0))</f>
        <v/>
      </c>
      <c r="N39" s="7">
        <f>IF($V39="","",M39*L39)</f>
        <v/>
      </c>
      <c r="O39">
        <f>IF($V39="","",Settings!$C$6)</f>
        <v/>
      </c>
      <c r="P39" s="7">
        <f>IF($V39="","",SUMIFS('Per Line'!$AC$2:$AC$1501,'Per Line'!$C$2:$C$1501,$C39,'Per Line'!$AK$2:$AK$1501,1))</f>
        <v/>
      </c>
      <c r="Q39" s="7">
        <f>IF($V39="","",P39*O39)</f>
        <v/>
      </c>
      <c r="R39" s="7">
        <f>IF($V39="","",Q39+N39)</f>
        <v/>
      </c>
      <c r="S39" s="7">
        <f>IF($V39="","",T39-R39)</f>
        <v/>
      </c>
      <c r="T39" s="7">
        <f>IF($V39="","",M39+P39)</f>
        <v/>
      </c>
      <c r="U39" s="7">
        <f>IF($V39="","",T39-R39-K39)</f>
        <v/>
      </c>
      <c r="V39" s="13">
        <f>IF(ROWS($V$2:$V39)&lt;=MAX('Per Line'!$AJ$2:$AJ$1501),MATCH(ROWS($V$2:$V39),'Per Line'!$AJ$2:$AJ$1501,0),"")</f>
        <v/>
      </c>
    </row>
    <row r="40">
      <c r="A40" s="12" t="n"/>
      <c r="B40">
        <f>IF($V40="","",INDEX('Per Line'!$A$2:$A$1501,$V40)&amp;"")</f>
        <v/>
      </c>
      <c r="C40">
        <f>IF($V40="","",INDEX('Per Line'!$C$2:$C$1501,$V40)&amp;"")</f>
        <v/>
      </c>
      <c r="D40" s="11">
        <f>IF($V40="","",INDEX('Per Line'!$S$2:$S$1501,$V40))</f>
        <v/>
      </c>
      <c r="E40">
        <f>IF($V40="","",INDEX('Per Line'!$F$2:$F$1501,$V40)&amp;"")</f>
        <v/>
      </c>
      <c r="F40">
        <f>IF($V40="","",INDEX('Per Line'!$L$2:$L$1501,$V40)&amp;"")</f>
        <v/>
      </c>
      <c r="G40">
        <f>IF($V40="","",INDEX('Per Line'!$O$2:$O$1501,$V40)&amp;"")</f>
        <v/>
      </c>
      <c r="H40">
        <f>IF($V40="","",INDEX('Per Line'!$P$2:$P$1501,$V40)&amp;"")</f>
        <v/>
      </c>
      <c r="I40">
        <f>IF($V40="","",INDEX('Per Line'!$N$2:$N$1501,$V40)&amp;"")</f>
        <v/>
      </c>
      <c r="J40">
        <f>IF($V40="","",INDEX('Per Line'!$Q$2:$Q$1501,$V40))</f>
        <v/>
      </c>
      <c r="K40" s="7">
        <f>IF($V40="","",J40*T40/100)</f>
        <v/>
      </c>
      <c r="L40">
        <f>IF($V40="","",Settings!$C$7)</f>
        <v/>
      </c>
      <c r="M40" s="7">
        <f>IF($V40="","",SUMIFS('Per Line'!$AC$2:$AC$1501,'Per Line'!$C$2:$C$1501,$C40,'Per Line'!$AK$2:$AK$1501,0))</f>
        <v/>
      </c>
      <c r="N40" s="7">
        <f>IF($V40="","",M40*L40)</f>
        <v/>
      </c>
      <c r="O40">
        <f>IF($V40="","",Settings!$C$6)</f>
        <v/>
      </c>
      <c r="P40" s="7">
        <f>IF($V40="","",SUMIFS('Per Line'!$AC$2:$AC$1501,'Per Line'!$C$2:$C$1501,$C40,'Per Line'!$AK$2:$AK$1501,1))</f>
        <v/>
      </c>
      <c r="Q40" s="7">
        <f>IF($V40="","",P40*O40)</f>
        <v/>
      </c>
      <c r="R40" s="7">
        <f>IF($V40="","",Q40+N40)</f>
        <v/>
      </c>
      <c r="S40" s="7">
        <f>IF($V40="","",T40-R40)</f>
        <v/>
      </c>
      <c r="T40" s="7">
        <f>IF($V40="","",M40+P40)</f>
        <v/>
      </c>
      <c r="U40" s="7">
        <f>IF($V40="","",T40-R40-K40)</f>
        <v/>
      </c>
      <c r="V40" s="13">
        <f>IF(ROWS($V$2:$V40)&lt;=MAX('Per Line'!$AJ$2:$AJ$1501),MATCH(ROWS($V$2:$V40),'Per Line'!$AJ$2:$AJ$1501,0),"")</f>
        <v/>
      </c>
    </row>
    <row r="41">
      <c r="A41" s="12" t="n"/>
      <c r="B41">
        <f>IF($V41="","",INDEX('Per Line'!$A$2:$A$1501,$V41)&amp;"")</f>
        <v/>
      </c>
      <c r="C41">
        <f>IF($V41="","",INDEX('Per Line'!$C$2:$C$1501,$V41)&amp;"")</f>
        <v/>
      </c>
      <c r="D41" s="11">
        <f>IF($V41="","",INDEX('Per Line'!$S$2:$S$1501,$V41))</f>
        <v/>
      </c>
      <c r="E41">
        <f>IF($V41="","",INDEX('Per Line'!$F$2:$F$1501,$V41)&amp;"")</f>
        <v/>
      </c>
      <c r="F41">
        <f>IF($V41="","",INDEX('Per Line'!$L$2:$L$1501,$V41)&amp;"")</f>
        <v/>
      </c>
      <c r="G41">
        <f>IF($V41="","",INDEX('Per Line'!$O$2:$O$1501,$V41)&amp;"")</f>
        <v/>
      </c>
      <c r="H41">
        <f>IF($V41="","",INDEX('Per Line'!$P$2:$P$1501,$V41)&amp;"")</f>
        <v/>
      </c>
      <c r="I41">
        <f>IF($V41="","",INDEX('Per Line'!$N$2:$N$1501,$V41)&amp;"")</f>
        <v/>
      </c>
      <c r="J41">
        <f>IF($V41="","",INDEX('Per Line'!$Q$2:$Q$1501,$V41))</f>
        <v/>
      </c>
      <c r="K41" s="7">
        <f>IF($V41="","",J41*T41/100)</f>
        <v/>
      </c>
      <c r="L41">
        <f>IF($V41="","",Settings!$C$7)</f>
        <v/>
      </c>
      <c r="M41" s="7">
        <f>IF($V41="","",SUMIFS('Per Line'!$AC$2:$AC$1501,'Per Line'!$C$2:$C$1501,$C41,'Per Line'!$AK$2:$AK$1501,0))</f>
        <v/>
      </c>
      <c r="N41" s="7">
        <f>IF($V41="","",M41*L41)</f>
        <v/>
      </c>
      <c r="O41">
        <f>IF($V41="","",Settings!$C$6)</f>
        <v/>
      </c>
      <c r="P41" s="7">
        <f>IF($V41="","",SUMIFS('Per Line'!$AC$2:$AC$1501,'Per Line'!$C$2:$C$1501,$C41,'Per Line'!$AK$2:$AK$1501,1))</f>
        <v/>
      </c>
      <c r="Q41" s="7">
        <f>IF($V41="","",P41*O41)</f>
        <v/>
      </c>
      <c r="R41" s="7">
        <f>IF($V41="","",Q41+N41)</f>
        <v/>
      </c>
      <c r="S41" s="7">
        <f>IF($V41="","",T41-R41)</f>
        <v/>
      </c>
      <c r="T41" s="7">
        <f>IF($V41="","",M41+P41)</f>
        <v/>
      </c>
      <c r="U41" s="7">
        <f>IF($V41="","",T41-R41-K41)</f>
        <v/>
      </c>
      <c r="V41" s="13">
        <f>IF(ROWS($V$2:$V41)&lt;=MAX('Per Line'!$AJ$2:$AJ$1501),MATCH(ROWS($V$2:$V41),'Per Line'!$AJ$2:$AJ$1501,0),"")</f>
        <v/>
      </c>
    </row>
    <row r="42">
      <c r="A42" s="12" t="n"/>
      <c r="B42">
        <f>IF($V42="","",INDEX('Per Line'!$A$2:$A$1501,$V42)&amp;"")</f>
        <v/>
      </c>
      <c r="C42">
        <f>IF($V42="","",INDEX('Per Line'!$C$2:$C$1501,$V42)&amp;"")</f>
        <v/>
      </c>
      <c r="D42" s="11">
        <f>IF($V42="","",INDEX('Per Line'!$S$2:$S$1501,$V42))</f>
        <v/>
      </c>
      <c r="E42">
        <f>IF($V42="","",INDEX('Per Line'!$F$2:$F$1501,$V42)&amp;"")</f>
        <v/>
      </c>
      <c r="F42">
        <f>IF($V42="","",INDEX('Per Line'!$L$2:$L$1501,$V42)&amp;"")</f>
        <v/>
      </c>
      <c r="G42">
        <f>IF($V42="","",INDEX('Per Line'!$O$2:$O$1501,$V42)&amp;"")</f>
        <v/>
      </c>
      <c r="H42">
        <f>IF($V42="","",INDEX('Per Line'!$P$2:$P$1501,$V42)&amp;"")</f>
        <v/>
      </c>
      <c r="I42">
        <f>IF($V42="","",INDEX('Per Line'!$N$2:$N$1501,$V42)&amp;"")</f>
        <v/>
      </c>
      <c r="J42">
        <f>IF($V42="","",INDEX('Per Line'!$Q$2:$Q$1501,$V42))</f>
        <v/>
      </c>
      <c r="K42" s="7">
        <f>IF($V42="","",J42*T42/100)</f>
        <v/>
      </c>
      <c r="L42">
        <f>IF($V42="","",Settings!$C$7)</f>
        <v/>
      </c>
      <c r="M42" s="7">
        <f>IF($V42="","",SUMIFS('Per Line'!$AC$2:$AC$1501,'Per Line'!$C$2:$C$1501,$C42,'Per Line'!$AK$2:$AK$1501,0))</f>
        <v/>
      </c>
      <c r="N42" s="7">
        <f>IF($V42="","",M42*L42)</f>
        <v/>
      </c>
      <c r="O42">
        <f>IF($V42="","",Settings!$C$6)</f>
        <v/>
      </c>
      <c r="P42" s="7">
        <f>IF($V42="","",SUMIFS('Per Line'!$AC$2:$AC$1501,'Per Line'!$C$2:$C$1501,$C42,'Per Line'!$AK$2:$AK$1501,1))</f>
        <v/>
      </c>
      <c r="Q42" s="7">
        <f>IF($V42="","",P42*O42)</f>
        <v/>
      </c>
      <c r="R42" s="7">
        <f>IF($V42="","",Q42+N42)</f>
        <v/>
      </c>
      <c r="S42" s="7">
        <f>IF($V42="","",T42-R42)</f>
        <v/>
      </c>
      <c r="T42" s="7">
        <f>IF($V42="","",M42+P42)</f>
        <v/>
      </c>
      <c r="U42" s="7">
        <f>IF($V42="","",T42-R42-K42)</f>
        <v/>
      </c>
      <c r="V42" s="13">
        <f>IF(ROWS($V$2:$V42)&lt;=MAX('Per Line'!$AJ$2:$AJ$1501),MATCH(ROWS($V$2:$V42),'Per Line'!$AJ$2:$AJ$1501,0),"")</f>
        <v/>
      </c>
    </row>
    <row r="43">
      <c r="A43" s="12" t="n"/>
      <c r="B43">
        <f>IF($V43="","",INDEX('Per Line'!$A$2:$A$1501,$V43)&amp;"")</f>
        <v/>
      </c>
      <c r="C43">
        <f>IF($V43="","",INDEX('Per Line'!$C$2:$C$1501,$V43)&amp;"")</f>
        <v/>
      </c>
      <c r="D43" s="11">
        <f>IF($V43="","",INDEX('Per Line'!$S$2:$S$1501,$V43))</f>
        <v/>
      </c>
      <c r="E43">
        <f>IF($V43="","",INDEX('Per Line'!$F$2:$F$1501,$V43)&amp;"")</f>
        <v/>
      </c>
      <c r="F43">
        <f>IF($V43="","",INDEX('Per Line'!$L$2:$L$1501,$V43)&amp;"")</f>
        <v/>
      </c>
      <c r="G43">
        <f>IF($V43="","",INDEX('Per Line'!$O$2:$O$1501,$V43)&amp;"")</f>
        <v/>
      </c>
      <c r="H43">
        <f>IF($V43="","",INDEX('Per Line'!$P$2:$P$1501,$V43)&amp;"")</f>
        <v/>
      </c>
      <c r="I43">
        <f>IF($V43="","",INDEX('Per Line'!$N$2:$N$1501,$V43)&amp;"")</f>
        <v/>
      </c>
      <c r="J43">
        <f>IF($V43="","",INDEX('Per Line'!$Q$2:$Q$1501,$V43))</f>
        <v/>
      </c>
      <c r="K43" s="7">
        <f>IF($V43="","",J43*T43/100)</f>
        <v/>
      </c>
      <c r="L43">
        <f>IF($V43="","",Settings!$C$7)</f>
        <v/>
      </c>
      <c r="M43" s="7">
        <f>IF($V43="","",SUMIFS('Per Line'!$AC$2:$AC$1501,'Per Line'!$C$2:$C$1501,$C43,'Per Line'!$AK$2:$AK$1501,0))</f>
        <v/>
      </c>
      <c r="N43" s="7">
        <f>IF($V43="","",M43*L43)</f>
        <v/>
      </c>
      <c r="O43">
        <f>IF($V43="","",Settings!$C$6)</f>
        <v/>
      </c>
      <c r="P43" s="7">
        <f>IF($V43="","",SUMIFS('Per Line'!$AC$2:$AC$1501,'Per Line'!$C$2:$C$1501,$C43,'Per Line'!$AK$2:$AK$1501,1))</f>
        <v/>
      </c>
      <c r="Q43" s="7">
        <f>IF($V43="","",P43*O43)</f>
        <v/>
      </c>
      <c r="R43" s="7">
        <f>IF($V43="","",Q43+N43)</f>
        <v/>
      </c>
      <c r="S43" s="7">
        <f>IF($V43="","",T43-R43)</f>
        <v/>
      </c>
      <c r="T43" s="7">
        <f>IF($V43="","",M43+P43)</f>
        <v/>
      </c>
      <c r="U43" s="7">
        <f>IF($V43="","",T43-R43-K43)</f>
        <v/>
      </c>
      <c r="V43" s="13">
        <f>IF(ROWS($V$2:$V43)&lt;=MAX('Per Line'!$AJ$2:$AJ$1501),MATCH(ROWS($V$2:$V43),'Per Line'!$AJ$2:$AJ$1501,0),"")</f>
        <v/>
      </c>
    </row>
    <row r="44">
      <c r="A44" s="12" t="n"/>
      <c r="B44">
        <f>IF($V44="","",INDEX('Per Line'!$A$2:$A$1501,$V44)&amp;"")</f>
        <v/>
      </c>
      <c r="C44">
        <f>IF($V44="","",INDEX('Per Line'!$C$2:$C$1501,$V44)&amp;"")</f>
        <v/>
      </c>
      <c r="D44" s="11">
        <f>IF($V44="","",INDEX('Per Line'!$S$2:$S$1501,$V44))</f>
        <v/>
      </c>
      <c r="E44">
        <f>IF($V44="","",INDEX('Per Line'!$F$2:$F$1501,$V44)&amp;"")</f>
        <v/>
      </c>
      <c r="F44">
        <f>IF($V44="","",INDEX('Per Line'!$L$2:$L$1501,$V44)&amp;"")</f>
        <v/>
      </c>
      <c r="G44">
        <f>IF($V44="","",INDEX('Per Line'!$O$2:$O$1501,$V44)&amp;"")</f>
        <v/>
      </c>
      <c r="H44">
        <f>IF($V44="","",INDEX('Per Line'!$P$2:$P$1501,$V44)&amp;"")</f>
        <v/>
      </c>
      <c r="I44">
        <f>IF($V44="","",INDEX('Per Line'!$N$2:$N$1501,$V44)&amp;"")</f>
        <v/>
      </c>
      <c r="J44">
        <f>IF($V44="","",INDEX('Per Line'!$Q$2:$Q$1501,$V44))</f>
        <v/>
      </c>
      <c r="K44" s="7">
        <f>IF($V44="","",J44*T44/100)</f>
        <v/>
      </c>
      <c r="L44">
        <f>IF($V44="","",Settings!$C$7)</f>
        <v/>
      </c>
      <c r="M44" s="7">
        <f>IF($V44="","",SUMIFS('Per Line'!$AC$2:$AC$1501,'Per Line'!$C$2:$C$1501,$C44,'Per Line'!$AK$2:$AK$1501,0))</f>
        <v/>
      </c>
      <c r="N44" s="7">
        <f>IF($V44="","",M44*L44)</f>
        <v/>
      </c>
      <c r="O44">
        <f>IF($V44="","",Settings!$C$6)</f>
        <v/>
      </c>
      <c r="P44" s="7">
        <f>IF($V44="","",SUMIFS('Per Line'!$AC$2:$AC$1501,'Per Line'!$C$2:$C$1501,$C44,'Per Line'!$AK$2:$AK$1501,1))</f>
        <v/>
      </c>
      <c r="Q44" s="7">
        <f>IF($V44="","",P44*O44)</f>
        <v/>
      </c>
      <c r="R44" s="7">
        <f>IF($V44="","",Q44+N44)</f>
        <v/>
      </c>
      <c r="S44" s="7">
        <f>IF($V44="","",T44-R44)</f>
        <v/>
      </c>
      <c r="T44" s="7">
        <f>IF($V44="","",M44+P44)</f>
        <v/>
      </c>
      <c r="U44" s="7">
        <f>IF($V44="","",T44-R44-K44)</f>
        <v/>
      </c>
      <c r="V44" s="13">
        <f>IF(ROWS($V$2:$V44)&lt;=MAX('Per Line'!$AJ$2:$AJ$1501),MATCH(ROWS($V$2:$V44),'Per Line'!$AJ$2:$AJ$1501,0),"")</f>
        <v/>
      </c>
    </row>
    <row r="45">
      <c r="A45" s="12" t="n"/>
      <c r="B45">
        <f>IF($V45="","",INDEX('Per Line'!$A$2:$A$1501,$V45)&amp;"")</f>
        <v/>
      </c>
      <c r="C45">
        <f>IF($V45="","",INDEX('Per Line'!$C$2:$C$1501,$V45)&amp;"")</f>
        <v/>
      </c>
      <c r="D45" s="11">
        <f>IF($V45="","",INDEX('Per Line'!$S$2:$S$1501,$V45))</f>
        <v/>
      </c>
      <c r="E45">
        <f>IF($V45="","",INDEX('Per Line'!$F$2:$F$1501,$V45)&amp;"")</f>
        <v/>
      </c>
      <c r="F45">
        <f>IF($V45="","",INDEX('Per Line'!$L$2:$L$1501,$V45)&amp;"")</f>
        <v/>
      </c>
      <c r="G45">
        <f>IF($V45="","",INDEX('Per Line'!$O$2:$O$1501,$V45)&amp;"")</f>
        <v/>
      </c>
      <c r="H45">
        <f>IF($V45="","",INDEX('Per Line'!$P$2:$P$1501,$V45)&amp;"")</f>
        <v/>
      </c>
      <c r="I45">
        <f>IF($V45="","",INDEX('Per Line'!$N$2:$N$1501,$V45)&amp;"")</f>
        <v/>
      </c>
      <c r="J45">
        <f>IF($V45="","",INDEX('Per Line'!$Q$2:$Q$1501,$V45))</f>
        <v/>
      </c>
      <c r="K45" s="7">
        <f>IF($V45="","",J45*T45/100)</f>
        <v/>
      </c>
      <c r="L45">
        <f>IF($V45="","",Settings!$C$7)</f>
        <v/>
      </c>
      <c r="M45" s="7">
        <f>IF($V45="","",SUMIFS('Per Line'!$AC$2:$AC$1501,'Per Line'!$C$2:$C$1501,$C45,'Per Line'!$AK$2:$AK$1501,0))</f>
        <v/>
      </c>
      <c r="N45" s="7">
        <f>IF($V45="","",M45*L45)</f>
        <v/>
      </c>
      <c r="O45">
        <f>IF($V45="","",Settings!$C$6)</f>
        <v/>
      </c>
      <c r="P45" s="7">
        <f>IF($V45="","",SUMIFS('Per Line'!$AC$2:$AC$1501,'Per Line'!$C$2:$C$1501,$C45,'Per Line'!$AK$2:$AK$1501,1))</f>
        <v/>
      </c>
      <c r="Q45" s="7">
        <f>IF($V45="","",P45*O45)</f>
        <v/>
      </c>
      <c r="R45" s="7">
        <f>IF($V45="","",Q45+N45)</f>
        <v/>
      </c>
      <c r="S45" s="7">
        <f>IF($V45="","",T45-R45)</f>
        <v/>
      </c>
      <c r="T45" s="7">
        <f>IF($V45="","",M45+P45)</f>
        <v/>
      </c>
      <c r="U45" s="7">
        <f>IF($V45="","",T45-R45-K45)</f>
        <v/>
      </c>
      <c r="V45" s="13">
        <f>IF(ROWS($V$2:$V45)&lt;=MAX('Per Line'!$AJ$2:$AJ$1501),MATCH(ROWS($V$2:$V45),'Per Line'!$AJ$2:$AJ$1501,0),"")</f>
        <v/>
      </c>
    </row>
    <row r="46">
      <c r="A46" s="12" t="n"/>
      <c r="B46">
        <f>IF($V46="","",INDEX('Per Line'!$A$2:$A$1501,$V46)&amp;"")</f>
        <v/>
      </c>
      <c r="C46">
        <f>IF($V46="","",INDEX('Per Line'!$C$2:$C$1501,$V46)&amp;"")</f>
        <v/>
      </c>
      <c r="D46" s="11">
        <f>IF($V46="","",INDEX('Per Line'!$S$2:$S$1501,$V46))</f>
        <v/>
      </c>
      <c r="E46">
        <f>IF($V46="","",INDEX('Per Line'!$F$2:$F$1501,$V46)&amp;"")</f>
        <v/>
      </c>
      <c r="F46">
        <f>IF($V46="","",INDEX('Per Line'!$L$2:$L$1501,$V46)&amp;"")</f>
        <v/>
      </c>
      <c r="G46">
        <f>IF($V46="","",INDEX('Per Line'!$O$2:$O$1501,$V46)&amp;"")</f>
        <v/>
      </c>
      <c r="H46">
        <f>IF($V46="","",INDEX('Per Line'!$P$2:$P$1501,$V46)&amp;"")</f>
        <v/>
      </c>
      <c r="I46">
        <f>IF($V46="","",INDEX('Per Line'!$N$2:$N$1501,$V46)&amp;"")</f>
        <v/>
      </c>
      <c r="J46">
        <f>IF($V46="","",INDEX('Per Line'!$Q$2:$Q$1501,$V46))</f>
        <v/>
      </c>
      <c r="K46" s="7">
        <f>IF($V46="","",J46*T46/100)</f>
        <v/>
      </c>
      <c r="L46">
        <f>IF($V46="","",Settings!$C$7)</f>
        <v/>
      </c>
      <c r="M46" s="7">
        <f>IF($V46="","",SUMIFS('Per Line'!$AC$2:$AC$1501,'Per Line'!$C$2:$C$1501,$C46,'Per Line'!$AK$2:$AK$1501,0))</f>
        <v/>
      </c>
      <c r="N46" s="7">
        <f>IF($V46="","",M46*L46)</f>
        <v/>
      </c>
      <c r="O46">
        <f>IF($V46="","",Settings!$C$6)</f>
        <v/>
      </c>
      <c r="P46" s="7">
        <f>IF($V46="","",SUMIFS('Per Line'!$AC$2:$AC$1501,'Per Line'!$C$2:$C$1501,$C46,'Per Line'!$AK$2:$AK$1501,1))</f>
        <v/>
      </c>
      <c r="Q46" s="7">
        <f>IF($V46="","",P46*O46)</f>
        <v/>
      </c>
      <c r="R46" s="7">
        <f>IF($V46="","",Q46+N46)</f>
        <v/>
      </c>
      <c r="S46" s="7">
        <f>IF($V46="","",T46-R46)</f>
        <v/>
      </c>
      <c r="T46" s="7">
        <f>IF($V46="","",M46+P46)</f>
        <v/>
      </c>
      <c r="U46" s="7">
        <f>IF($V46="","",T46-R46-K46)</f>
        <v/>
      </c>
      <c r="V46" s="13">
        <f>IF(ROWS($V$2:$V46)&lt;=MAX('Per Line'!$AJ$2:$AJ$1501),MATCH(ROWS($V$2:$V46),'Per Line'!$AJ$2:$AJ$1501,0),"")</f>
        <v/>
      </c>
    </row>
    <row r="47">
      <c r="A47" s="12" t="n"/>
      <c r="B47">
        <f>IF($V47="","",INDEX('Per Line'!$A$2:$A$1501,$V47)&amp;"")</f>
        <v/>
      </c>
      <c r="C47">
        <f>IF($V47="","",INDEX('Per Line'!$C$2:$C$1501,$V47)&amp;"")</f>
        <v/>
      </c>
      <c r="D47" s="11">
        <f>IF($V47="","",INDEX('Per Line'!$S$2:$S$1501,$V47))</f>
        <v/>
      </c>
      <c r="E47">
        <f>IF($V47="","",INDEX('Per Line'!$F$2:$F$1501,$V47)&amp;"")</f>
        <v/>
      </c>
      <c r="F47">
        <f>IF($V47="","",INDEX('Per Line'!$L$2:$L$1501,$V47)&amp;"")</f>
        <v/>
      </c>
      <c r="G47">
        <f>IF($V47="","",INDEX('Per Line'!$O$2:$O$1501,$V47)&amp;"")</f>
        <v/>
      </c>
      <c r="H47">
        <f>IF($V47="","",INDEX('Per Line'!$P$2:$P$1501,$V47)&amp;"")</f>
        <v/>
      </c>
      <c r="I47">
        <f>IF($V47="","",INDEX('Per Line'!$N$2:$N$1501,$V47)&amp;"")</f>
        <v/>
      </c>
      <c r="J47">
        <f>IF($V47="","",INDEX('Per Line'!$Q$2:$Q$1501,$V47))</f>
        <v/>
      </c>
      <c r="K47" s="7">
        <f>IF($V47="","",J47*T47/100)</f>
        <v/>
      </c>
      <c r="L47">
        <f>IF($V47="","",Settings!$C$7)</f>
        <v/>
      </c>
      <c r="M47" s="7">
        <f>IF($V47="","",SUMIFS('Per Line'!$AC$2:$AC$1501,'Per Line'!$C$2:$C$1501,$C47,'Per Line'!$AK$2:$AK$1501,0))</f>
        <v/>
      </c>
      <c r="N47" s="7">
        <f>IF($V47="","",M47*L47)</f>
        <v/>
      </c>
      <c r="O47">
        <f>IF($V47="","",Settings!$C$6)</f>
        <v/>
      </c>
      <c r="P47" s="7">
        <f>IF($V47="","",SUMIFS('Per Line'!$AC$2:$AC$1501,'Per Line'!$C$2:$C$1501,$C47,'Per Line'!$AK$2:$AK$1501,1))</f>
        <v/>
      </c>
      <c r="Q47" s="7">
        <f>IF($V47="","",P47*O47)</f>
        <v/>
      </c>
      <c r="R47" s="7">
        <f>IF($V47="","",Q47+N47)</f>
        <v/>
      </c>
      <c r="S47" s="7">
        <f>IF($V47="","",T47-R47)</f>
        <v/>
      </c>
      <c r="T47" s="7">
        <f>IF($V47="","",M47+P47)</f>
        <v/>
      </c>
      <c r="U47" s="7">
        <f>IF($V47="","",T47-R47-K47)</f>
        <v/>
      </c>
      <c r="V47" s="13">
        <f>IF(ROWS($V$2:$V47)&lt;=MAX('Per Line'!$AJ$2:$AJ$1501),MATCH(ROWS($V$2:$V47),'Per Line'!$AJ$2:$AJ$1501,0),"")</f>
        <v/>
      </c>
    </row>
    <row r="48">
      <c r="A48" s="12" t="n"/>
      <c r="B48">
        <f>IF($V48="","",INDEX('Per Line'!$A$2:$A$1501,$V48)&amp;"")</f>
        <v/>
      </c>
      <c r="C48">
        <f>IF($V48="","",INDEX('Per Line'!$C$2:$C$1501,$V48)&amp;"")</f>
        <v/>
      </c>
      <c r="D48" s="11">
        <f>IF($V48="","",INDEX('Per Line'!$S$2:$S$1501,$V48))</f>
        <v/>
      </c>
      <c r="E48">
        <f>IF($V48="","",INDEX('Per Line'!$F$2:$F$1501,$V48)&amp;"")</f>
        <v/>
      </c>
      <c r="F48">
        <f>IF($V48="","",INDEX('Per Line'!$L$2:$L$1501,$V48)&amp;"")</f>
        <v/>
      </c>
      <c r="G48">
        <f>IF($V48="","",INDEX('Per Line'!$O$2:$O$1501,$V48)&amp;"")</f>
        <v/>
      </c>
      <c r="H48">
        <f>IF($V48="","",INDEX('Per Line'!$P$2:$P$1501,$V48)&amp;"")</f>
        <v/>
      </c>
      <c r="I48">
        <f>IF($V48="","",INDEX('Per Line'!$N$2:$N$1501,$V48)&amp;"")</f>
        <v/>
      </c>
      <c r="J48">
        <f>IF($V48="","",INDEX('Per Line'!$Q$2:$Q$1501,$V48))</f>
        <v/>
      </c>
      <c r="K48" s="7">
        <f>IF($V48="","",J48*T48/100)</f>
        <v/>
      </c>
      <c r="L48">
        <f>IF($V48="","",Settings!$C$7)</f>
        <v/>
      </c>
      <c r="M48" s="7">
        <f>IF($V48="","",SUMIFS('Per Line'!$AC$2:$AC$1501,'Per Line'!$C$2:$C$1501,$C48,'Per Line'!$AK$2:$AK$1501,0))</f>
        <v/>
      </c>
      <c r="N48" s="7">
        <f>IF($V48="","",M48*L48)</f>
        <v/>
      </c>
      <c r="O48">
        <f>IF($V48="","",Settings!$C$6)</f>
        <v/>
      </c>
      <c r="P48" s="7">
        <f>IF($V48="","",SUMIFS('Per Line'!$AC$2:$AC$1501,'Per Line'!$C$2:$C$1501,$C48,'Per Line'!$AK$2:$AK$1501,1))</f>
        <v/>
      </c>
      <c r="Q48" s="7">
        <f>IF($V48="","",P48*O48)</f>
        <v/>
      </c>
      <c r="R48" s="7">
        <f>IF($V48="","",Q48+N48)</f>
        <v/>
      </c>
      <c r="S48" s="7">
        <f>IF($V48="","",T48-R48)</f>
        <v/>
      </c>
      <c r="T48" s="7">
        <f>IF($V48="","",M48+P48)</f>
        <v/>
      </c>
      <c r="U48" s="7">
        <f>IF($V48="","",T48-R48-K48)</f>
        <v/>
      </c>
      <c r="V48" s="13">
        <f>IF(ROWS($V$2:$V48)&lt;=MAX('Per Line'!$AJ$2:$AJ$1501),MATCH(ROWS($V$2:$V48),'Per Line'!$AJ$2:$AJ$1501,0),"")</f>
        <v/>
      </c>
    </row>
    <row r="49">
      <c r="A49" s="12" t="n"/>
      <c r="B49">
        <f>IF($V49="","",INDEX('Per Line'!$A$2:$A$1501,$V49)&amp;"")</f>
        <v/>
      </c>
      <c r="C49">
        <f>IF($V49="","",INDEX('Per Line'!$C$2:$C$1501,$V49)&amp;"")</f>
        <v/>
      </c>
      <c r="D49" s="11">
        <f>IF($V49="","",INDEX('Per Line'!$S$2:$S$1501,$V49))</f>
        <v/>
      </c>
      <c r="E49">
        <f>IF($V49="","",INDEX('Per Line'!$F$2:$F$1501,$V49)&amp;"")</f>
        <v/>
      </c>
      <c r="F49">
        <f>IF($V49="","",INDEX('Per Line'!$L$2:$L$1501,$V49)&amp;"")</f>
        <v/>
      </c>
      <c r="G49">
        <f>IF($V49="","",INDEX('Per Line'!$O$2:$O$1501,$V49)&amp;"")</f>
        <v/>
      </c>
      <c r="H49">
        <f>IF($V49="","",INDEX('Per Line'!$P$2:$P$1501,$V49)&amp;"")</f>
        <v/>
      </c>
      <c r="I49">
        <f>IF($V49="","",INDEX('Per Line'!$N$2:$N$1501,$V49)&amp;"")</f>
        <v/>
      </c>
      <c r="J49">
        <f>IF($V49="","",INDEX('Per Line'!$Q$2:$Q$1501,$V49))</f>
        <v/>
      </c>
      <c r="K49" s="7">
        <f>IF($V49="","",J49*T49/100)</f>
        <v/>
      </c>
      <c r="L49">
        <f>IF($V49="","",Settings!$C$7)</f>
        <v/>
      </c>
      <c r="M49" s="7">
        <f>IF($V49="","",SUMIFS('Per Line'!$AC$2:$AC$1501,'Per Line'!$C$2:$C$1501,$C49,'Per Line'!$AK$2:$AK$1501,0))</f>
        <v/>
      </c>
      <c r="N49" s="7">
        <f>IF($V49="","",M49*L49)</f>
        <v/>
      </c>
      <c r="O49">
        <f>IF($V49="","",Settings!$C$6)</f>
        <v/>
      </c>
      <c r="P49" s="7">
        <f>IF($V49="","",SUMIFS('Per Line'!$AC$2:$AC$1501,'Per Line'!$C$2:$C$1501,$C49,'Per Line'!$AK$2:$AK$1501,1))</f>
        <v/>
      </c>
      <c r="Q49" s="7">
        <f>IF($V49="","",P49*O49)</f>
        <v/>
      </c>
      <c r="R49" s="7">
        <f>IF($V49="","",Q49+N49)</f>
        <v/>
      </c>
      <c r="S49" s="7">
        <f>IF($V49="","",T49-R49)</f>
        <v/>
      </c>
      <c r="T49" s="7">
        <f>IF($V49="","",M49+P49)</f>
        <v/>
      </c>
      <c r="U49" s="7">
        <f>IF($V49="","",T49-R49-K49)</f>
        <v/>
      </c>
      <c r="V49" s="13">
        <f>IF(ROWS($V$2:$V49)&lt;=MAX('Per Line'!$AJ$2:$AJ$1501),MATCH(ROWS($V$2:$V49),'Per Line'!$AJ$2:$AJ$1501,0),"")</f>
        <v/>
      </c>
    </row>
    <row r="50">
      <c r="A50" s="12" t="n"/>
      <c r="B50">
        <f>IF($V50="","",INDEX('Per Line'!$A$2:$A$1501,$V50)&amp;"")</f>
        <v/>
      </c>
      <c r="C50">
        <f>IF($V50="","",INDEX('Per Line'!$C$2:$C$1501,$V50)&amp;"")</f>
        <v/>
      </c>
      <c r="D50" s="11">
        <f>IF($V50="","",INDEX('Per Line'!$S$2:$S$1501,$V50))</f>
        <v/>
      </c>
      <c r="E50">
        <f>IF($V50="","",INDEX('Per Line'!$F$2:$F$1501,$V50)&amp;"")</f>
        <v/>
      </c>
      <c r="F50">
        <f>IF($V50="","",INDEX('Per Line'!$L$2:$L$1501,$V50)&amp;"")</f>
        <v/>
      </c>
      <c r="G50">
        <f>IF($V50="","",INDEX('Per Line'!$O$2:$O$1501,$V50)&amp;"")</f>
        <v/>
      </c>
      <c r="H50">
        <f>IF($V50="","",INDEX('Per Line'!$P$2:$P$1501,$V50)&amp;"")</f>
        <v/>
      </c>
      <c r="I50">
        <f>IF($V50="","",INDEX('Per Line'!$N$2:$N$1501,$V50)&amp;"")</f>
        <v/>
      </c>
      <c r="J50">
        <f>IF($V50="","",INDEX('Per Line'!$Q$2:$Q$1501,$V50))</f>
        <v/>
      </c>
      <c r="K50" s="7">
        <f>IF($V50="","",J50*T50/100)</f>
        <v/>
      </c>
      <c r="L50">
        <f>IF($V50="","",Settings!$C$7)</f>
        <v/>
      </c>
      <c r="M50" s="7">
        <f>IF($V50="","",SUMIFS('Per Line'!$AC$2:$AC$1501,'Per Line'!$C$2:$C$1501,$C50,'Per Line'!$AK$2:$AK$1501,0))</f>
        <v/>
      </c>
      <c r="N50" s="7">
        <f>IF($V50="","",M50*L50)</f>
        <v/>
      </c>
      <c r="O50">
        <f>IF($V50="","",Settings!$C$6)</f>
        <v/>
      </c>
      <c r="P50" s="7">
        <f>IF($V50="","",SUMIFS('Per Line'!$AC$2:$AC$1501,'Per Line'!$C$2:$C$1501,$C50,'Per Line'!$AK$2:$AK$1501,1))</f>
        <v/>
      </c>
      <c r="Q50" s="7">
        <f>IF($V50="","",P50*O50)</f>
        <v/>
      </c>
      <c r="R50" s="7">
        <f>IF($V50="","",Q50+N50)</f>
        <v/>
      </c>
      <c r="S50" s="7">
        <f>IF($V50="","",T50-R50)</f>
        <v/>
      </c>
      <c r="T50" s="7">
        <f>IF($V50="","",M50+P50)</f>
        <v/>
      </c>
      <c r="U50" s="7">
        <f>IF($V50="","",T50-R50-K50)</f>
        <v/>
      </c>
      <c r="V50" s="13">
        <f>IF(ROWS($V$2:$V50)&lt;=MAX('Per Line'!$AJ$2:$AJ$1501),MATCH(ROWS($V$2:$V50),'Per Line'!$AJ$2:$AJ$1501,0),"")</f>
        <v/>
      </c>
    </row>
    <row r="51">
      <c r="A51" s="12" t="n"/>
      <c r="B51">
        <f>IF($V51="","",INDEX('Per Line'!$A$2:$A$1501,$V51)&amp;"")</f>
        <v/>
      </c>
      <c r="C51">
        <f>IF($V51="","",INDEX('Per Line'!$C$2:$C$1501,$V51)&amp;"")</f>
        <v/>
      </c>
      <c r="D51" s="11">
        <f>IF($V51="","",INDEX('Per Line'!$S$2:$S$1501,$V51))</f>
        <v/>
      </c>
      <c r="E51">
        <f>IF($V51="","",INDEX('Per Line'!$F$2:$F$1501,$V51)&amp;"")</f>
        <v/>
      </c>
      <c r="F51">
        <f>IF($V51="","",INDEX('Per Line'!$L$2:$L$1501,$V51)&amp;"")</f>
        <v/>
      </c>
      <c r="G51">
        <f>IF($V51="","",INDEX('Per Line'!$O$2:$O$1501,$V51)&amp;"")</f>
        <v/>
      </c>
      <c r="H51">
        <f>IF($V51="","",INDEX('Per Line'!$P$2:$P$1501,$V51)&amp;"")</f>
        <v/>
      </c>
      <c r="I51">
        <f>IF($V51="","",INDEX('Per Line'!$N$2:$N$1501,$V51)&amp;"")</f>
        <v/>
      </c>
      <c r="J51">
        <f>IF($V51="","",INDEX('Per Line'!$Q$2:$Q$1501,$V51))</f>
        <v/>
      </c>
      <c r="K51" s="7">
        <f>IF($V51="","",J51*T51/100)</f>
        <v/>
      </c>
      <c r="L51">
        <f>IF($V51="","",Settings!$C$7)</f>
        <v/>
      </c>
      <c r="M51" s="7">
        <f>IF($V51="","",SUMIFS('Per Line'!$AC$2:$AC$1501,'Per Line'!$C$2:$C$1501,$C51,'Per Line'!$AK$2:$AK$1501,0))</f>
        <v/>
      </c>
      <c r="N51" s="7">
        <f>IF($V51="","",M51*L51)</f>
        <v/>
      </c>
      <c r="O51">
        <f>IF($V51="","",Settings!$C$6)</f>
        <v/>
      </c>
      <c r="P51" s="7">
        <f>IF($V51="","",SUMIFS('Per Line'!$AC$2:$AC$1501,'Per Line'!$C$2:$C$1501,$C51,'Per Line'!$AK$2:$AK$1501,1))</f>
        <v/>
      </c>
      <c r="Q51" s="7">
        <f>IF($V51="","",P51*O51)</f>
        <v/>
      </c>
      <c r="R51" s="7">
        <f>IF($V51="","",Q51+N51)</f>
        <v/>
      </c>
      <c r="S51" s="7">
        <f>IF($V51="","",T51-R51)</f>
        <v/>
      </c>
      <c r="T51" s="7">
        <f>IF($V51="","",M51+P51)</f>
        <v/>
      </c>
      <c r="U51" s="7">
        <f>IF($V51="","",T51-R51-K51)</f>
        <v/>
      </c>
      <c r="V51" s="13">
        <f>IF(ROWS($V$2:$V51)&lt;=MAX('Per Line'!$AJ$2:$AJ$1501),MATCH(ROWS($V$2:$V51),'Per Line'!$AJ$2:$AJ$1501,0),"")</f>
        <v/>
      </c>
    </row>
    <row r="52">
      <c r="A52" s="12" t="n"/>
      <c r="B52">
        <f>IF($V52="","",INDEX('Per Line'!$A$2:$A$1501,$V52)&amp;"")</f>
        <v/>
      </c>
      <c r="C52">
        <f>IF($V52="","",INDEX('Per Line'!$C$2:$C$1501,$V52)&amp;"")</f>
        <v/>
      </c>
      <c r="D52" s="11">
        <f>IF($V52="","",INDEX('Per Line'!$S$2:$S$1501,$V52))</f>
        <v/>
      </c>
      <c r="E52">
        <f>IF($V52="","",INDEX('Per Line'!$F$2:$F$1501,$V52)&amp;"")</f>
        <v/>
      </c>
      <c r="F52">
        <f>IF($V52="","",INDEX('Per Line'!$L$2:$L$1501,$V52)&amp;"")</f>
        <v/>
      </c>
      <c r="G52">
        <f>IF($V52="","",INDEX('Per Line'!$O$2:$O$1501,$V52)&amp;"")</f>
        <v/>
      </c>
      <c r="H52">
        <f>IF($V52="","",INDEX('Per Line'!$P$2:$P$1501,$V52)&amp;"")</f>
        <v/>
      </c>
      <c r="I52">
        <f>IF($V52="","",INDEX('Per Line'!$N$2:$N$1501,$V52)&amp;"")</f>
        <v/>
      </c>
      <c r="J52">
        <f>IF($V52="","",INDEX('Per Line'!$Q$2:$Q$1501,$V52))</f>
        <v/>
      </c>
      <c r="K52" s="7">
        <f>IF($V52="","",J52*T52/100)</f>
        <v/>
      </c>
      <c r="L52">
        <f>IF($V52="","",Settings!$C$7)</f>
        <v/>
      </c>
      <c r="M52" s="7">
        <f>IF($V52="","",SUMIFS('Per Line'!$AC$2:$AC$1501,'Per Line'!$C$2:$C$1501,$C52,'Per Line'!$AK$2:$AK$1501,0))</f>
        <v/>
      </c>
      <c r="N52" s="7">
        <f>IF($V52="","",M52*L52)</f>
        <v/>
      </c>
      <c r="O52">
        <f>IF($V52="","",Settings!$C$6)</f>
        <v/>
      </c>
      <c r="P52" s="7">
        <f>IF($V52="","",SUMIFS('Per Line'!$AC$2:$AC$1501,'Per Line'!$C$2:$C$1501,$C52,'Per Line'!$AK$2:$AK$1501,1))</f>
        <v/>
      </c>
      <c r="Q52" s="7">
        <f>IF($V52="","",P52*O52)</f>
        <v/>
      </c>
      <c r="R52" s="7">
        <f>IF($V52="","",Q52+N52)</f>
        <v/>
      </c>
      <c r="S52" s="7">
        <f>IF($V52="","",T52-R52)</f>
        <v/>
      </c>
      <c r="T52" s="7">
        <f>IF($V52="","",M52+P52)</f>
        <v/>
      </c>
      <c r="U52" s="7">
        <f>IF($V52="","",T52-R52-K52)</f>
        <v/>
      </c>
      <c r="V52" s="13">
        <f>IF(ROWS($V$2:$V52)&lt;=MAX('Per Line'!$AJ$2:$AJ$1501),MATCH(ROWS($V$2:$V52),'Per Line'!$AJ$2:$AJ$1501,0),"")</f>
        <v/>
      </c>
    </row>
    <row r="53">
      <c r="A53" s="12" t="n"/>
      <c r="B53">
        <f>IF($V53="","",INDEX('Per Line'!$A$2:$A$1501,$V53)&amp;"")</f>
        <v/>
      </c>
      <c r="C53">
        <f>IF($V53="","",INDEX('Per Line'!$C$2:$C$1501,$V53)&amp;"")</f>
        <v/>
      </c>
      <c r="D53" s="11">
        <f>IF($V53="","",INDEX('Per Line'!$S$2:$S$1501,$V53))</f>
        <v/>
      </c>
      <c r="E53">
        <f>IF($V53="","",INDEX('Per Line'!$F$2:$F$1501,$V53)&amp;"")</f>
        <v/>
      </c>
      <c r="F53">
        <f>IF($V53="","",INDEX('Per Line'!$L$2:$L$1501,$V53)&amp;"")</f>
        <v/>
      </c>
      <c r="G53">
        <f>IF($V53="","",INDEX('Per Line'!$O$2:$O$1501,$V53)&amp;"")</f>
        <v/>
      </c>
      <c r="H53">
        <f>IF($V53="","",INDEX('Per Line'!$P$2:$P$1501,$V53)&amp;"")</f>
        <v/>
      </c>
      <c r="I53">
        <f>IF($V53="","",INDEX('Per Line'!$N$2:$N$1501,$V53)&amp;"")</f>
        <v/>
      </c>
      <c r="J53">
        <f>IF($V53="","",INDEX('Per Line'!$Q$2:$Q$1501,$V53))</f>
        <v/>
      </c>
      <c r="K53" s="7">
        <f>IF($V53="","",J53*T53/100)</f>
        <v/>
      </c>
      <c r="L53">
        <f>IF($V53="","",Settings!$C$7)</f>
        <v/>
      </c>
      <c r="M53" s="7">
        <f>IF($V53="","",SUMIFS('Per Line'!$AC$2:$AC$1501,'Per Line'!$C$2:$C$1501,$C53,'Per Line'!$AK$2:$AK$1501,0))</f>
        <v/>
      </c>
      <c r="N53" s="7">
        <f>IF($V53="","",M53*L53)</f>
        <v/>
      </c>
      <c r="O53">
        <f>IF($V53="","",Settings!$C$6)</f>
        <v/>
      </c>
      <c r="P53" s="7">
        <f>IF($V53="","",SUMIFS('Per Line'!$AC$2:$AC$1501,'Per Line'!$C$2:$C$1501,$C53,'Per Line'!$AK$2:$AK$1501,1))</f>
        <v/>
      </c>
      <c r="Q53" s="7">
        <f>IF($V53="","",P53*O53)</f>
        <v/>
      </c>
      <c r="R53" s="7">
        <f>IF($V53="","",Q53+N53)</f>
        <v/>
      </c>
      <c r="S53" s="7">
        <f>IF($V53="","",T53-R53)</f>
        <v/>
      </c>
      <c r="T53" s="7">
        <f>IF($V53="","",M53+P53)</f>
        <v/>
      </c>
      <c r="U53" s="7">
        <f>IF($V53="","",T53-R53-K53)</f>
        <v/>
      </c>
      <c r="V53" s="13">
        <f>IF(ROWS($V$2:$V53)&lt;=MAX('Per Line'!$AJ$2:$AJ$1501),MATCH(ROWS($V$2:$V53),'Per Line'!$AJ$2:$AJ$1501,0),"")</f>
        <v/>
      </c>
    </row>
    <row r="54">
      <c r="A54" s="12" t="n"/>
      <c r="B54">
        <f>IF($V54="","",INDEX('Per Line'!$A$2:$A$1501,$V54)&amp;"")</f>
        <v/>
      </c>
      <c r="C54">
        <f>IF($V54="","",INDEX('Per Line'!$C$2:$C$1501,$V54)&amp;"")</f>
        <v/>
      </c>
      <c r="D54" s="11">
        <f>IF($V54="","",INDEX('Per Line'!$S$2:$S$1501,$V54))</f>
        <v/>
      </c>
      <c r="E54">
        <f>IF($V54="","",INDEX('Per Line'!$F$2:$F$1501,$V54)&amp;"")</f>
        <v/>
      </c>
      <c r="F54">
        <f>IF($V54="","",INDEX('Per Line'!$L$2:$L$1501,$V54)&amp;"")</f>
        <v/>
      </c>
      <c r="G54">
        <f>IF($V54="","",INDEX('Per Line'!$O$2:$O$1501,$V54)&amp;"")</f>
        <v/>
      </c>
      <c r="H54">
        <f>IF($V54="","",INDEX('Per Line'!$P$2:$P$1501,$V54)&amp;"")</f>
        <v/>
      </c>
      <c r="I54">
        <f>IF($V54="","",INDEX('Per Line'!$N$2:$N$1501,$V54)&amp;"")</f>
        <v/>
      </c>
      <c r="J54">
        <f>IF($V54="","",INDEX('Per Line'!$Q$2:$Q$1501,$V54))</f>
        <v/>
      </c>
      <c r="K54" s="7">
        <f>IF($V54="","",J54*T54/100)</f>
        <v/>
      </c>
      <c r="L54">
        <f>IF($V54="","",Settings!$C$7)</f>
        <v/>
      </c>
      <c r="M54" s="7">
        <f>IF($V54="","",SUMIFS('Per Line'!$AC$2:$AC$1501,'Per Line'!$C$2:$C$1501,$C54,'Per Line'!$AK$2:$AK$1501,0))</f>
        <v/>
      </c>
      <c r="N54" s="7">
        <f>IF($V54="","",M54*L54)</f>
        <v/>
      </c>
      <c r="O54">
        <f>IF($V54="","",Settings!$C$6)</f>
        <v/>
      </c>
      <c r="P54" s="7">
        <f>IF($V54="","",SUMIFS('Per Line'!$AC$2:$AC$1501,'Per Line'!$C$2:$C$1501,$C54,'Per Line'!$AK$2:$AK$1501,1))</f>
        <v/>
      </c>
      <c r="Q54" s="7">
        <f>IF($V54="","",P54*O54)</f>
        <v/>
      </c>
      <c r="R54" s="7">
        <f>IF($V54="","",Q54+N54)</f>
        <v/>
      </c>
      <c r="S54" s="7">
        <f>IF($V54="","",T54-R54)</f>
        <v/>
      </c>
      <c r="T54" s="7">
        <f>IF($V54="","",M54+P54)</f>
        <v/>
      </c>
      <c r="U54" s="7">
        <f>IF($V54="","",T54-R54-K54)</f>
        <v/>
      </c>
      <c r="V54" s="13">
        <f>IF(ROWS($V$2:$V54)&lt;=MAX('Per Line'!$AJ$2:$AJ$1501),MATCH(ROWS($V$2:$V54),'Per Line'!$AJ$2:$AJ$1501,0),"")</f>
        <v/>
      </c>
    </row>
    <row r="55">
      <c r="A55" s="12" t="n"/>
      <c r="B55">
        <f>IF($V55="","",INDEX('Per Line'!$A$2:$A$1501,$V55)&amp;"")</f>
        <v/>
      </c>
      <c r="C55">
        <f>IF($V55="","",INDEX('Per Line'!$C$2:$C$1501,$V55)&amp;"")</f>
        <v/>
      </c>
      <c r="D55" s="11">
        <f>IF($V55="","",INDEX('Per Line'!$S$2:$S$1501,$V55))</f>
        <v/>
      </c>
      <c r="E55">
        <f>IF($V55="","",INDEX('Per Line'!$F$2:$F$1501,$V55)&amp;"")</f>
        <v/>
      </c>
      <c r="F55">
        <f>IF($V55="","",INDEX('Per Line'!$L$2:$L$1501,$V55)&amp;"")</f>
        <v/>
      </c>
      <c r="G55">
        <f>IF($V55="","",INDEX('Per Line'!$O$2:$O$1501,$V55)&amp;"")</f>
        <v/>
      </c>
      <c r="H55">
        <f>IF($V55="","",INDEX('Per Line'!$P$2:$P$1501,$V55)&amp;"")</f>
        <v/>
      </c>
      <c r="I55">
        <f>IF($V55="","",INDEX('Per Line'!$N$2:$N$1501,$V55)&amp;"")</f>
        <v/>
      </c>
      <c r="J55">
        <f>IF($V55="","",INDEX('Per Line'!$Q$2:$Q$1501,$V55))</f>
        <v/>
      </c>
      <c r="K55" s="7">
        <f>IF($V55="","",J55*T55/100)</f>
        <v/>
      </c>
      <c r="L55">
        <f>IF($V55="","",Settings!$C$7)</f>
        <v/>
      </c>
      <c r="M55" s="7">
        <f>IF($V55="","",SUMIFS('Per Line'!$AC$2:$AC$1501,'Per Line'!$C$2:$C$1501,$C55,'Per Line'!$AK$2:$AK$1501,0))</f>
        <v/>
      </c>
      <c r="N55" s="7">
        <f>IF($V55="","",M55*L55)</f>
        <v/>
      </c>
      <c r="O55">
        <f>IF($V55="","",Settings!$C$6)</f>
        <v/>
      </c>
      <c r="P55" s="7">
        <f>IF($V55="","",SUMIFS('Per Line'!$AC$2:$AC$1501,'Per Line'!$C$2:$C$1501,$C55,'Per Line'!$AK$2:$AK$1501,1))</f>
        <v/>
      </c>
      <c r="Q55" s="7">
        <f>IF($V55="","",P55*O55)</f>
        <v/>
      </c>
      <c r="R55" s="7">
        <f>IF($V55="","",Q55+N55)</f>
        <v/>
      </c>
      <c r="S55" s="7">
        <f>IF($V55="","",T55-R55)</f>
        <v/>
      </c>
      <c r="T55" s="7">
        <f>IF($V55="","",M55+P55)</f>
        <v/>
      </c>
      <c r="U55" s="7">
        <f>IF($V55="","",T55-R55-K55)</f>
        <v/>
      </c>
      <c r="V55" s="13">
        <f>IF(ROWS($V$2:$V55)&lt;=MAX('Per Line'!$AJ$2:$AJ$1501),MATCH(ROWS($V$2:$V55),'Per Line'!$AJ$2:$AJ$1501,0),"")</f>
        <v/>
      </c>
    </row>
    <row r="56">
      <c r="A56" s="12" t="n"/>
      <c r="B56">
        <f>IF($V56="","",INDEX('Per Line'!$A$2:$A$1501,$V56)&amp;"")</f>
        <v/>
      </c>
      <c r="C56">
        <f>IF($V56="","",INDEX('Per Line'!$C$2:$C$1501,$V56)&amp;"")</f>
        <v/>
      </c>
      <c r="D56" s="11">
        <f>IF($V56="","",INDEX('Per Line'!$S$2:$S$1501,$V56))</f>
        <v/>
      </c>
      <c r="E56">
        <f>IF($V56="","",INDEX('Per Line'!$F$2:$F$1501,$V56)&amp;"")</f>
        <v/>
      </c>
      <c r="F56">
        <f>IF($V56="","",INDEX('Per Line'!$L$2:$L$1501,$V56)&amp;"")</f>
        <v/>
      </c>
      <c r="G56">
        <f>IF($V56="","",INDEX('Per Line'!$O$2:$O$1501,$V56)&amp;"")</f>
        <v/>
      </c>
      <c r="H56">
        <f>IF($V56="","",INDEX('Per Line'!$P$2:$P$1501,$V56)&amp;"")</f>
        <v/>
      </c>
      <c r="I56">
        <f>IF($V56="","",INDEX('Per Line'!$N$2:$N$1501,$V56)&amp;"")</f>
        <v/>
      </c>
      <c r="J56">
        <f>IF($V56="","",INDEX('Per Line'!$Q$2:$Q$1501,$V56))</f>
        <v/>
      </c>
      <c r="K56" s="7">
        <f>IF($V56="","",J56*T56/100)</f>
        <v/>
      </c>
      <c r="L56">
        <f>IF($V56="","",Settings!$C$7)</f>
        <v/>
      </c>
      <c r="M56" s="7">
        <f>IF($V56="","",SUMIFS('Per Line'!$AC$2:$AC$1501,'Per Line'!$C$2:$C$1501,$C56,'Per Line'!$AK$2:$AK$1501,0))</f>
        <v/>
      </c>
      <c r="N56" s="7">
        <f>IF($V56="","",M56*L56)</f>
        <v/>
      </c>
      <c r="O56">
        <f>IF($V56="","",Settings!$C$6)</f>
        <v/>
      </c>
      <c r="P56" s="7">
        <f>IF($V56="","",SUMIFS('Per Line'!$AC$2:$AC$1501,'Per Line'!$C$2:$C$1501,$C56,'Per Line'!$AK$2:$AK$1501,1))</f>
        <v/>
      </c>
      <c r="Q56" s="7">
        <f>IF($V56="","",P56*O56)</f>
        <v/>
      </c>
      <c r="R56" s="7">
        <f>IF($V56="","",Q56+N56)</f>
        <v/>
      </c>
      <c r="S56" s="7">
        <f>IF($V56="","",T56-R56)</f>
        <v/>
      </c>
      <c r="T56" s="7">
        <f>IF($V56="","",M56+P56)</f>
        <v/>
      </c>
      <c r="U56" s="7">
        <f>IF($V56="","",T56-R56-K56)</f>
        <v/>
      </c>
      <c r="V56" s="13">
        <f>IF(ROWS($V$2:$V56)&lt;=MAX('Per Line'!$AJ$2:$AJ$1501),MATCH(ROWS($V$2:$V56),'Per Line'!$AJ$2:$AJ$1501,0),"")</f>
        <v/>
      </c>
    </row>
    <row r="57">
      <c r="A57" s="12" t="n"/>
      <c r="B57">
        <f>IF($V57="","",INDEX('Per Line'!$A$2:$A$1501,$V57)&amp;"")</f>
        <v/>
      </c>
      <c r="C57">
        <f>IF($V57="","",INDEX('Per Line'!$C$2:$C$1501,$V57)&amp;"")</f>
        <v/>
      </c>
      <c r="D57" s="11">
        <f>IF($V57="","",INDEX('Per Line'!$S$2:$S$1501,$V57))</f>
        <v/>
      </c>
      <c r="E57">
        <f>IF($V57="","",INDEX('Per Line'!$F$2:$F$1501,$V57)&amp;"")</f>
        <v/>
      </c>
      <c r="F57">
        <f>IF($V57="","",INDEX('Per Line'!$L$2:$L$1501,$V57)&amp;"")</f>
        <v/>
      </c>
      <c r="G57">
        <f>IF($V57="","",INDEX('Per Line'!$O$2:$O$1501,$V57)&amp;"")</f>
        <v/>
      </c>
      <c r="H57">
        <f>IF($V57="","",INDEX('Per Line'!$P$2:$P$1501,$V57)&amp;"")</f>
        <v/>
      </c>
      <c r="I57">
        <f>IF($V57="","",INDEX('Per Line'!$N$2:$N$1501,$V57)&amp;"")</f>
        <v/>
      </c>
      <c r="J57">
        <f>IF($V57="","",INDEX('Per Line'!$Q$2:$Q$1501,$V57))</f>
        <v/>
      </c>
      <c r="K57" s="7">
        <f>IF($V57="","",J57*T57/100)</f>
        <v/>
      </c>
      <c r="L57">
        <f>IF($V57="","",Settings!$C$7)</f>
        <v/>
      </c>
      <c r="M57" s="7">
        <f>IF($V57="","",SUMIFS('Per Line'!$AC$2:$AC$1501,'Per Line'!$C$2:$C$1501,$C57,'Per Line'!$AK$2:$AK$1501,0))</f>
        <v/>
      </c>
      <c r="N57" s="7">
        <f>IF($V57="","",M57*L57)</f>
        <v/>
      </c>
      <c r="O57">
        <f>IF($V57="","",Settings!$C$6)</f>
        <v/>
      </c>
      <c r="P57" s="7">
        <f>IF($V57="","",SUMIFS('Per Line'!$AC$2:$AC$1501,'Per Line'!$C$2:$C$1501,$C57,'Per Line'!$AK$2:$AK$1501,1))</f>
        <v/>
      </c>
      <c r="Q57" s="7">
        <f>IF($V57="","",P57*O57)</f>
        <v/>
      </c>
      <c r="R57" s="7">
        <f>IF($V57="","",Q57+N57)</f>
        <v/>
      </c>
      <c r="S57" s="7">
        <f>IF($V57="","",T57-R57)</f>
        <v/>
      </c>
      <c r="T57" s="7">
        <f>IF($V57="","",M57+P57)</f>
        <v/>
      </c>
      <c r="U57" s="7">
        <f>IF($V57="","",T57-R57-K57)</f>
        <v/>
      </c>
      <c r="V57" s="13">
        <f>IF(ROWS($V$2:$V57)&lt;=MAX('Per Line'!$AJ$2:$AJ$1501),MATCH(ROWS($V$2:$V57),'Per Line'!$AJ$2:$AJ$1501,0),"")</f>
        <v/>
      </c>
    </row>
    <row r="58">
      <c r="A58" s="12" t="n"/>
      <c r="B58">
        <f>IF($V58="","",INDEX('Per Line'!$A$2:$A$1501,$V58)&amp;"")</f>
        <v/>
      </c>
      <c r="C58">
        <f>IF($V58="","",INDEX('Per Line'!$C$2:$C$1501,$V58)&amp;"")</f>
        <v/>
      </c>
      <c r="D58" s="11">
        <f>IF($V58="","",INDEX('Per Line'!$S$2:$S$1501,$V58))</f>
        <v/>
      </c>
      <c r="E58">
        <f>IF($V58="","",INDEX('Per Line'!$F$2:$F$1501,$V58)&amp;"")</f>
        <v/>
      </c>
      <c r="F58">
        <f>IF($V58="","",INDEX('Per Line'!$L$2:$L$1501,$V58)&amp;"")</f>
        <v/>
      </c>
      <c r="G58">
        <f>IF($V58="","",INDEX('Per Line'!$O$2:$O$1501,$V58)&amp;"")</f>
        <v/>
      </c>
      <c r="H58">
        <f>IF($V58="","",INDEX('Per Line'!$P$2:$P$1501,$V58)&amp;"")</f>
        <v/>
      </c>
      <c r="I58">
        <f>IF($V58="","",INDEX('Per Line'!$N$2:$N$1501,$V58)&amp;"")</f>
        <v/>
      </c>
      <c r="J58">
        <f>IF($V58="","",INDEX('Per Line'!$Q$2:$Q$1501,$V58))</f>
        <v/>
      </c>
      <c r="K58" s="7">
        <f>IF($V58="","",J58*T58/100)</f>
        <v/>
      </c>
      <c r="L58">
        <f>IF($V58="","",Settings!$C$7)</f>
        <v/>
      </c>
      <c r="M58" s="7">
        <f>IF($V58="","",SUMIFS('Per Line'!$AC$2:$AC$1501,'Per Line'!$C$2:$C$1501,$C58,'Per Line'!$AK$2:$AK$1501,0))</f>
        <v/>
      </c>
      <c r="N58" s="7">
        <f>IF($V58="","",M58*L58)</f>
        <v/>
      </c>
      <c r="O58">
        <f>IF($V58="","",Settings!$C$6)</f>
        <v/>
      </c>
      <c r="P58" s="7">
        <f>IF($V58="","",SUMIFS('Per Line'!$AC$2:$AC$1501,'Per Line'!$C$2:$C$1501,$C58,'Per Line'!$AK$2:$AK$1501,1))</f>
        <v/>
      </c>
      <c r="Q58" s="7">
        <f>IF($V58="","",P58*O58)</f>
        <v/>
      </c>
      <c r="R58" s="7">
        <f>IF($V58="","",Q58+N58)</f>
        <v/>
      </c>
      <c r="S58" s="7">
        <f>IF($V58="","",T58-R58)</f>
        <v/>
      </c>
      <c r="T58" s="7">
        <f>IF($V58="","",M58+P58)</f>
        <v/>
      </c>
      <c r="U58" s="7">
        <f>IF($V58="","",T58-R58-K58)</f>
        <v/>
      </c>
      <c r="V58" s="13">
        <f>IF(ROWS($V$2:$V58)&lt;=MAX('Per Line'!$AJ$2:$AJ$1501),MATCH(ROWS($V$2:$V58),'Per Line'!$AJ$2:$AJ$1501,0),"")</f>
        <v/>
      </c>
    </row>
    <row r="59">
      <c r="A59" s="12" t="n"/>
      <c r="B59">
        <f>IF($V59="","",INDEX('Per Line'!$A$2:$A$1501,$V59)&amp;"")</f>
        <v/>
      </c>
      <c r="C59">
        <f>IF($V59="","",INDEX('Per Line'!$C$2:$C$1501,$V59)&amp;"")</f>
        <v/>
      </c>
      <c r="D59" s="11">
        <f>IF($V59="","",INDEX('Per Line'!$S$2:$S$1501,$V59))</f>
        <v/>
      </c>
      <c r="E59">
        <f>IF($V59="","",INDEX('Per Line'!$F$2:$F$1501,$V59)&amp;"")</f>
        <v/>
      </c>
      <c r="F59">
        <f>IF($V59="","",INDEX('Per Line'!$L$2:$L$1501,$V59)&amp;"")</f>
        <v/>
      </c>
      <c r="G59">
        <f>IF($V59="","",INDEX('Per Line'!$O$2:$O$1501,$V59)&amp;"")</f>
        <v/>
      </c>
      <c r="H59">
        <f>IF($V59="","",INDEX('Per Line'!$P$2:$P$1501,$V59)&amp;"")</f>
        <v/>
      </c>
      <c r="I59">
        <f>IF($V59="","",INDEX('Per Line'!$N$2:$N$1501,$V59)&amp;"")</f>
        <v/>
      </c>
      <c r="J59">
        <f>IF($V59="","",INDEX('Per Line'!$Q$2:$Q$1501,$V59))</f>
        <v/>
      </c>
      <c r="K59" s="7">
        <f>IF($V59="","",J59*T59/100)</f>
        <v/>
      </c>
      <c r="L59">
        <f>IF($V59="","",Settings!$C$7)</f>
        <v/>
      </c>
      <c r="M59" s="7">
        <f>IF($V59="","",SUMIFS('Per Line'!$AC$2:$AC$1501,'Per Line'!$C$2:$C$1501,$C59,'Per Line'!$AK$2:$AK$1501,0))</f>
        <v/>
      </c>
      <c r="N59" s="7">
        <f>IF($V59="","",M59*L59)</f>
        <v/>
      </c>
      <c r="O59">
        <f>IF($V59="","",Settings!$C$6)</f>
        <v/>
      </c>
      <c r="P59" s="7">
        <f>IF($V59="","",SUMIFS('Per Line'!$AC$2:$AC$1501,'Per Line'!$C$2:$C$1501,$C59,'Per Line'!$AK$2:$AK$1501,1))</f>
        <v/>
      </c>
      <c r="Q59" s="7">
        <f>IF($V59="","",P59*O59)</f>
        <v/>
      </c>
      <c r="R59" s="7">
        <f>IF($V59="","",Q59+N59)</f>
        <v/>
      </c>
      <c r="S59" s="7">
        <f>IF($V59="","",T59-R59)</f>
        <v/>
      </c>
      <c r="T59" s="7">
        <f>IF($V59="","",M59+P59)</f>
        <v/>
      </c>
      <c r="U59" s="7">
        <f>IF($V59="","",T59-R59-K59)</f>
        <v/>
      </c>
      <c r="V59" s="13">
        <f>IF(ROWS($V$2:$V59)&lt;=MAX('Per Line'!$AJ$2:$AJ$1501),MATCH(ROWS($V$2:$V59),'Per Line'!$AJ$2:$AJ$1501,0),"")</f>
        <v/>
      </c>
    </row>
    <row r="60">
      <c r="A60" s="12" t="n"/>
      <c r="B60">
        <f>IF($V60="","",INDEX('Per Line'!$A$2:$A$1501,$V60)&amp;"")</f>
        <v/>
      </c>
      <c r="C60">
        <f>IF($V60="","",INDEX('Per Line'!$C$2:$C$1501,$V60)&amp;"")</f>
        <v/>
      </c>
      <c r="D60" s="11">
        <f>IF($V60="","",INDEX('Per Line'!$S$2:$S$1501,$V60))</f>
        <v/>
      </c>
      <c r="E60">
        <f>IF($V60="","",INDEX('Per Line'!$F$2:$F$1501,$V60)&amp;"")</f>
        <v/>
      </c>
      <c r="F60">
        <f>IF($V60="","",INDEX('Per Line'!$L$2:$L$1501,$V60)&amp;"")</f>
        <v/>
      </c>
      <c r="G60">
        <f>IF($V60="","",INDEX('Per Line'!$O$2:$O$1501,$V60)&amp;"")</f>
        <v/>
      </c>
      <c r="H60">
        <f>IF($V60="","",INDEX('Per Line'!$P$2:$P$1501,$V60)&amp;"")</f>
        <v/>
      </c>
      <c r="I60">
        <f>IF($V60="","",INDEX('Per Line'!$N$2:$N$1501,$V60)&amp;"")</f>
        <v/>
      </c>
      <c r="J60">
        <f>IF($V60="","",INDEX('Per Line'!$Q$2:$Q$1501,$V60))</f>
        <v/>
      </c>
      <c r="K60" s="7">
        <f>IF($V60="","",J60*T60/100)</f>
        <v/>
      </c>
      <c r="L60">
        <f>IF($V60="","",Settings!$C$7)</f>
        <v/>
      </c>
      <c r="M60" s="7">
        <f>IF($V60="","",SUMIFS('Per Line'!$AC$2:$AC$1501,'Per Line'!$C$2:$C$1501,$C60,'Per Line'!$AK$2:$AK$1501,0))</f>
        <v/>
      </c>
      <c r="N60" s="7">
        <f>IF($V60="","",M60*L60)</f>
        <v/>
      </c>
      <c r="O60">
        <f>IF($V60="","",Settings!$C$6)</f>
        <v/>
      </c>
      <c r="P60" s="7">
        <f>IF($V60="","",SUMIFS('Per Line'!$AC$2:$AC$1501,'Per Line'!$C$2:$C$1501,$C60,'Per Line'!$AK$2:$AK$1501,1))</f>
        <v/>
      </c>
      <c r="Q60" s="7">
        <f>IF($V60="","",P60*O60)</f>
        <v/>
      </c>
      <c r="R60" s="7">
        <f>IF($V60="","",Q60+N60)</f>
        <v/>
      </c>
      <c r="S60" s="7">
        <f>IF($V60="","",T60-R60)</f>
        <v/>
      </c>
      <c r="T60" s="7">
        <f>IF($V60="","",M60+P60)</f>
        <v/>
      </c>
      <c r="U60" s="7">
        <f>IF($V60="","",T60-R60-K60)</f>
        <v/>
      </c>
      <c r="V60" s="13">
        <f>IF(ROWS($V$2:$V60)&lt;=MAX('Per Line'!$AJ$2:$AJ$1501),MATCH(ROWS($V$2:$V60),'Per Line'!$AJ$2:$AJ$1501,0),"")</f>
        <v/>
      </c>
    </row>
    <row r="61">
      <c r="A61" s="12" t="n"/>
      <c r="B61">
        <f>IF($V61="","",INDEX('Per Line'!$A$2:$A$1501,$V61)&amp;"")</f>
        <v/>
      </c>
      <c r="C61">
        <f>IF($V61="","",INDEX('Per Line'!$C$2:$C$1501,$V61)&amp;"")</f>
        <v/>
      </c>
      <c r="D61" s="11">
        <f>IF($V61="","",INDEX('Per Line'!$S$2:$S$1501,$V61))</f>
        <v/>
      </c>
      <c r="E61">
        <f>IF($V61="","",INDEX('Per Line'!$F$2:$F$1501,$V61)&amp;"")</f>
        <v/>
      </c>
      <c r="F61">
        <f>IF($V61="","",INDEX('Per Line'!$L$2:$L$1501,$V61)&amp;"")</f>
        <v/>
      </c>
      <c r="G61">
        <f>IF($V61="","",INDEX('Per Line'!$O$2:$O$1501,$V61)&amp;"")</f>
        <v/>
      </c>
      <c r="H61">
        <f>IF($V61="","",INDEX('Per Line'!$P$2:$P$1501,$V61)&amp;"")</f>
        <v/>
      </c>
      <c r="I61">
        <f>IF($V61="","",INDEX('Per Line'!$N$2:$N$1501,$V61)&amp;"")</f>
        <v/>
      </c>
      <c r="J61">
        <f>IF($V61="","",INDEX('Per Line'!$Q$2:$Q$1501,$V61))</f>
        <v/>
      </c>
      <c r="K61" s="7">
        <f>IF($V61="","",J61*T61/100)</f>
        <v/>
      </c>
      <c r="L61">
        <f>IF($V61="","",Settings!$C$7)</f>
        <v/>
      </c>
      <c r="M61" s="7">
        <f>IF($V61="","",SUMIFS('Per Line'!$AC$2:$AC$1501,'Per Line'!$C$2:$C$1501,$C61,'Per Line'!$AK$2:$AK$1501,0))</f>
        <v/>
      </c>
      <c r="N61" s="7">
        <f>IF($V61="","",M61*L61)</f>
        <v/>
      </c>
      <c r="O61">
        <f>IF($V61="","",Settings!$C$6)</f>
        <v/>
      </c>
      <c r="P61" s="7">
        <f>IF($V61="","",SUMIFS('Per Line'!$AC$2:$AC$1501,'Per Line'!$C$2:$C$1501,$C61,'Per Line'!$AK$2:$AK$1501,1))</f>
        <v/>
      </c>
      <c r="Q61" s="7">
        <f>IF($V61="","",P61*O61)</f>
        <v/>
      </c>
      <c r="R61" s="7">
        <f>IF($V61="","",Q61+N61)</f>
        <v/>
      </c>
      <c r="S61" s="7">
        <f>IF($V61="","",T61-R61)</f>
        <v/>
      </c>
      <c r="T61" s="7">
        <f>IF($V61="","",M61+P61)</f>
        <v/>
      </c>
      <c r="U61" s="7">
        <f>IF($V61="","",T61-R61-K61)</f>
        <v/>
      </c>
      <c r="V61" s="13">
        <f>IF(ROWS($V$2:$V61)&lt;=MAX('Per Line'!$AJ$2:$AJ$1501),MATCH(ROWS($V$2:$V61),'Per Line'!$AJ$2:$AJ$1501,0),"")</f>
        <v/>
      </c>
    </row>
    <row r="62">
      <c r="A62" s="12" t="n"/>
      <c r="B62">
        <f>IF($V62="","",INDEX('Per Line'!$A$2:$A$1501,$V62)&amp;"")</f>
        <v/>
      </c>
      <c r="C62">
        <f>IF($V62="","",INDEX('Per Line'!$C$2:$C$1501,$V62)&amp;"")</f>
        <v/>
      </c>
      <c r="D62" s="11">
        <f>IF($V62="","",INDEX('Per Line'!$S$2:$S$1501,$V62))</f>
        <v/>
      </c>
      <c r="E62">
        <f>IF($V62="","",INDEX('Per Line'!$F$2:$F$1501,$V62)&amp;"")</f>
        <v/>
      </c>
      <c r="F62">
        <f>IF($V62="","",INDEX('Per Line'!$L$2:$L$1501,$V62)&amp;"")</f>
        <v/>
      </c>
      <c r="G62">
        <f>IF($V62="","",INDEX('Per Line'!$O$2:$O$1501,$V62)&amp;"")</f>
        <v/>
      </c>
      <c r="H62">
        <f>IF($V62="","",INDEX('Per Line'!$P$2:$P$1501,$V62)&amp;"")</f>
        <v/>
      </c>
      <c r="I62">
        <f>IF($V62="","",INDEX('Per Line'!$N$2:$N$1501,$V62)&amp;"")</f>
        <v/>
      </c>
      <c r="J62">
        <f>IF($V62="","",INDEX('Per Line'!$Q$2:$Q$1501,$V62))</f>
        <v/>
      </c>
      <c r="K62" s="7">
        <f>IF($V62="","",J62*T62/100)</f>
        <v/>
      </c>
      <c r="L62">
        <f>IF($V62="","",Settings!$C$7)</f>
        <v/>
      </c>
      <c r="M62" s="7">
        <f>IF($V62="","",SUMIFS('Per Line'!$AC$2:$AC$1501,'Per Line'!$C$2:$C$1501,$C62,'Per Line'!$AK$2:$AK$1501,0))</f>
        <v/>
      </c>
      <c r="N62" s="7">
        <f>IF($V62="","",M62*L62)</f>
        <v/>
      </c>
      <c r="O62">
        <f>IF($V62="","",Settings!$C$6)</f>
        <v/>
      </c>
      <c r="P62" s="7">
        <f>IF($V62="","",SUMIFS('Per Line'!$AC$2:$AC$1501,'Per Line'!$C$2:$C$1501,$C62,'Per Line'!$AK$2:$AK$1501,1))</f>
        <v/>
      </c>
      <c r="Q62" s="7">
        <f>IF($V62="","",P62*O62)</f>
        <v/>
      </c>
      <c r="R62" s="7">
        <f>IF($V62="","",Q62+N62)</f>
        <v/>
      </c>
      <c r="S62" s="7">
        <f>IF($V62="","",T62-R62)</f>
        <v/>
      </c>
      <c r="T62" s="7">
        <f>IF($V62="","",M62+P62)</f>
        <v/>
      </c>
      <c r="U62" s="7">
        <f>IF($V62="","",T62-R62-K62)</f>
        <v/>
      </c>
      <c r="V62" s="13">
        <f>IF(ROWS($V$2:$V62)&lt;=MAX('Per Line'!$AJ$2:$AJ$1501),MATCH(ROWS($V$2:$V62),'Per Line'!$AJ$2:$AJ$1501,0),"")</f>
        <v/>
      </c>
    </row>
    <row r="63">
      <c r="A63" s="12" t="n"/>
      <c r="B63">
        <f>IF($V63="","",INDEX('Per Line'!$A$2:$A$1501,$V63)&amp;"")</f>
        <v/>
      </c>
      <c r="C63">
        <f>IF($V63="","",INDEX('Per Line'!$C$2:$C$1501,$V63)&amp;"")</f>
        <v/>
      </c>
      <c r="D63" s="11">
        <f>IF($V63="","",INDEX('Per Line'!$S$2:$S$1501,$V63))</f>
        <v/>
      </c>
      <c r="E63">
        <f>IF($V63="","",INDEX('Per Line'!$F$2:$F$1501,$V63)&amp;"")</f>
        <v/>
      </c>
      <c r="F63">
        <f>IF($V63="","",INDEX('Per Line'!$L$2:$L$1501,$V63)&amp;"")</f>
        <v/>
      </c>
      <c r="G63">
        <f>IF($V63="","",INDEX('Per Line'!$O$2:$O$1501,$V63)&amp;"")</f>
        <v/>
      </c>
      <c r="H63">
        <f>IF($V63="","",INDEX('Per Line'!$P$2:$P$1501,$V63)&amp;"")</f>
        <v/>
      </c>
      <c r="I63">
        <f>IF($V63="","",INDEX('Per Line'!$N$2:$N$1501,$V63)&amp;"")</f>
        <v/>
      </c>
      <c r="J63">
        <f>IF($V63="","",INDEX('Per Line'!$Q$2:$Q$1501,$V63))</f>
        <v/>
      </c>
      <c r="K63" s="7">
        <f>IF($V63="","",J63*T63/100)</f>
        <v/>
      </c>
      <c r="L63">
        <f>IF($V63="","",Settings!$C$7)</f>
        <v/>
      </c>
      <c r="M63" s="7">
        <f>IF($V63="","",SUMIFS('Per Line'!$AC$2:$AC$1501,'Per Line'!$C$2:$C$1501,$C63,'Per Line'!$AK$2:$AK$1501,0))</f>
        <v/>
      </c>
      <c r="N63" s="7">
        <f>IF($V63="","",M63*L63)</f>
        <v/>
      </c>
      <c r="O63">
        <f>IF($V63="","",Settings!$C$6)</f>
        <v/>
      </c>
      <c r="P63" s="7">
        <f>IF($V63="","",SUMIFS('Per Line'!$AC$2:$AC$1501,'Per Line'!$C$2:$C$1501,$C63,'Per Line'!$AK$2:$AK$1501,1))</f>
        <v/>
      </c>
      <c r="Q63" s="7">
        <f>IF($V63="","",P63*O63)</f>
        <v/>
      </c>
      <c r="R63" s="7">
        <f>IF($V63="","",Q63+N63)</f>
        <v/>
      </c>
      <c r="S63" s="7">
        <f>IF($V63="","",T63-R63)</f>
        <v/>
      </c>
      <c r="T63" s="7">
        <f>IF($V63="","",M63+P63)</f>
        <v/>
      </c>
      <c r="U63" s="7">
        <f>IF($V63="","",T63-R63-K63)</f>
        <v/>
      </c>
      <c r="V63" s="13">
        <f>IF(ROWS($V$2:$V63)&lt;=MAX('Per Line'!$AJ$2:$AJ$1501),MATCH(ROWS($V$2:$V63),'Per Line'!$AJ$2:$AJ$1501,0),"")</f>
        <v/>
      </c>
    </row>
    <row r="64">
      <c r="A64" s="12" t="n"/>
      <c r="B64">
        <f>IF($V64="","",INDEX('Per Line'!$A$2:$A$1501,$V64)&amp;"")</f>
        <v/>
      </c>
      <c r="C64">
        <f>IF($V64="","",INDEX('Per Line'!$C$2:$C$1501,$V64)&amp;"")</f>
        <v/>
      </c>
      <c r="D64" s="11">
        <f>IF($V64="","",INDEX('Per Line'!$S$2:$S$1501,$V64))</f>
        <v/>
      </c>
      <c r="E64">
        <f>IF($V64="","",INDEX('Per Line'!$F$2:$F$1501,$V64)&amp;"")</f>
        <v/>
      </c>
      <c r="F64">
        <f>IF($V64="","",INDEX('Per Line'!$L$2:$L$1501,$V64)&amp;"")</f>
        <v/>
      </c>
      <c r="G64">
        <f>IF($V64="","",INDEX('Per Line'!$O$2:$O$1501,$V64)&amp;"")</f>
        <v/>
      </c>
      <c r="H64">
        <f>IF($V64="","",INDEX('Per Line'!$P$2:$P$1501,$V64)&amp;"")</f>
        <v/>
      </c>
      <c r="I64">
        <f>IF($V64="","",INDEX('Per Line'!$N$2:$N$1501,$V64)&amp;"")</f>
        <v/>
      </c>
      <c r="J64">
        <f>IF($V64="","",INDEX('Per Line'!$Q$2:$Q$1501,$V64))</f>
        <v/>
      </c>
      <c r="K64" s="7">
        <f>IF($V64="","",J64*T64/100)</f>
        <v/>
      </c>
      <c r="L64">
        <f>IF($V64="","",Settings!$C$7)</f>
        <v/>
      </c>
      <c r="M64" s="7">
        <f>IF($V64="","",SUMIFS('Per Line'!$AC$2:$AC$1501,'Per Line'!$C$2:$C$1501,$C64,'Per Line'!$AK$2:$AK$1501,0))</f>
        <v/>
      </c>
      <c r="N64" s="7">
        <f>IF($V64="","",M64*L64)</f>
        <v/>
      </c>
      <c r="O64">
        <f>IF($V64="","",Settings!$C$6)</f>
        <v/>
      </c>
      <c r="P64" s="7">
        <f>IF($V64="","",SUMIFS('Per Line'!$AC$2:$AC$1501,'Per Line'!$C$2:$C$1501,$C64,'Per Line'!$AK$2:$AK$1501,1))</f>
        <v/>
      </c>
      <c r="Q64" s="7">
        <f>IF($V64="","",P64*O64)</f>
        <v/>
      </c>
      <c r="R64" s="7">
        <f>IF($V64="","",Q64+N64)</f>
        <v/>
      </c>
      <c r="S64" s="7">
        <f>IF($V64="","",T64-R64)</f>
        <v/>
      </c>
      <c r="T64" s="7">
        <f>IF($V64="","",M64+P64)</f>
        <v/>
      </c>
      <c r="U64" s="7">
        <f>IF($V64="","",T64-R64-K64)</f>
        <v/>
      </c>
      <c r="V64" s="13">
        <f>IF(ROWS($V$2:$V64)&lt;=MAX('Per Line'!$AJ$2:$AJ$1501),MATCH(ROWS($V$2:$V64),'Per Line'!$AJ$2:$AJ$1501,0),"")</f>
        <v/>
      </c>
    </row>
    <row r="65">
      <c r="A65" s="12" t="n"/>
      <c r="B65">
        <f>IF($V65="","",INDEX('Per Line'!$A$2:$A$1501,$V65)&amp;"")</f>
        <v/>
      </c>
      <c r="C65">
        <f>IF($V65="","",INDEX('Per Line'!$C$2:$C$1501,$V65)&amp;"")</f>
        <v/>
      </c>
      <c r="D65" s="11">
        <f>IF($V65="","",INDEX('Per Line'!$S$2:$S$1501,$V65))</f>
        <v/>
      </c>
      <c r="E65">
        <f>IF($V65="","",INDEX('Per Line'!$F$2:$F$1501,$V65)&amp;"")</f>
        <v/>
      </c>
      <c r="F65">
        <f>IF($V65="","",INDEX('Per Line'!$L$2:$L$1501,$V65)&amp;"")</f>
        <v/>
      </c>
      <c r="G65">
        <f>IF($V65="","",INDEX('Per Line'!$O$2:$O$1501,$V65)&amp;"")</f>
        <v/>
      </c>
      <c r="H65">
        <f>IF($V65="","",INDEX('Per Line'!$P$2:$P$1501,$V65)&amp;"")</f>
        <v/>
      </c>
      <c r="I65">
        <f>IF($V65="","",INDEX('Per Line'!$N$2:$N$1501,$V65)&amp;"")</f>
        <v/>
      </c>
      <c r="J65">
        <f>IF($V65="","",INDEX('Per Line'!$Q$2:$Q$1501,$V65))</f>
        <v/>
      </c>
      <c r="K65" s="7">
        <f>IF($V65="","",J65*T65/100)</f>
        <v/>
      </c>
      <c r="L65">
        <f>IF($V65="","",Settings!$C$7)</f>
        <v/>
      </c>
      <c r="M65" s="7">
        <f>IF($V65="","",SUMIFS('Per Line'!$AC$2:$AC$1501,'Per Line'!$C$2:$C$1501,$C65,'Per Line'!$AK$2:$AK$1501,0))</f>
        <v/>
      </c>
      <c r="N65" s="7">
        <f>IF($V65="","",M65*L65)</f>
        <v/>
      </c>
      <c r="O65">
        <f>IF($V65="","",Settings!$C$6)</f>
        <v/>
      </c>
      <c r="P65" s="7">
        <f>IF($V65="","",SUMIFS('Per Line'!$AC$2:$AC$1501,'Per Line'!$C$2:$C$1501,$C65,'Per Line'!$AK$2:$AK$1501,1))</f>
        <v/>
      </c>
      <c r="Q65" s="7">
        <f>IF($V65="","",P65*O65)</f>
        <v/>
      </c>
      <c r="R65" s="7">
        <f>IF($V65="","",Q65+N65)</f>
        <v/>
      </c>
      <c r="S65" s="7">
        <f>IF($V65="","",T65-R65)</f>
        <v/>
      </c>
      <c r="T65" s="7">
        <f>IF($V65="","",M65+P65)</f>
        <v/>
      </c>
      <c r="U65" s="7">
        <f>IF($V65="","",T65-R65-K65)</f>
        <v/>
      </c>
      <c r="V65" s="13">
        <f>IF(ROWS($V$2:$V65)&lt;=MAX('Per Line'!$AJ$2:$AJ$1501),MATCH(ROWS($V$2:$V65),'Per Line'!$AJ$2:$AJ$1501,0),"")</f>
        <v/>
      </c>
    </row>
    <row r="66">
      <c r="A66" s="12" t="n"/>
      <c r="B66">
        <f>IF($V66="","",INDEX('Per Line'!$A$2:$A$1501,$V66)&amp;"")</f>
        <v/>
      </c>
      <c r="C66">
        <f>IF($V66="","",INDEX('Per Line'!$C$2:$C$1501,$V66)&amp;"")</f>
        <v/>
      </c>
      <c r="D66" s="11">
        <f>IF($V66="","",INDEX('Per Line'!$S$2:$S$1501,$V66))</f>
        <v/>
      </c>
      <c r="E66">
        <f>IF($V66="","",INDEX('Per Line'!$F$2:$F$1501,$V66)&amp;"")</f>
        <v/>
      </c>
      <c r="F66">
        <f>IF($V66="","",INDEX('Per Line'!$L$2:$L$1501,$V66)&amp;"")</f>
        <v/>
      </c>
      <c r="G66">
        <f>IF($V66="","",INDEX('Per Line'!$O$2:$O$1501,$V66)&amp;"")</f>
        <v/>
      </c>
      <c r="H66">
        <f>IF($V66="","",INDEX('Per Line'!$P$2:$P$1501,$V66)&amp;"")</f>
        <v/>
      </c>
      <c r="I66">
        <f>IF($V66="","",INDEX('Per Line'!$N$2:$N$1501,$V66)&amp;"")</f>
        <v/>
      </c>
      <c r="J66">
        <f>IF($V66="","",INDEX('Per Line'!$Q$2:$Q$1501,$V66))</f>
        <v/>
      </c>
      <c r="K66" s="7">
        <f>IF($V66="","",J66*T66/100)</f>
        <v/>
      </c>
      <c r="L66">
        <f>IF($V66="","",Settings!$C$7)</f>
        <v/>
      </c>
      <c r="M66" s="7">
        <f>IF($V66="","",SUMIFS('Per Line'!$AC$2:$AC$1501,'Per Line'!$C$2:$C$1501,$C66,'Per Line'!$AK$2:$AK$1501,0))</f>
        <v/>
      </c>
      <c r="N66" s="7">
        <f>IF($V66="","",M66*L66)</f>
        <v/>
      </c>
      <c r="O66">
        <f>IF($V66="","",Settings!$C$6)</f>
        <v/>
      </c>
      <c r="P66" s="7">
        <f>IF($V66="","",SUMIFS('Per Line'!$AC$2:$AC$1501,'Per Line'!$C$2:$C$1501,$C66,'Per Line'!$AK$2:$AK$1501,1))</f>
        <v/>
      </c>
      <c r="Q66" s="7">
        <f>IF($V66="","",P66*O66)</f>
        <v/>
      </c>
      <c r="R66" s="7">
        <f>IF($V66="","",Q66+N66)</f>
        <v/>
      </c>
      <c r="S66" s="7">
        <f>IF($V66="","",T66-R66)</f>
        <v/>
      </c>
      <c r="T66" s="7">
        <f>IF($V66="","",M66+P66)</f>
        <v/>
      </c>
      <c r="U66" s="7">
        <f>IF($V66="","",T66-R66-K66)</f>
        <v/>
      </c>
      <c r="V66" s="13">
        <f>IF(ROWS($V$2:$V66)&lt;=MAX('Per Line'!$AJ$2:$AJ$1501),MATCH(ROWS($V$2:$V66),'Per Line'!$AJ$2:$AJ$1501,0),"")</f>
        <v/>
      </c>
    </row>
    <row r="67">
      <c r="A67" s="12" t="n"/>
      <c r="B67">
        <f>IF($V67="","",INDEX('Per Line'!$A$2:$A$1501,$V67)&amp;"")</f>
        <v/>
      </c>
      <c r="C67">
        <f>IF($V67="","",INDEX('Per Line'!$C$2:$C$1501,$V67)&amp;"")</f>
        <v/>
      </c>
      <c r="D67" s="11">
        <f>IF($V67="","",INDEX('Per Line'!$S$2:$S$1501,$V67))</f>
        <v/>
      </c>
      <c r="E67">
        <f>IF($V67="","",INDEX('Per Line'!$F$2:$F$1501,$V67)&amp;"")</f>
        <v/>
      </c>
      <c r="F67">
        <f>IF($V67="","",INDEX('Per Line'!$L$2:$L$1501,$V67)&amp;"")</f>
        <v/>
      </c>
      <c r="G67">
        <f>IF($V67="","",INDEX('Per Line'!$O$2:$O$1501,$V67)&amp;"")</f>
        <v/>
      </c>
      <c r="H67">
        <f>IF($V67="","",INDEX('Per Line'!$P$2:$P$1501,$V67)&amp;"")</f>
        <v/>
      </c>
      <c r="I67">
        <f>IF($V67="","",INDEX('Per Line'!$N$2:$N$1501,$V67)&amp;"")</f>
        <v/>
      </c>
      <c r="J67">
        <f>IF($V67="","",INDEX('Per Line'!$Q$2:$Q$1501,$V67))</f>
        <v/>
      </c>
      <c r="K67" s="7">
        <f>IF($V67="","",J67*T67/100)</f>
        <v/>
      </c>
      <c r="L67">
        <f>IF($V67="","",Settings!$C$7)</f>
        <v/>
      </c>
      <c r="M67" s="7">
        <f>IF($V67="","",SUMIFS('Per Line'!$AC$2:$AC$1501,'Per Line'!$C$2:$C$1501,$C67,'Per Line'!$AK$2:$AK$1501,0))</f>
        <v/>
      </c>
      <c r="N67" s="7">
        <f>IF($V67="","",M67*L67)</f>
        <v/>
      </c>
      <c r="O67">
        <f>IF($V67="","",Settings!$C$6)</f>
        <v/>
      </c>
      <c r="P67" s="7">
        <f>IF($V67="","",SUMIFS('Per Line'!$AC$2:$AC$1501,'Per Line'!$C$2:$C$1501,$C67,'Per Line'!$AK$2:$AK$1501,1))</f>
        <v/>
      </c>
      <c r="Q67" s="7">
        <f>IF($V67="","",P67*O67)</f>
        <v/>
      </c>
      <c r="R67" s="7">
        <f>IF($V67="","",Q67+N67)</f>
        <v/>
      </c>
      <c r="S67" s="7">
        <f>IF($V67="","",T67-R67)</f>
        <v/>
      </c>
      <c r="T67" s="7">
        <f>IF($V67="","",M67+P67)</f>
        <v/>
      </c>
      <c r="U67" s="7">
        <f>IF($V67="","",T67-R67-K67)</f>
        <v/>
      </c>
      <c r="V67" s="13">
        <f>IF(ROWS($V$2:$V67)&lt;=MAX('Per Line'!$AJ$2:$AJ$1501),MATCH(ROWS($V$2:$V67),'Per Line'!$AJ$2:$AJ$1501,0),"")</f>
        <v/>
      </c>
    </row>
    <row r="68">
      <c r="A68" s="12" t="n"/>
      <c r="B68">
        <f>IF($V68="","",INDEX('Per Line'!$A$2:$A$1501,$V68)&amp;"")</f>
        <v/>
      </c>
      <c r="C68">
        <f>IF($V68="","",INDEX('Per Line'!$C$2:$C$1501,$V68)&amp;"")</f>
        <v/>
      </c>
      <c r="D68" s="11">
        <f>IF($V68="","",INDEX('Per Line'!$S$2:$S$1501,$V68))</f>
        <v/>
      </c>
      <c r="E68">
        <f>IF($V68="","",INDEX('Per Line'!$F$2:$F$1501,$V68)&amp;"")</f>
        <v/>
      </c>
      <c r="F68">
        <f>IF($V68="","",INDEX('Per Line'!$L$2:$L$1501,$V68)&amp;"")</f>
        <v/>
      </c>
      <c r="G68">
        <f>IF($V68="","",INDEX('Per Line'!$O$2:$O$1501,$V68)&amp;"")</f>
        <v/>
      </c>
      <c r="H68">
        <f>IF($V68="","",INDEX('Per Line'!$P$2:$P$1501,$V68)&amp;"")</f>
        <v/>
      </c>
      <c r="I68">
        <f>IF($V68="","",INDEX('Per Line'!$N$2:$N$1501,$V68)&amp;"")</f>
        <v/>
      </c>
      <c r="J68">
        <f>IF($V68="","",INDEX('Per Line'!$Q$2:$Q$1501,$V68))</f>
        <v/>
      </c>
      <c r="K68" s="7">
        <f>IF($V68="","",J68*T68/100)</f>
        <v/>
      </c>
      <c r="L68">
        <f>IF($V68="","",Settings!$C$7)</f>
        <v/>
      </c>
      <c r="M68" s="7">
        <f>IF($V68="","",SUMIFS('Per Line'!$AC$2:$AC$1501,'Per Line'!$C$2:$C$1501,$C68,'Per Line'!$AK$2:$AK$1501,0))</f>
        <v/>
      </c>
      <c r="N68" s="7">
        <f>IF($V68="","",M68*L68)</f>
        <v/>
      </c>
      <c r="O68">
        <f>IF($V68="","",Settings!$C$6)</f>
        <v/>
      </c>
      <c r="P68" s="7">
        <f>IF($V68="","",SUMIFS('Per Line'!$AC$2:$AC$1501,'Per Line'!$C$2:$C$1501,$C68,'Per Line'!$AK$2:$AK$1501,1))</f>
        <v/>
      </c>
      <c r="Q68" s="7">
        <f>IF($V68="","",P68*O68)</f>
        <v/>
      </c>
      <c r="R68" s="7">
        <f>IF($V68="","",Q68+N68)</f>
        <v/>
      </c>
      <c r="S68" s="7">
        <f>IF($V68="","",T68-R68)</f>
        <v/>
      </c>
      <c r="T68" s="7">
        <f>IF($V68="","",M68+P68)</f>
        <v/>
      </c>
      <c r="U68" s="7">
        <f>IF($V68="","",T68-R68-K68)</f>
        <v/>
      </c>
      <c r="V68" s="13">
        <f>IF(ROWS($V$2:$V68)&lt;=MAX('Per Line'!$AJ$2:$AJ$1501),MATCH(ROWS($V$2:$V68),'Per Line'!$AJ$2:$AJ$1501,0),"")</f>
        <v/>
      </c>
    </row>
    <row r="69">
      <c r="A69" s="12" t="n"/>
      <c r="B69">
        <f>IF($V69="","",INDEX('Per Line'!$A$2:$A$1501,$V69)&amp;"")</f>
        <v/>
      </c>
      <c r="C69">
        <f>IF($V69="","",INDEX('Per Line'!$C$2:$C$1501,$V69)&amp;"")</f>
        <v/>
      </c>
      <c r="D69" s="11">
        <f>IF($V69="","",INDEX('Per Line'!$S$2:$S$1501,$V69))</f>
        <v/>
      </c>
      <c r="E69">
        <f>IF($V69="","",INDEX('Per Line'!$F$2:$F$1501,$V69)&amp;"")</f>
        <v/>
      </c>
      <c r="F69">
        <f>IF($V69="","",INDEX('Per Line'!$L$2:$L$1501,$V69)&amp;"")</f>
        <v/>
      </c>
      <c r="G69">
        <f>IF($V69="","",INDEX('Per Line'!$O$2:$O$1501,$V69)&amp;"")</f>
        <v/>
      </c>
      <c r="H69">
        <f>IF($V69="","",INDEX('Per Line'!$P$2:$P$1501,$V69)&amp;"")</f>
        <v/>
      </c>
      <c r="I69">
        <f>IF($V69="","",INDEX('Per Line'!$N$2:$N$1501,$V69)&amp;"")</f>
        <v/>
      </c>
      <c r="J69">
        <f>IF($V69="","",INDEX('Per Line'!$Q$2:$Q$1501,$V69))</f>
        <v/>
      </c>
      <c r="K69" s="7">
        <f>IF($V69="","",J69*T69/100)</f>
        <v/>
      </c>
      <c r="L69">
        <f>IF($V69="","",Settings!$C$7)</f>
        <v/>
      </c>
      <c r="M69" s="7">
        <f>IF($V69="","",SUMIFS('Per Line'!$AC$2:$AC$1501,'Per Line'!$C$2:$C$1501,$C69,'Per Line'!$AK$2:$AK$1501,0))</f>
        <v/>
      </c>
      <c r="N69" s="7">
        <f>IF($V69="","",M69*L69)</f>
        <v/>
      </c>
      <c r="O69">
        <f>IF($V69="","",Settings!$C$6)</f>
        <v/>
      </c>
      <c r="P69" s="7">
        <f>IF($V69="","",SUMIFS('Per Line'!$AC$2:$AC$1501,'Per Line'!$C$2:$C$1501,$C69,'Per Line'!$AK$2:$AK$1501,1))</f>
        <v/>
      </c>
      <c r="Q69" s="7">
        <f>IF($V69="","",P69*O69)</f>
        <v/>
      </c>
      <c r="R69" s="7">
        <f>IF($V69="","",Q69+N69)</f>
        <v/>
      </c>
      <c r="S69" s="7">
        <f>IF($V69="","",T69-R69)</f>
        <v/>
      </c>
      <c r="T69" s="7">
        <f>IF($V69="","",M69+P69)</f>
        <v/>
      </c>
      <c r="U69" s="7">
        <f>IF($V69="","",T69-R69-K69)</f>
        <v/>
      </c>
      <c r="V69" s="13">
        <f>IF(ROWS($V$2:$V69)&lt;=MAX('Per Line'!$AJ$2:$AJ$1501),MATCH(ROWS($V$2:$V69),'Per Line'!$AJ$2:$AJ$1501,0),"")</f>
        <v/>
      </c>
    </row>
    <row r="70">
      <c r="A70" s="12" t="n"/>
      <c r="B70">
        <f>IF($V70="","",INDEX('Per Line'!$A$2:$A$1501,$V70)&amp;"")</f>
        <v/>
      </c>
      <c r="C70">
        <f>IF($V70="","",INDEX('Per Line'!$C$2:$C$1501,$V70)&amp;"")</f>
        <v/>
      </c>
      <c r="D70" s="11">
        <f>IF($V70="","",INDEX('Per Line'!$S$2:$S$1501,$V70))</f>
        <v/>
      </c>
      <c r="E70">
        <f>IF($V70="","",INDEX('Per Line'!$F$2:$F$1501,$V70)&amp;"")</f>
        <v/>
      </c>
      <c r="F70">
        <f>IF($V70="","",INDEX('Per Line'!$L$2:$L$1501,$V70)&amp;"")</f>
        <v/>
      </c>
      <c r="G70">
        <f>IF($V70="","",INDEX('Per Line'!$O$2:$O$1501,$V70)&amp;"")</f>
        <v/>
      </c>
      <c r="H70">
        <f>IF($V70="","",INDEX('Per Line'!$P$2:$P$1501,$V70)&amp;"")</f>
        <v/>
      </c>
      <c r="I70">
        <f>IF($V70="","",INDEX('Per Line'!$N$2:$N$1501,$V70)&amp;"")</f>
        <v/>
      </c>
      <c r="J70">
        <f>IF($V70="","",INDEX('Per Line'!$Q$2:$Q$1501,$V70))</f>
        <v/>
      </c>
      <c r="K70" s="7">
        <f>IF($V70="","",J70*T70/100)</f>
        <v/>
      </c>
      <c r="L70">
        <f>IF($V70="","",Settings!$C$7)</f>
        <v/>
      </c>
      <c r="M70" s="7">
        <f>IF($V70="","",SUMIFS('Per Line'!$AC$2:$AC$1501,'Per Line'!$C$2:$C$1501,$C70,'Per Line'!$AK$2:$AK$1501,0))</f>
        <v/>
      </c>
      <c r="N70" s="7">
        <f>IF($V70="","",M70*L70)</f>
        <v/>
      </c>
      <c r="O70">
        <f>IF($V70="","",Settings!$C$6)</f>
        <v/>
      </c>
      <c r="P70" s="7">
        <f>IF($V70="","",SUMIFS('Per Line'!$AC$2:$AC$1501,'Per Line'!$C$2:$C$1501,$C70,'Per Line'!$AK$2:$AK$1501,1))</f>
        <v/>
      </c>
      <c r="Q70" s="7">
        <f>IF($V70="","",P70*O70)</f>
        <v/>
      </c>
      <c r="R70" s="7">
        <f>IF($V70="","",Q70+N70)</f>
        <v/>
      </c>
      <c r="S70" s="7">
        <f>IF($V70="","",T70-R70)</f>
        <v/>
      </c>
      <c r="T70" s="7">
        <f>IF($V70="","",M70+P70)</f>
        <v/>
      </c>
      <c r="U70" s="7">
        <f>IF($V70="","",T70-R70-K70)</f>
        <v/>
      </c>
      <c r="V70" s="13">
        <f>IF(ROWS($V$2:$V70)&lt;=MAX('Per Line'!$AJ$2:$AJ$1501),MATCH(ROWS($V$2:$V70),'Per Line'!$AJ$2:$AJ$1501,0),"")</f>
        <v/>
      </c>
    </row>
    <row r="71">
      <c r="A71" s="12" t="n"/>
      <c r="B71">
        <f>IF($V71="","",INDEX('Per Line'!$A$2:$A$1501,$V71)&amp;"")</f>
        <v/>
      </c>
      <c r="C71">
        <f>IF($V71="","",INDEX('Per Line'!$C$2:$C$1501,$V71)&amp;"")</f>
        <v/>
      </c>
      <c r="D71" s="11">
        <f>IF($V71="","",INDEX('Per Line'!$S$2:$S$1501,$V71))</f>
        <v/>
      </c>
      <c r="E71">
        <f>IF($V71="","",INDEX('Per Line'!$F$2:$F$1501,$V71)&amp;"")</f>
        <v/>
      </c>
      <c r="F71">
        <f>IF($V71="","",INDEX('Per Line'!$L$2:$L$1501,$V71)&amp;"")</f>
        <v/>
      </c>
      <c r="G71">
        <f>IF($V71="","",INDEX('Per Line'!$O$2:$O$1501,$V71)&amp;"")</f>
        <v/>
      </c>
      <c r="H71">
        <f>IF($V71="","",INDEX('Per Line'!$P$2:$P$1501,$V71)&amp;"")</f>
        <v/>
      </c>
      <c r="I71">
        <f>IF($V71="","",INDEX('Per Line'!$N$2:$N$1501,$V71)&amp;"")</f>
        <v/>
      </c>
      <c r="J71">
        <f>IF($V71="","",INDEX('Per Line'!$Q$2:$Q$1501,$V71))</f>
        <v/>
      </c>
      <c r="K71" s="7">
        <f>IF($V71="","",J71*T71/100)</f>
        <v/>
      </c>
      <c r="L71">
        <f>IF($V71="","",Settings!$C$7)</f>
        <v/>
      </c>
      <c r="M71" s="7">
        <f>IF($V71="","",SUMIFS('Per Line'!$AC$2:$AC$1501,'Per Line'!$C$2:$C$1501,$C71,'Per Line'!$AK$2:$AK$1501,0))</f>
        <v/>
      </c>
      <c r="N71" s="7">
        <f>IF($V71="","",M71*L71)</f>
        <v/>
      </c>
      <c r="O71">
        <f>IF($V71="","",Settings!$C$6)</f>
        <v/>
      </c>
      <c r="P71" s="7">
        <f>IF($V71="","",SUMIFS('Per Line'!$AC$2:$AC$1501,'Per Line'!$C$2:$C$1501,$C71,'Per Line'!$AK$2:$AK$1501,1))</f>
        <v/>
      </c>
      <c r="Q71" s="7">
        <f>IF($V71="","",P71*O71)</f>
        <v/>
      </c>
      <c r="R71" s="7">
        <f>IF($V71="","",Q71+N71)</f>
        <v/>
      </c>
      <c r="S71" s="7">
        <f>IF($V71="","",T71-R71)</f>
        <v/>
      </c>
      <c r="T71" s="7">
        <f>IF($V71="","",M71+P71)</f>
        <v/>
      </c>
      <c r="U71" s="7">
        <f>IF($V71="","",T71-R71-K71)</f>
        <v/>
      </c>
      <c r="V71" s="13">
        <f>IF(ROWS($V$2:$V71)&lt;=MAX('Per Line'!$AJ$2:$AJ$1501),MATCH(ROWS($V$2:$V71),'Per Line'!$AJ$2:$AJ$1501,0),"")</f>
        <v/>
      </c>
    </row>
    <row r="72">
      <c r="A72" s="12" t="n"/>
      <c r="B72">
        <f>IF($V72="","",INDEX('Per Line'!$A$2:$A$1501,$V72)&amp;"")</f>
        <v/>
      </c>
      <c r="C72">
        <f>IF($V72="","",INDEX('Per Line'!$C$2:$C$1501,$V72)&amp;"")</f>
        <v/>
      </c>
      <c r="D72" s="11">
        <f>IF($V72="","",INDEX('Per Line'!$S$2:$S$1501,$V72))</f>
        <v/>
      </c>
      <c r="E72">
        <f>IF($V72="","",INDEX('Per Line'!$F$2:$F$1501,$V72)&amp;"")</f>
        <v/>
      </c>
      <c r="F72">
        <f>IF($V72="","",INDEX('Per Line'!$L$2:$L$1501,$V72)&amp;"")</f>
        <v/>
      </c>
      <c r="G72">
        <f>IF($V72="","",INDEX('Per Line'!$O$2:$O$1501,$V72)&amp;"")</f>
        <v/>
      </c>
      <c r="H72">
        <f>IF($V72="","",INDEX('Per Line'!$P$2:$P$1501,$V72)&amp;"")</f>
        <v/>
      </c>
      <c r="I72">
        <f>IF($V72="","",INDEX('Per Line'!$N$2:$N$1501,$V72)&amp;"")</f>
        <v/>
      </c>
      <c r="J72">
        <f>IF($V72="","",INDEX('Per Line'!$Q$2:$Q$1501,$V72))</f>
        <v/>
      </c>
      <c r="K72" s="7">
        <f>IF($V72="","",J72*T72/100)</f>
        <v/>
      </c>
      <c r="L72">
        <f>IF($V72="","",Settings!$C$7)</f>
        <v/>
      </c>
      <c r="M72" s="7">
        <f>IF($V72="","",SUMIFS('Per Line'!$AC$2:$AC$1501,'Per Line'!$C$2:$C$1501,$C72,'Per Line'!$AK$2:$AK$1501,0))</f>
        <v/>
      </c>
      <c r="N72" s="7">
        <f>IF($V72="","",M72*L72)</f>
        <v/>
      </c>
      <c r="O72">
        <f>IF($V72="","",Settings!$C$6)</f>
        <v/>
      </c>
      <c r="P72" s="7">
        <f>IF($V72="","",SUMIFS('Per Line'!$AC$2:$AC$1501,'Per Line'!$C$2:$C$1501,$C72,'Per Line'!$AK$2:$AK$1501,1))</f>
        <v/>
      </c>
      <c r="Q72" s="7">
        <f>IF($V72="","",P72*O72)</f>
        <v/>
      </c>
      <c r="R72" s="7">
        <f>IF($V72="","",Q72+N72)</f>
        <v/>
      </c>
      <c r="S72" s="7">
        <f>IF($V72="","",T72-R72)</f>
        <v/>
      </c>
      <c r="T72" s="7">
        <f>IF($V72="","",M72+P72)</f>
        <v/>
      </c>
      <c r="U72" s="7">
        <f>IF($V72="","",T72-R72-K72)</f>
        <v/>
      </c>
      <c r="V72" s="13">
        <f>IF(ROWS($V$2:$V72)&lt;=MAX('Per Line'!$AJ$2:$AJ$1501),MATCH(ROWS($V$2:$V72),'Per Line'!$AJ$2:$AJ$1501,0),"")</f>
        <v/>
      </c>
    </row>
    <row r="73">
      <c r="A73" s="12" t="n"/>
      <c r="B73">
        <f>IF($V73="","",INDEX('Per Line'!$A$2:$A$1501,$V73)&amp;"")</f>
        <v/>
      </c>
      <c r="C73">
        <f>IF($V73="","",INDEX('Per Line'!$C$2:$C$1501,$V73)&amp;"")</f>
        <v/>
      </c>
      <c r="D73" s="11">
        <f>IF($V73="","",INDEX('Per Line'!$S$2:$S$1501,$V73))</f>
        <v/>
      </c>
      <c r="E73">
        <f>IF($V73="","",INDEX('Per Line'!$F$2:$F$1501,$V73)&amp;"")</f>
        <v/>
      </c>
      <c r="F73">
        <f>IF($V73="","",INDEX('Per Line'!$L$2:$L$1501,$V73)&amp;"")</f>
        <v/>
      </c>
      <c r="G73">
        <f>IF($V73="","",INDEX('Per Line'!$O$2:$O$1501,$V73)&amp;"")</f>
        <v/>
      </c>
      <c r="H73">
        <f>IF($V73="","",INDEX('Per Line'!$P$2:$P$1501,$V73)&amp;"")</f>
        <v/>
      </c>
      <c r="I73">
        <f>IF($V73="","",INDEX('Per Line'!$N$2:$N$1501,$V73)&amp;"")</f>
        <v/>
      </c>
      <c r="J73">
        <f>IF($V73="","",INDEX('Per Line'!$Q$2:$Q$1501,$V73))</f>
        <v/>
      </c>
      <c r="K73" s="7">
        <f>IF($V73="","",J73*T73/100)</f>
        <v/>
      </c>
      <c r="L73">
        <f>IF($V73="","",Settings!$C$7)</f>
        <v/>
      </c>
      <c r="M73" s="7">
        <f>IF($V73="","",SUMIFS('Per Line'!$AC$2:$AC$1501,'Per Line'!$C$2:$C$1501,$C73,'Per Line'!$AK$2:$AK$1501,0))</f>
        <v/>
      </c>
      <c r="N73" s="7">
        <f>IF($V73="","",M73*L73)</f>
        <v/>
      </c>
      <c r="O73">
        <f>IF($V73="","",Settings!$C$6)</f>
        <v/>
      </c>
      <c r="P73" s="7">
        <f>IF($V73="","",SUMIFS('Per Line'!$AC$2:$AC$1501,'Per Line'!$C$2:$C$1501,$C73,'Per Line'!$AK$2:$AK$1501,1))</f>
        <v/>
      </c>
      <c r="Q73" s="7">
        <f>IF($V73="","",P73*O73)</f>
        <v/>
      </c>
      <c r="R73" s="7">
        <f>IF($V73="","",Q73+N73)</f>
        <v/>
      </c>
      <c r="S73" s="7">
        <f>IF($V73="","",T73-R73)</f>
        <v/>
      </c>
      <c r="T73" s="7">
        <f>IF($V73="","",M73+P73)</f>
        <v/>
      </c>
      <c r="U73" s="7">
        <f>IF($V73="","",T73-R73-K73)</f>
        <v/>
      </c>
      <c r="V73" s="13">
        <f>IF(ROWS($V$2:$V73)&lt;=MAX('Per Line'!$AJ$2:$AJ$1501),MATCH(ROWS($V$2:$V73),'Per Line'!$AJ$2:$AJ$1501,0),"")</f>
        <v/>
      </c>
    </row>
    <row r="74">
      <c r="A74" s="12" t="n"/>
      <c r="B74">
        <f>IF($V74="","",INDEX('Per Line'!$A$2:$A$1501,$V74)&amp;"")</f>
        <v/>
      </c>
      <c r="C74">
        <f>IF($V74="","",INDEX('Per Line'!$C$2:$C$1501,$V74)&amp;"")</f>
        <v/>
      </c>
      <c r="D74" s="11">
        <f>IF($V74="","",INDEX('Per Line'!$S$2:$S$1501,$V74))</f>
        <v/>
      </c>
      <c r="E74">
        <f>IF($V74="","",INDEX('Per Line'!$F$2:$F$1501,$V74)&amp;"")</f>
        <v/>
      </c>
      <c r="F74">
        <f>IF($V74="","",INDEX('Per Line'!$L$2:$L$1501,$V74)&amp;"")</f>
        <v/>
      </c>
      <c r="G74">
        <f>IF($V74="","",INDEX('Per Line'!$O$2:$O$1501,$V74)&amp;"")</f>
        <v/>
      </c>
      <c r="H74">
        <f>IF($V74="","",INDEX('Per Line'!$P$2:$P$1501,$V74)&amp;"")</f>
        <v/>
      </c>
      <c r="I74">
        <f>IF($V74="","",INDEX('Per Line'!$N$2:$N$1501,$V74)&amp;"")</f>
        <v/>
      </c>
      <c r="J74">
        <f>IF($V74="","",INDEX('Per Line'!$Q$2:$Q$1501,$V74))</f>
        <v/>
      </c>
      <c r="K74" s="7">
        <f>IF($V74="","",J74*T74/100)</f>
        <v/>
      </c>
      <c r="L74">
        <f>IF($V74="","",Settings!$C$7)</f>
        <v/>
      </c>
      <c r="M74" s="7">
        <f>IF($V74="","",SUMIFS('Per Line'!$AC$2:$AC$1501,'Per Line'!$C$2:$C$1501,$C74,'Per Line'!$AK$2:$AK$1501,0))</f>
        <v/>
      </c>
      <c r="N74" s="7">
        <f>IF($V74="","",M74*L74)</f>
        <v/>
      </c>
      <c r="O74">
        <f>IF($V74="","",Settings!$C$6)</f>
        <v/>
      </c>
      <c r="P74" s="7">
        <f>IF($V74="","",SUMIFS('Per Line'!$AC$2:$AC$1501,'Per Line'!$C$2:$C$1501,$C74,'Per Line'!$AK$2:$AK$1501,1))</f>
        <v/>
      </c>
      <c r="Q74" s="7">
        <f>IF($V74="","",P74*O74)</f>
        <v/>
      </c>
      <c r="R74" s="7">
        <f>IF($V74="","",Q74+N74)</f>
        <v/>
      </c>
      <c r="S74" s="7">
        <f>IF($V74="","",T74-R74)</f>
        <v/>
      </c>
      <c r="T74" s="7">
        <f>IF($V74="","",M74+P74)</f>
        <v/>
      </c>
      <c r="U74" s="7">
        <f>IF($V74="","",T74-R74-K74)</f>
        <v/>
      </c>
      <c r="V74" s="13">
        <f>IF(ROWS($V$2:$V74)&lt;=MAX('Per Line'!$AJ$2:$AJ$1501),MATCH(ROWS($V$2:$V74),'Per Line'!$AJ$2:$AJ$1501,0),"")</f>
        <v/>
      </c>
    </row>
    <row r="75">
      <c r="A75" s="12" t="n"/>
      <c r="B75">
        <f>IF($V75="","",INDEX('Per Line'!$A$2:$A$1501,$V75)&amp;"")</f>
        <v/>
      </c>
      <c r="C75">
        <f>IF($V75="","",INDEX('Per Line'!$C$2:$C$1501,$V75)&amp;"")</f>
        <v/>
      </c>
      <c r="D75" s="11">
        <f>IF($V75="","",INDEX('Per Line'!$S$2:$S$1501,$V75))</f>
        <v/>
      </c>
      <c r="E75">
        <f>IF($V75="","",INDEX('Per Line'!$F$2:$F$1501,$V75)&amp;"")</f>
        <v/>
      </c>
      <c r="F75">
        <f>IF($V75="","",INDEX('Per Line'!$L$2:$L$1501,$V75)&amp;"")</f>
        <v/>
      </c>
      <c r="G75">
        <f>IF($V75="","",INDEX('Per Line'!$O$2:$O$1501,$V75)&amp;"")</f>
        <v/>
      </c>
      <c r="H75">
        <f>IF($V75="","",INDEX('Per Line'!$P$2:$P$1501,$V75)&amp;"")</f>
        <v/>
      </c>
      <c r="I75">
        <f>IF($V75="","",INDEX('Per Line'!$N$2:$N$1501,$V75)&amp;"")</f>
        <v/>
      </c>
      <c r="J75">
        <f>IF($V75="","",INDEX('Per Line'!$Q$2:$Q$1501,$V75))</f>
        <v/>
      </c>
      <c r="K75" s="7">
        <f>IF($V75="","",J75*T75/100)</f>
        <v/>
      </c>
      <c r="L75">
        <f>IF($V75="","",Settings!$C$7)</f>
        <v/>
      </c>
      <c r="M75" s="7">
        <f>IF($V75="","",SUMIFS('Per Line'!$AC$2:$AC$1501,'Per Line'!$C$2:$C$1501,$C75,'Per Line'!$AK$2:$AK$1501,0))</f>
        <v/>
      </c>
      <c r="N75" s="7">
        <f>IF($V75="","",M75*L75)</f>
        <v/>
      </c>
      <c r="O75">
        <f>IF($V75="","",Settings!$C$6)</f>
        <v/>
      </c>
      <c r="P75" s="7">
        <f>IF($V75="","",SUMIFS('Per Line'!$AC$2:$AC$1501,'Per Line'!$C$2:$C$1501,$C75,'Per Line'!$AK$2:$AK$1501,1))</f>
        <v/>
      </c>
      <c r="Q75" s="7">
        <f>IF($V75="","",P75*O75)</f>
        <v/>
      </c>
      <c r="R75" s="7">
        <f>IF($V75="","",Q75+N75)</f>
        <v/>
      </c>
      <c r="S75" s="7">
        <f>IF($V75="","",T75-R75)</f>
        <v/>
      </c>
      <c r="T75" s="7">
        <f>IF($V75="","",M75+P75)</f>
        <v/>
      </c>
      <c r="U75" s="7">
        <f>IF($V75="","",T75-R75-K75)</f>
        <v/>
      </c>
      <c r="V75" s="13">
        <f>IF(ROWS($V$2:$V75)&lt;=MAX('Per Line'!$AJ$2:$AJ$1501),MATCH(ROWS($V$2:$V75),'Per Line'!$AJ$2:$AJ$1501,0),"")</f>
        <v/>
      </c>
    </row>
    <row r="76">
      <c r="A76" s="12" t="n"/>
      <c r="B76">
        <f>IF($V76="","",INDEX('Per Line'!$A$2:$A$1501,$V76)&amp;"")</f>
        <v/>
      </c>
      <c r="C76">
        <f>IF($V76="","",INDEX('Per Line'!$C$2:$C$1501,$V76)&amp;"")</f>
        <v/>
      </c>
      <c r="D76" s="11">
        <f>IF($V76="","",INDEX('Per Line'!$S$2:$S$1501,$V76))</f>
        <v/>
      </c>
      <c r="E76">
        <f>IF($V76="","",INDEX('Per Line'!$F$2:$F$1501,$V76)&amp;"")</f>
        <v/>
      </c>
      <c r="F76">
        <f>IF($V76="","",INDEX('Per Line'!$L$2:$L$1501,$V76)&amp;"")</f>
        <v/>
      </c>
      <c r="G76">
        <f>IF($V76="","",INDEX('Per Line'!$O$2:$O$1501,$V76)&amp;"")</f>
        <v/>
      </c>
      <c r="H76">
        <f>IF($V76="","",INDEX('Per Line'!$P$2:$P$1501,$V76)&amp;"")</f>
        <v/>
      </c>
      <c r="I76">
        <f>IF($V76="","",INDEX('Per Line'!$N$2:$N$1501,$V76)&amp;"")</f>
        <v/>
      </c>
      <c r="J76">
        <f>IF($V76="","",INDEX('Per Line'!$Q$2:$Q$1501,$V76))</f>
        <v/>
      </c>
      <c r="K76" s="7">
        <f>IF($V76="","",J76*T76/100)</f>
        <v/>
      </c>
      <c r="L76">
        <f>IF($V76="","",Settings!$C$7)</f>
        <v/>
      </c>
      <c r="M76" s="7">
        <f>IF($V76="","",SUMIFS('Per Line'!$AC$2:$AC$1501,'Per Line'!$C$2:$C$1501,$C76,'Per Line'!$AK$2:$AK$1501,0))</f>
        <v/>
      </c>
      <c r="N76" s="7">
        <f>IF($V76="","",M76*L76)</f>
        <v/>
      </c>
      <c r="O76">
        <f>IF($V76="","",Settings!$C$6)</f>
        <v/>
      </c>
      <c r="P76" s="7">
        <f>IF($V76="","",SUMIFS('Per Line'!$AC$2:$AC$1501,'Per Line'!$C$2:$C$1501,$C76,'Per Line'!$AK$2:$AK$1501,1))</f>
        <v/>
      </c>
      <c r="Q76" s="7">
        <f>IF($V76="","",P76*O76)</f>
        <v/>
      </c>
      <c r="R76" s="7">
        <f>IF($V76="","",Q76+N76)</f>
        <v/>
      </c>
      <c r="S76" s="7">
        <f>IF($V76="","",T76-R76)</f>
        <v/>
      </c>
      <c r="T76" s="7">
        <f>IF($V76="","",M76+P76)</f>
        <v/>
      </c>
      <c r="U76" s="7">
        <f>IF($V76="","",T76-R76-K76)</f>
        <v/>
      </c>
      <c r="V76" s="13">
        <f>IF(ROWS($V$2:$V76)&lt;=MAX('Per Line'!$AJ$2:$AJ$1501),MATCH(ROWS($V$2:$V76),'Per Line'!$AJ$2:$AJ$1501,0),"")</f>
        <v/>
      </c>
    </row>
    <row r="77">
      <c r="A77" s="12" t="n"/>
      <c r="B77">
        <f>IF($V77="","",INDEX('Per Line'!$A$2:$A$1501,$V77)&amp;"")</f>
        <v/>
      </c>
      <c r="C77">
        <f>IF($V77="","",INDEX('Per Line'!$C$2:$C$1501,$V77)&amp;"")</f>
        <v/>
      </c>
      <c r="D77" s="11">
        <f>IF($V77="","",INDEX('Per Line'!$S$2:$S$1501,$V77))</f>
        <v/>
      </c>
      <c r="E77">
        <f>IF($V77="","",INDEX('Per Line'!$F$2:$F$1501,$V77)&amp;"")</f>
        <v/>
      </c>
      <c r="F77">
        <f>IF($V77="","",INDEX('Per Line'!$L$2:$L$1501,$V77)&amp;"")</f>
        <v/>
      </c>
      <c r="G77">
        <f>IF($V77="","",INDEX('Per Line'!$O$2:$O$1501,$V77)&amp;"")</f>
        <v/>
      </c>
      <c r="H77">
        <f>IF($V77="","",INDEX('Per Line'!$P$2:$P$1501,$V77)&amp;"")</f>
        <v/>
      </c>
      <c r="I77">
        <f>IF($V77="","",INDEX('Per Line'!$N$2:$N$1501,$V77)&amp;"")</f>
        <v/>
      </c>
      <c r="J77">
        <f>IF($V77="","",INDEX('Per Line'!$Q$2:$Q$1501,$V77))</f>
        <v/>
      </c>
      <c r="K77" s="7">
        <f>IF($V77="","",J77*T77/100)</f>
        <v/>
      </c>
      <c r="L77">
        <f>IF($V77="","",Settings!$C$7)</f>
        <v/>
      </c>
      <c r="M77" s="7">
        <f>IF($V77="","",SUMIFS('Per Line'!$AC$2:$AC$1501,'Per Line'!$C$2:$C$1501,$C77,'Per Line'!$AK$2:$AK$1501,0))</f>
        <v/>
      </c>
      <c r="N77" s="7">
        <f>IF($V77="","",M77*L77)</f>
        <v/>
      </c>
      <c r="O77">
        <f>IF($V77="","",Settings!$C$6)</f>
        <v/>
      </c>
      <c r="P77" s="7">
        <f>IF($V77="","",SUMIFS('Per Line'!$AC$2:$AC$1501,'Per Line'!$C$2:$C$1501,$C77,'Per Line'!$AK$2:$AK$1501,1))</f>
        <v/>
      </c>
      <c r="Q77" s="7">
        <f>IF($V77="","",P77*O77)</f>
        <v/>
      </c>
      <c r="R77" s="7">
        <f>IF($V77="","",Q77+N77)</f>
        <v/>
      </c>
      <c r="S77" s="7">
        <f>IF($V77="","",T77-R77)</f>
        <v/>
      </c>
      <c r="T77" s="7">
        <f>IF($V77="","",M77+P77)</f>
        <v/>
      </c>
      <c r="U77" s="7">
        <f>IF($V77="","",T77-R77-K77)</f>
        <v/>
      </c>
      <c r="V77" s="13">
        <f>IF(ROWS($V$2:$V77)&lt;=MAX('Per Line'!$AJ$2:$AJ$1501),MATCH(ROWS($V$2:$V77),'Per Line'!$AJ$2:$AJ$1501,0),"")</f>
        <v/>
      </c>
    </row>
    <row r="78">
      <c r="A78" s="12" t="n"/>
      <c r="B78">
        <f>IF($V78="","",INDEX('Per Line'!$A$2:$A$1501,$V78)&amp;"")</f>
        <v/>
      </c>
      <c r="C78">
        <f>IF($V78="","",INDEX('Per Line'!$C$2:$C$1501,$V78)&amp;"")</f>
        <v/>
      </c>
      <c r="D78" s="11">
        <f>IF($V78="","",INDEX('Per Line'!$S$2:$S$1501,$V78))</f>
        <v/>
      </c>
      <c r="E78">
        <f>IF($V78="","",INDEX('Per Line'!$F$2:$F$1501,$V78)&amp;"")</f>
        <v/>
      </c>
      <c r="F78">
        <f>IF($V78="","",INDEX('Per Line'!$L$2:$L$1501,$V78)&amp;"")</f>
        <v/>
      </c>
      <c r="G78">
        <f>IF($V78="","",INDEX('Per Line'!$O$2:$O$1501,$V78)&amp;"")</f>
        <v/>
      </c>
      <c r="H78">
        <f>IF($V78="","",INDEX('Per Line'!$P$2:$P$1501,$V78)&amp;"")</f>
        <v/>
      </c>
      <c r="I78">
        <f>IF($V78="","",INDEX('Per Line'!$N$2:$N$1501,$V78)&amp;"")</f>
        <v/>
      </c>
      <c r="J78">
        <f>IF($V78="","",INDEX('Per Line'!$Q$2:$Q$1501,$V78))</f>
        <v/>
      </c>
      <c r="K78" s="7">
        <f>IF($V78="","",J78*T78/100)</f>
        <v/>
      </c>
      <c r="L78">
        <f>IF($V78="","",Settings!$C$7)</f>
        <v/>
      </c>
      <c r="M78" s="7">
        <f>IF($V78="","",SUMIFS('Per Line'!$AC$2:$AC$1501,'Per Line'!$C$2:$C$1501,$C78,'Per Line'!$AK$2:$AK$1501,0))</f>
        <v/>
      </c>
      <c r="N78" s="7">
        <f>IF($V78="","",M78*L78)</f>
        <v/>
      </c>
      <c r="O78">
        <f>IF($V78="","",Settings!$C$6)</f>
        <v/>
      </c>
      <c r="P78" s="7">
        <f>IF($V78="","",SUMIFS('Per Line'!$AC$2:$AC$1501,'Per Line'!$C$2:$C$1501,$C78,'Per Line'!$AK$2:$AK$1501,1))</f>
        <v/>
      </c>
      <c r="Q78" s="7">
        <f>IF($V78="","",P78*O78)</f>
        <v/>
      </c>
      <c r="R78" s="7">
        <f>IF($V78="","",Q78+N78)</f>
        <v/>
      </c>
      <c r="S78" s="7">
        <f>IF($V78="","",T78-R78)</f>
        <v/>
      </c>
      <c r="T78" s="7">
        <f>IF($V78="","",M78+P78)</f>
        <v/>
      </c>
      <c r="U78" s="7">
        <f>IF($V78="","",T78-R78-K78)</f>
        <v/>
      </c>
      <c r="V78" s="13">
        <f>IF(ROWS($V$2:$V78)&lt;=MAX('Per Line'!$AJ$2:$AJ$1501),MATCH(ROWS($V$2:$V78),'Per Line'!$AJ$2:$AJ$1501,0),"")</f>
        <v/>
      </c>
    </row>
    <row r="79">
      <c r="A79" s="12" t="n"/>
      <c r="B79">
        <f>IF($V79="","",INDEX('Per Line'!$A$2:$A$1501,$V79)&amp;"")</f>
        <v/>
      </c>
      <c r="C79">
        <f>IF($V79="","",INDEX('Per Line'!$C$2:$C$1501,$V79)&amp;"")</f>
        <v/>
      </c>
      <c r="D79" s="11">
        <f>IF($V79="","",INDEX('Per Line'!$S$2:$S$1501,$V79))</f>
        <v/>
      </c>
      <c r="E79">
        <f>IF($V79="","",INDEX('Per Line'!$F$2:$F$1501,$V79)&amp;"")</f>
        <v/>
      </c>
      <c r="F79">
        <f>IF($V79="","",INDEX('Per Line'!$L$2:$L$1501,$V79)&amp;"")</f>
        <v/>
      </c>
      <c r="G79">
        <f>IF($V79="","",INDEX('Per Line'!$O$2:$O$1501,$V79)&amp;"")</f>
        <v/>
      </c>
      <c r="H79">
        <f>IF($V79="","",INDEX('Per Line'!$P$2:$P$1501,$V79)&amp;"")</f>
        <v/>
      </c>
      <c r="I79">
        <f>IF($V79="","",INDEX('Per Line'!$N$2:$N$1501,$V79)&amp;"")</f>
        <v/>
      </c>
      <c r="J79">
        <f>IF($V79="","",INDEX('Per Line'!$Q$2:$Q$1501,$V79))</f>
        <v/>
      </c>
      <c r="K79" s="7">
        <f>IF($V79="","",J79*T79/100)</f>
        <v/>
      </c>
      <c r="L79">
        <f>IF($V79="","",Settings!$C$7)</f>
        <v/>
      </c>
      <c r="M79" s="7">
        <f>IF($V79="","",SUMIFS('Per Line'!$AC$2:$AC$1501,'Per Line'!$C$2:$C$1501,$C79,'Per Line'!$AK$2:$AK$1501,0))</f>
        <v/>
      </c>
      <c r="N79" s="7">
        <f>IF($V79="","",M79*L79)</f>
        <v/>
      </c>
      <c r="O79">
        <f>IF($V79="","",Settings!$C$6)</f>
        <v/>
      </c>
      <c r="P79" s="7">
        <f>IF($V79="","",SUMIFS('Per Line'!$AC$2:$AC$1501,'Per Line'!$C$2:$C$1501,$C79,'Per Line'!$AK$2:$AK$1501,1))</f>
        <v/>
      </c>
      <c r="Q79" s="7">
        <f>IF($V79="","",P79*O79)</f>
        <v/>
      </c>
      <c r="R79" s="7">
        <f>IF($V79="","",Q79+N79)</f>
        <v/>
      </c>
      <c r="S79" s="7">
        <f>IF($V79="","",T79-R79)</f>
        <v/>
      </c>
      <c r="T79" s="7">
        <f>IF($V79="","",M79+P79)</f>
        <v/>
      </c>
      <c r="U79" s="7">
        <f>IF($V79="","",T79-R79-K79)</f>
        <v/>
      </c>
      <c r="V79" s="13">
        <f>IF(ROWS($V$2:$V79)&lt;=MAX('Per Line'!$AJ$2:$AJ$1501),MATCH(ROWS($V$2:$V79),'Per Line'!$AJ$2:$AJ$1501,0),"")</f>
        <v/>
      </c>
    </row>
    <row r="80">
      <c r="A80" s="12" t="n"/>
      <c r="B80">
        <f>IF($V80="","",INDEX('Per Line'!$A$2:$A$1501,$V80)&amp;"")</f>
        <v/>
      </c>
      <c r="C80">
        <f>IF($V80="","",INDEX('Per Line'!$C$2:$C$1501,$V80)&amp;"")</f>
        <v/>
      </c>
      <c r="D80" s="11">
        <f>IF($V80="","",INDEX('Per Line'!$S$2:$S$1501,$V80))</f>
        <v/>
      </c>
      <c r="E80">
        <f>IF($V80="","",INDEX('Per Line'!$F$2:$F$1501,$V80)&amp;"")</f>
        <v/>
      </c>
      <c r="F80">
        <f>IF($V80="","",INDEX('Per Line'!$L$2:$L$1501,$V80)&amp;"")</f>
        <v/>
      </c>
      <c r="G80">
        <f>IF($V80="","",INDEX('Per Line'!$O$2:$O$1501,$V80)&amp;"")</f>
        <v/>
      </c>
      <c r="H80">
        <f>IF($V80="","",INDEX('Per Line'!$P$2:$P$1501,$V80)&amp;"")</f>
        <v/>
      </c>
      <c r="I80">
        <f>IF($V80="","",INDEX('Per Line'!$N$2:$N$1501,$V80)&amp;"")</f>
        <v/>
      </c>
      <c r="J80">
        <f>IF($V80="","",INDEX('Per Line'!$Q$2:$Q$1501,$V80))</f>
        <v/>
      </c>
      <c r="K80" s="7">
        <f>IF($V80="","",J80*T80/100)</f>
        <v/>
      </c>
      <c r="L80">
        <f>IF($V80="","",Settings!$C$7)</f>
        <v/>
      </c>
      <c r="M80" s="7">
        <f>IF($V80="","",SUMIFS('Per Line'!$AC$2:$AC$1501,'Per Line'!$C$2:$C$1501,$C80,'Per Line'!$AK$2:$AK$1501,0))</f>
        <v/>
      </c>
      <c r="N80" s="7">
        <f>IF($V80="","",M80*L80)</f>
        <v/>
      </c>
      <c r="O80">
        <f>IF($V80="","",Settings!$C$6)</f>
        <v/>
      </c>
      <c r="P80" s="7">
        <f>IF($V80="","",SUMIFS('Per Line'!$AC$2:$AC$1501,'Per Line'!$C$2:$C$1501,$C80,'Per Line'!$AK$2:$AK$1501,1))</f>
        <v/>
      </c>
      <c r="Q80" s="7">
        <f>IF($V80="","",P80*O80)</f>
        <v/>
      </c>
      <c r="R80" s="7">
        <f>IF($V80="","",Q80+N80)</f>
        <v/>
      </c>
      <c r="S80" s="7">
        <f>IF($V80="","",T80-R80)</f>
        <v/>
      </c>
      <c r="T80" s="7">
        <f>IF($V80="","",M80+P80)</f>
        <v/>
      </c>
      <c r="U80" s="7">
        <f>IF($V80="","",T80-R80-K80)</f>
        <v/>
      </c>
      <c r="V80" s="13">
        <f>IF(ROWS($V$2:$V80)&lt;=MAX('Per Line'!$AJ$2:$AJ$1501),MATCH(ROWS($V$2:$V80),'Per Line'!$AJ$2:$AJ$1501,0),"")</f>
        <v/>
      </c>
    </row>
    <row r="81">
      <c r="A81" s="12" t="n"/>
      <c r="B81">
        <f>IF($V81="","",INDEX('Per Line'!$A$2:$A$1501,$V81)&amp;"")</f>
        <v/>
      </c>
      <c r="C81">
        <f>IF($V81="","",INDEX('Per Line'!$C$2:$C$1501,$V81)&amp;"")</f>
        <v/>
      </c>
      <c r="D81" s="11">
        <f>IF($V81="","",INDEX('Per Line'!$S$2:$S$1501,$V81))</f>
        <v/>
      </c>
      <c r="E81">
        <f>IF($V81="","",INDEX('Per Line'!$F$2:$F$1501,$V81)&amp;"")</f>
        <v/>
      </c>
      <c r="F81">
        <f>IF($V81="","",INDEX('Per Line'!$L$2:$L$1501,$V81)&amp;"")</f>
        <v/>
      </c>
      <c r="G81">
        <f>IF($V81="","",INDEX('Per Line'!$O$2:$O$1501,$V81)&amp;"")</f>
        <v/>
      </c>
      <c r="H81">
        <f>IF($V81="","",INDEX('Per Line'!$P$2:$P$1501,$V81)&amp;"")</f>
        <v/>
      </c>
      <c r="I81">
        <f>IF($V81="","",INDEX('Per Line'!$N$2:$N$1501,$V81)&amp;"")</f>
        <v/>
      </c>
      <c r="J81">
        <f>IF($V81="","",INDEX('Per Line'!$Q$2:$Q$1501,$V81))</f>
        <v/>
      </c>
      <c r="K81" s="7">
        <f>IF($V81="","",J81*T81/100)</f>
        <v/>
      </c>
      <c r="L81">
        <f>IF($V81="","",Settings!$C$7)</f>
        <v/>
      </c>
      <c r="M81" s="7">
        <f>IF($V81="","",SUMIFS('Per Line'!$AC$2:$AC$1501,'Per Line'!$C$2:$C$1501,$C81,'Per Line'!$AK$2:$AK$1501,0))</f>
        <v/>
      </c>
      <c r="N81" s="7">
        <f>IF($V81="","",M81*L81)</f>
        <v/>
      </c>
      <c r="O81">
        <f>IF($V81="","",Settings!$C$6)</f>
        <v/>
      </c>
      <c r="P81" s="7">
        <f>IF($V81="","",SUMIFS('Per Line'!$AC$2:$AC$1501,'Per Line'!$C$2:$C$1501,$C81,'Per Line'!$AK$2:$AK$1501,1))</f>
        <v/>
      </c>
      <c r="Q81" s="7">
        <f>IF($V81="","",P81*O81)</f>
        <v/>
      </c>
      <c r="R81" s="7">
        <f>IF($V81="","",Q81+N81)</f>
        <v/>
      </c>
      <c r="S81" s="7">
        <f>IF($V81="","",T81-R81)</f>
        <v/>
      </c>
      <c r="T81" s="7">
        <f>IF($V81="","",M81+P81)</f>
        <v/>
      </c>
      <c r="U81" s="7">
        <f>IF($V81="","",T81-R81-K81)</f>
        <v/>
      </c>
      <c r="V81" s="13">
        <f>IF(ROWS($V$2:$V81)&lt;=MAX('Per Line'!$AJ$2:$AJ$1501),MATCH(ROWS($V$2:$V81),'Per Line'!$AJ$2:$AJ$1501,0),"")</f>
        <v/>
      </c>
    </row>
    <row r="82">
      <c r="A82" s="12" t="n"/>
      <c r="B82">
        <f>IF($V82="","",INDEX('Per Line'!$A$2:$A$1501,$V82)&amp;"")</f>
        <v/>
      </c>
      <c r="C82">
        <f>IF($V82="","",INDEX('Per Line'!$C$2:$C$1501,$V82)&amp;"")</f>
        <v/>
      </c>
      <c r="D82" s="11">
        <f>IF($V82="","",INDEX('Per Line'!$S$2:$S$1501,$V82))</f>
        <v/>
      </c>
      <c r="E82">
        <f>IF($V82="","",INDEX('Per Line'!$F$2:$F$1501,$V82)&amp;"")</f>
        <v/>
      </c>
      <c r="F82">
        <f>IF($V82="","",INDEX('Per Line'!$L$2:$L$1501,$V82)&amp;"")</f>
        <v/>
      </c>
      <c r="G82">
        <f>IF($V82="","",INDEX('Per Line'!$O$2:$O$1501,$V82)&amp;"")</f>
        <v/>
      </c>
      <c r="H82">
        <f>IF($V82="","",INDEX('Per Line'!$P$2:$P$1501,$V82)&amp;"")</f>
        <v/>
      </c>
      <c r="I82">
        <f>IF($V82="","",INDEX('Per Line'!$N$2:$N$1501,$V82)&amp;"")</f>
        <v/>
      </c>
      <c r="J82">
        <f>IF($V82="","",INDEX('Per Line'!$Q$2:$Q$1501,$V82))</f>
        <v/>
      </c>
      <c r="K82" s="7">
        <f>IF($V82="","",J82*T82/100)</f>
        <v/>
      </c>
      <c r="L82">
        <f>IF($V82="","",Settings!$C$7)</f>
        <v/>
      </c>
      <c r="M82" s="7">
        <f>IF($V82="","",SUMIFS('Per Line'!$AC$2:$AC$1501,'Per Line'!$C$2:$C$1501,$C82,'Per Line'!$AK$2:$AK$1501,0))</f>
        <v/>
      </c>
      <c r="N82" s="7">
        <f>IF($V82="","",M82*L82)</f>
        <v/>
      </c>
      <c r="O82">
        <f>IF($V82="","",Settings!$C$6)</f>
        <v/>
      </c>
      <c r="P82" s="7">
        <f>IF($V82="","",SUMIFS('Per Line'!$AC$2:$AC$1501,'Per Line'!$C$2:$C$1501,$C82,'Per Line'!$AK$2:$AK$1501,1))</f>
        <v/>
      </c>
      <c r="Q82" s="7">
        <f>IF($V82="","",P82*O82)</f>
        <v/>
      </c>
      <c r="R82" s="7">
        <f>IF($V82="","",Q82+N82)</f>
        <v/>
      </c>
      <c r="S82" s="7">
        <f>IF($V82="","",T82-R82)</f>
        <v/>
      </c>
      <c r="T82" s="7">
        <f>IF($V82="","",M82+P82)</f>
        <v/>
      </c>
      <c r="U82" s="7">
        <f>IF($V82="","",T82-R82-K82)</f>
        <v/>
      </c>
      <c r="V82" s="13">
        <f>IF(ROWS($V$2:$V82)&lt;=MAX('Per Line'!$AJ$2:$AJ$1501),MATCH(ROWS($V$2:$V82),'Per Line'!$AJ$2:$AJ$1501,0),"")</f>
        <v/>
      </c>
    </row>
    <row r="83">
      <c r="A83" s="12" t="n"/>
      <c r="B83">
        <f>IF($V83="","",INDEX('Per Line'!$A$2:$A$1501,$V83)&amp;"")</f>
        <v/>
      </c>
      <c r="C83">
        <f>IF($V83="","",INDEX('Per Line'!$C$2:$C$1501,$V83)&amp;"")</f>
        <v/>
      </c>
      <c r="D83" s="11">
        <f>IF($V83="","",INDEX('Per Line'!$S$2:$S$1501,$V83))</f>
        <v/>
      </c>
      <c r="E83">
        <f>IF($V83="","",INDEX('Per Line'!$F$2:$F$1501,$V83)&amp;"")</f>
        <v/>
      </c>
      <c r="F83">
        <f>IF($V83="","",INDEX('Per Line'!$L$2:$L$1501,$V83)&amp;"")</f>
        <v/>
      </c>
      <c r="G83">
        <f>IF($V83="","",INDEX('Per Line'!$O$2:$O$1501,$V83)&amp;"")</f>
        <v/>
      </c>
      <c r="H83">
        <f>IF($V83="","",INDEX('Per Line'!$P$2:$P$1501,$V83)&amp;"")</f>
        <v/>
      </c>
      <c r="I83">
        <f>IF($V83="","",INDEX('Per Line'!$N$2:$N$1501,$V83)&amp;"")</f>
        <v/>
      </c>
      <c r="J83">
        <f>IF($V83="","",INDEX('Per Line'!$Q$2:$Q$1501,$V83))</f>
        <v/>
      </c>
      <c r="K83" s="7">
        <f>IF($V83="","",J83*T83/100)</f>
        <v/>
      </c>
      <c r="L83">
        <f>IF($V83="","",Settings!$C$7)</f>
        <v/>
      </c>
      <c r="M83" s="7">
        <f>IF($V83="","",SUMIFS('Per Line'!$AC$2:$AC$1501,'Per Line'!$C$2:$C$1501,$C83,'Per Line'!$AK$2:$AK$1501,0))</f>
        <v/>
      </c>
      <c r="N83" s="7">
        <f>IF($V83="","",M83*L83)</f>
        <v/>
      </c>
      <c r="O83">
        <f>IF($V83="","",Settings!$C$6)</f>
        <v/>
      </c>
      <c r="P83" s="7">
        <f>IF($V83="","",SUMIFS('Per Line'!$AC$2:$AC$1501,'Per Line'!$C$2:$C$1501,$C83,'Per Line'!$AK$2:$AK$1501,1))</f>
        <v/>
      </c>
      <c r="Q83" s="7">
        <f>IF($V83="","",P83*O83)</f>
        <v/>
      </c>
      <c r="R83" s="7">
        <f>IF($V83="","",Q83+N83)</f>
        <v/>
      </c>
      <c r="S83" s="7">
        <f>IF($V83="","",T83-R83)</f>
        <v/>
      </c>
      <c r="T83" s="7">
        <f>IF($V83="","",M83+P83)</f>
        <v/>
      </c>
      <c r="U83" s="7">
        <f>IF($V83="","",T83-R83-K83)</f>
        <v/>
      </c>
      <c r="V83" s="13">
        <f>IF(ROWS($V$2:$V83)&lt;=MAX('Per Line'!$AJ$2:$AJ$1501),MATCH(ROWS($V$2:$V83),'Per Line'!$AJ$2:$AJ$1501,0),"")</f>
        <v/>
      </c>
    </row>
    <row r="84">
      <c r="A84" s="12" t="n"/>
      <c r="B84">
        <f>IF($V84="","",INDEX('Per Line'!$A$2:$A$1501,$V84)&amp;"")</f>
        <v/>
      </c>
      <c r="C84">
        <f>IF($V84="","",INDEX('Per Line'!$C$2:$C$1501,$V84)&amp;"")</f>
        <v/>
      </c>
      <c r="D84" s="11">
        <f>IF($V84="","",INDEX('Per Line'!$S$2:$S$1501,$V84))</f>
        <v/>
      </c>
      <c r="E84">
        <f>IF($V84="","",INDEX('Per Line'!$F$2:$F$1501,$V84)&amp;"")</f>
        <v/>
      </c>
      <c r="F84">
        <f>IF($V84="","",INDEX('Per Line'!$L$2:$L$1501,$V84)&amp;"")</f>
        <v/>
      </c>
      <c r="G84">
        <f>IF($V84="","",INDEX('Per Line'!$O$2:$O$1501,$V84)&amp;"")</f>
        <v/>
      </c>
      <c r="H84">
        <f>IF($V84="","",INDEX('Per Line'!$P$2:$P$1501,$V84)&amp;"")</f>
        <v/>
      </c>
      <c r="I84">
        <f>IF($V84="","",INDEX('Per Line'!$N$2:$N$1501,$V84)&amp;"")</f>
        <v/>
      </c>
      <c r="J84">
        <f>IF($V84="","",INDEX('Per Line'!$Q$2:$Q$1501,$V84))</f>
        <v/>
      </c>
      <c r="K84" s="7">
        <f>IF($V84="","",J84*T84/100)</f>
        <v/>
      </c>
      <c r="L84">
        <f>IF($V84="","",Settings!$C$7)</f>
        <v/>
      </c>
      <c r="M84" s="7">
        <f>IF($V84="","",SUMIFS('Per Line'!$AC$2:$AC$1501,'Per Line'!$C$2:$C$1501,$C84,'Per Line'!$AK$2:$AK$1501,0))</f>
        <v/>
      </c>
      <c r="N84" s="7">
        <f>IF($V84="","",M84*L84)</f>
        <v/>
      </c>
      <c r="O84">
        <f>IF($V84="","",Settings!$C$6)</f>
        <v/>
      </c>
      <c r="P84" s="7">
        <f>IF($V84="","",SUMIFS('Per Line'!$AC$2:$AC$1501,'Per Line'!$C$2:$C$1501,$C84,'Per Line'!$AK$2:$AK$1501,1))</f>
        <v/>
      </c>
      <c r="Q84" s="7">
        <f>IF($V84="","",P84*O84)</f>
        <v/>
      </c>
      <c r="R84" s="7">
        <f>IF($V84="","",Q84+N84)</f>
        <v/>
      </c>
      <c r="S84" s="7">
        <f>IF($V84="","",T84-R84)</f>
        <v/>
      </c>
      <c r="T84" s="7">
        <f>IF($V84="","",M84+P84)</f>
        <v/>
      </c>
      <c r="U84" s="7">
        <f>IF($V84="","",T84-R84-K84)</f>
        <v/>
      </c>
      <c r="V84" s="13">
        <f>IF(ROWS($V$2:$V84)&lt;=MAX('Per Line'!$AJ$2:$AJ$1501),MATCH(ROWS($V$2:$V84),'Per Line'!$AJ$2:$AJ$1501,0),"")</f>
        <v/>
      </c>
    </row>
    <row r="85">
      <c r="A85" s="12" t="n"/>
      <c r="B85">
        <f>IF($V85="","",INDEX('Per Line'!$A$2:$A$1501,$V85)&amp;"")</f>
        <v/>
      </c>
      <c r="C85">
        <f>IF($V85="","",INDEX('Per Line'!$C$2:$C$1501,$V85)&amp;"")</f>
        <v/>
      </c>
      <c r="D85" s="11">
        <f>IF($V85="","",INDEX('Per Line'!$S$2:$S$1501,$V85))</f>
        <v/>
      </c>
      <c r="E85">
        <f>IF($V85="","",INDEX('Per Line'!$F$2:$F$1501,$V85)&amp;"")</f>
        <v/>
      </c>
      <c r="F85">
        <f>IF($V85="","",INDEX('Per Line'!$L$2:$L$1501,$V85)&amp;"")</f>
        <v/>
      </c>
      <c r="G85">
        <f>IF($V85="","",INDEX('Per Line'!$O$2:$O$1501,$V85)&amp;"")</f>
        <v/>
      </c>
      <c r="H85">
        <f>IF($V85="","",INDEX('Per Line'!$P$2:$P$1501,$V85)&amp;"")</f>
        <v/>
      </c>
      <c r="I85">
        <f>IF($V85="","",INDEX('Per Line'!$N$2:$N$1501,$V85)&amp;"")</f>
        <v/>
      </c>
      <c r="J85">
        <f>IF($V85="","",INDEX('Per Line'!$Q$2:$Q$1501,$V85))</f>
        <v/>
      </c>
      <c r="K85" s="7">
        <f>IF($V85="","",J85*T85/100)</f>
        <v/>
      </c>
      <c r="L85">
        <f>IF($V85="","",Settings!$C$7)</f>
        <v/>
      </c>
      <c r="M85" s="7">
        <f>IF($V85="","",SUMIFS('Per Line'!$AC$2:$AC$1501,'Per Line'!$C$2:$C$1501,$C85,'Per Line'!$AK$2:$AK$1501,0))</f>
        <v/>
      </c>
      <c r="N85" s="7">
        <f>IF($V85="","",M85*L85)</f>
        <v/>
      </c>
      <c r="O85">
        <f>IF($V85="","",Settings!$C$6)</f>
        <v/>
      </c>
      <c r="P85" s="7">
        <f>IF($V85="","",SUMIFS('Per Line'!$AC$2:$AC$1501,'Per Line'!$C$2:$C$1501,$C85,'Per Line'!$AK$2:$AK$1501,1))</f>
        <v/>
      </c>
      <c r="Q85" s="7">
        <f>IF($V85="","",P85*O85)</f>
        <v/>
      </c>
      <c r="R85" s="7">
        <f>IF($V85="","",Q85+N85)</f>
        <v/>
      </c>
      <c r="S85" s="7">
        <f>IF($V85="","",T85-R85)</f>
        <v/>
      </c>
      <c r="T85" s="7">
        <f>IF($V85="","",M85+P85)</f>
        <v/>
      </c>
      <c r="U85" s="7">
        <f>IF($V85="","",T85-R85-K85)</f>
        <v/>
      </c>
      <c r="V85" s="13">
        <f>IF(ROWS($V$2:$V85)&lt;=MAX('Per Line'!$AJ$2:$AJ$1501),MATCH(ROWS($V$2:$V85),'Per Line'!$AJ$2:$AJ$1501,0),"")</f>
        <v/>
      </c>
    </row>
    <row r="86">
      <c r="A86" s="12" t="n"/>
      <c r="B86">
        <f>IF($V86="","",INDEX('Per Line'!$A$2:$A$1501,$V86)&amp;"")</f>
        <v/>
      </c>
      <c r="C86">
        <f>IF($V86="","",INDEX('Per Line'!$C$2:$C$1501,$V86)&amp;"")</f>
        <v/>
      </c>
      <c r="D86" s="11">
        <f>IF($V86="","",INDEX('Per Line'!$S$2:$S$1501,$V86))</f>
        <v/>
      </c>
      <c r="E86">
        <f>IF($V86="","",INDEX('Per Line'!$F$2:$F$1501,$V86)&amp;"")</f>
        <v/>
      </c>
      <c r="F86">
        <f>IF($V86="","",INDEX('Per Line'!$L$2:$L$1501,$V86)&amp;"")</f>
        <v/>
      </c>
      <c r="G86">
        <f>IF($V86="","",INDEX('Per Line'!$O$2:$O$1501,$V86)&amp;"")</f>
        <v/>
      </c>
      <c r="H86">
        <f>IF($V86="","",INDEX('Per Line'!$P$2:$P$1501,$V86)&amp;"")</f>
        <v/>
      </c>
      <c r="I86">
        <f>IF($V86="","",INDEX('Per Line'!$N$2:$N$1501,$V86)&amp;"")</f>
        <v/>
      </c>
      <c r="J86">
        <f>IF($V86="","",INDEX('Per Line'!$Q$2:$Q$1501,$V86))</f>
        <v/>
      </c>
      <c r="K86" s="7">
        <f>IF($V86="","",J86*T86/100)</f>
        <v/>
      </c>
      <c r="L86">
        <f>IF($V86="","",Settings!$C$7)</f>
        <v/>
      </c>
      <c r="M86" s="7">
        <f>IF($V86="","",SUMIFS('Per Line'!$AC$2:$AC$1501,'Per Line'!$C$2:$C$1501,$C86,'Per Line'!$AK$2:$AK$1501,0))</f>
        <v/>
      </c>
      <c r="N86" s="7">
        <f>IF($V86="","",M86*L86)</f>
        <v/>
      </c>
      <c r="O86">
        <f>IF($V86="","",Settings!$C$6)</f>
        <v/>
      </c>
      <c r="P86" s="7">
        <f>IF($V86="","",SUMIFS('Per Line'!$AC$2:$AC$1501,'Per Line'!$C$2:$C$1501,$C86,'Per Line'!$AK$2:$AK$1501,1))</f>
        <v/>
      </c>
      <c r="Q86" s="7">
        <f>IF($V86="","",P86*O86)</f>
        <v/>
      </c>
      <c r="R86" s="7">
        <f>IF($V86="","",Q86+N86)</f>
        <v/>
      </c>
      <c r="S86" s="7">
        <f>IF($V86="","",T86-R86)</f>
        <v/>
      </c>
      <c r="T86" s="7">
        <f>IF($V86="","",M86+P86)</f>
        <v/>
      </c>
      <c r="U86" s="7">
        <f>IF($V86="","",T86-R86-K86)</f>
        <v/>
      </c>
      <c r="V86" s="13">
        <f>IF(ROWS($V$2:$V86)&lt;=MAX('Per Line'!$AJ$2:$AJ$1501),MATCH(ROWS($V$2:$V86),'Per Line'!$AJ$2:$AJ$1501,0),"")</f>
        <v/>
      </c>
    </row>
    <row r="87">
      <c r="A87" s="12" t="n"/>
      <c r="B87">
        <f>IF($V87="","",INDEX('Per Line'!$A$2:$A$1501,$V87)&amp;"")</f>
        <v/>
      </c>
      <c r="C87">
        <f>IF($V87="","",INDEX('Per Line'!$C$2:$C$1501,$V87)&amp;"")</f>
        <v/>
      </c>
      <c r="D87" s="11">
        <f>IF($V87="","",INDEX('Per Line'!$S$2:$S$1501,$V87))</f>
        <v/>
      </c>
      <c r="E87">
        <f>IF($V87="","",INDEX('Per Line'!$F$2:$F$1501,$V87)&amp;"")</f>
        <v/>
      </c>
      <c r="F87">
        <f>IF($V87="","",INDEX('Per Line'!$L$2:$L$1501,$V87)&amp;"")</f>
        <v/>
      </c>
      <c r="G87">
        <f>IF($V87="","",INDEX('Per Line'!$O$2:$O$1501,$V87)&amp;"")</f>
        <v/>
      </c>
      <c r="H87">
        <f>IF($V87="","",INDEX('Per Line'!$P$2:$P$1501,$V87)&amp;"")</f>
        <v/>
      </c>
      <c r="I87">
        <f>IF($V87="","",INDEX('Per Line'!$N$2:$N$1501,$V87)&amp;"")</f>
        <v/>
      </c>
      <c r="J87">
        <f>IF($V87="","",INDEX('Per Line'!$Q$2:$Q$1501,$V87))</f>
        <v/>
      </c>
      <c r="K87" s="7">
        <f>IF($V87="","",J87*T87/100)</f>
        <v/>
      </c>
      <c r="L87">
        <f>IF($V87="","",Settings!$C$7)</f>
        <v/>
      </c>
      <c r="M87" s="7">
        <f>IF($V87="","",SUMIFS('Per Line'!$AC$2:$AC$1501,'Per Line'!$C$2:$C$1501,$C87,'Per Line'!$AK$2:$AK$1501,0))</f>
        <v/>
      </c>
      <c r="N87" s="7">
        <f>IF($V87="","",M87*L87)</f>
        <v/>
      </c>
      <c r="O87">
        <f>IF($V87="","",Settings!$C$6)</f>
        <v/>
      </c>
      <c r="P87" s="7">
        <f>IF($V87="","",SUMIFS('Per Line'!$AC$2:$AC$1501,'Per Line'!$C$2:$C$1501,$C87,'Per Line'!$AK$2:$AK$1501,1))</f>
        <v/>
      </c>
      <c r="Q87" s="7">
        <f>IF($V87="","",P87*O87)</f>
        <v/>
      </c>
      <c r="R87" s="7">
        <f>IF($V87="","",Q87+N87)</f>
        <v/>
      </c>
      <c r="S87" s="7">
        <f>IF($V87="","",T87-R87)</f>
        <v/>
      </c>
      <c r="T87" s="7">
        <f>IF($V87="","",M87+P87)</f>
        <v/>
      </c>
      <c r="U87" s="7">
        <f>IF($V87="","",T87-R87-K87)</f>
        <v/>
      </c>
      <c r="V87" s="13">
        <f>IF(ROWS($V$2:$V87)&lt;=MAX('Per Line'!$AJ$2:$AJ$1501),MATCH(ROWS($V$2:$V87),'Per Line'!$AJ$2:$AJ$1501,0),"")</f>
        <v/>
      </c>
    </row>
    <row r="88">
      <c r="A88" s="12" t="n"/>
      <c r="B88">
        <f>IF($V88="","",INDEX('Per Line'!$A$2:$A$1501,$V88)&amp;"")</f>
        <v/>
      </c>
      <c r="C88">
        <f>IF($V88="","",INDEX('Per Line'!$C$2:$C$1501,$V88)&amp;"")</f>
        <v/>
      </c>
      <c r="D88" s="11">
        <f>IF($V88="","",INDEX('Per Line'!$S$2:$S$1501,$V88))</f>
        <v/>
      </c>
      <c r="E88">
        <f>IF($V88="","",INDEX('Per Line'!$F$2:$F$1501,$V88)&amp;"")</f>
        <v/>
      </c>
      <c r="F88">
        <f>IF($V88="","",INDEX('Per Line'!$L$2:$L$1501,$V88)&amp;"")</f>
        <v/>
      </c>
      <c r="G88">
        <f>IF($V88="","",INDEX('Per Line'!$O$2:$O$1501,$V88)&amp;"")</f>
        <v/>
      </c>
      <c r="H88">
        <f>IF($V88="","",INDEX('Per Line'!$P$2:$P$1501,$V88)&amp;"")</f>
        <v/>
      </c>
      <c r="I88">
        <f>IF($V88="","",INDEX('Per Line'!$N$2:$N$1501,$V88)&amp;"")</f>
        <v/>
      </c>
      <c r="J88">
        <f>IF($V88="","",INDEX('Per Line'!$Q$2:$Q$1501,$V88))</f>
        <v/>
      </c>
      <c r="K88" s="7">
        <f>IF($V88="","",J88*T88/100)</f>
        <v/>
      </c>
      <c r="L88">
        <f>IF($V88="","",Settings!$C$7)</f>
        <v/>
      </c>
      <c r="M88" s="7">
        <f>IF($V88="","",SUMIFS('Per Line'!$AC$2:$AC$1501,'Per Line'!$C$2:$C$1501,$C88,'Per Line'!$AK$2:$AK$1501,0))</f>
        <v/>
      </c>
      <c r="N88" s="7">
        <f>IF($V88="","",M88*L88)</f>
        <v/>
      </c>
      <c r="O88">
        <f>IF($V88="","",Settings!$C$6)</f>
        <v/>
      </c>
      <c r="P88" s="7">
        <f>IF($V88="","",SUMIFS('Per Line'!$AC$2:$AC$1501,'Per Line'!$C$2:$C$1501,$C88,'Per Line'!$AK$2:$AK$1501,1))</f>
        <v/>
      </c>
      <c r="Q88" s="7">
        <f>IF($V88="","",P88*O88)</f>
        <v/>
      </c>
      <c r="R88" s="7">
        <f>IF($V88="","",Q88+N88)</f>
        <v/>
      </c>
      <c r="S88" s="7">
        <f>IF($V88="","",T88-R88)</f>
        <v/>
      </c>
      <c r="T88" s="7">
        <f>IF($V88="","",M88+P88)</f>
        <v/>
      </c>
      <c r="U88" s="7">
        <f>IF($V88="","",T88-R88-K88)</f>
        <v/>
      </c>
      <c r="V88" s="13">
        <f>IF(ROWS($V$2:$V88)&lt;=MAX('Per Line'!$AJ$2:$AJ$1501),MATCH(ROWS($V$2:$V88),'Per Line'!$AJ$2:$AJ$1501,0),"")</f>
        <v/>
      </c>
    </row>
    <row r="89">
      <c r="A89" s="12" t="n"/>
      <c r="B89">
        <f>IF($V89="","",INDEX('Per Line'!$A$2:$A$1501,$V89)&amp;"")</f>
        <v/>
      </c>
      <c r="C89">
        <f>IF($V89="","",INDEX('Per Line'!$C$2:$C$1501,$V89)&amp;"")</f>
        <v/>
      </c>
      <c r="D89" s="11">
        <f>IF($V89="","",INDEX('Per Line'!$S$2:$S$1501,$V89))</f>
        <v/>
      </c>
      <c r="E89">
        <f>IF($V89="","",INDEX('Per Line'!$F$2:$F$1501,$V89)&amp;"")</f>
        <v/>
      </c>
      <c r="F89">
        <f>IF($V89="","",INDEX('Per Line'!$L$2:$L$1501,$V89)&amp;"")</f>
        <v/>
      </c>
      <c r="G89">
        <f>IF($V89="","",INDEX('Per Line'!$O$2:$O$1501,$V89)&amp;"")</f>
        <v/>
      </c>
      <c r="H89">
        <f>IF($V89="","",INDEX('Per Line'!$P$2:$P$1501,$V89)&amp;"")</f>
        <v/>
      </c>
      <c r="I89">
        <f>IF($V89="","",INDEX('Per Line'!$N$2:$N$1501,$V89)&amp;"")</f>
        <v/>
      </c>
      <c r="J89">
        <f>IF($V89="","",INDEX('Per Line'!$Q$2:$Q$1501,$V89))</f>
        <v/>
      </c>
      <c r="K89" s="7">
        <f>IF($V89="","",J89*T89/100)</f>
        <v/>
      </c>
      <c r="L89">
        <f>IF($V89="","",Settings!$C$7)</f>
        <v/>
      </c>
      <c r="M89" s="7">
        <f>IF($V89="","",SUMIFS('Per Line'!$AC$2:$AC$1501,'Per Line'!$C$2:$C$1501,$C89,'Per Line'!$AK$2:$AK$1501,0))</f>
        <v/>
      </c>
      <c r="N89" s="7">
        <f>IF($V89="","",M89*L89)</f>
        <v/>
      </c>
      <c r="O89">
        <f>IF($V89="","",Settings!$C$6)</f>
        <v/>
      </c>
      <c r="P89" s="7">
        <f>IF($V89="","",SUMIFS('Per Line'!$AC$2:$AC$1501,'Per Line'!$C$2:$C$1501,$C89,'Per Line'!$AK$2:$AK$1501,1))</f>
        <v/>
      </c>
      <c r="Q89" s="7">
        <f>IF($V89="","",P89*O89)</f>
        <v/>
      </c>
      <c r="R89" s="7">
        <f>IF($V89="","",Q89+N89)</f>
        <v/>
      </c>
      <c r="S89" s="7">
        <f>IF($V89="","",T89-R89)</f>
        <v/>
      </c>
      <c r="T89" s="7">
        <f>IF($V89="","",M89+P89)</f>
        <v/>
      </c>
      <c r="U89" s="7">
        <f>IF($V89="","",T89-R89-K89)</f>
        <v/>
      </c>
      <c r="V89" s="13">
        <f>IF(ROWS($V$2:$V89)&lt;=MAX('Per Line'!$AJ$2:$AJ$1501),MATCH(ROWS($V$2:$V89),'Per Line'!$AJ$2:$AJ$1501,0),"")</f>
        <v/>
      </c>
    </row>
    <row r="90">
      <c r="A90" s="12" t="n"/>
      <c r="B90">
        <f>IF($V90="","",INDEX('Per Line'!$A$2:$A$1501,$V90)&amp;"")</f>
        <v/>
      </c>
      <c r="C90">
        <f>IF($V90="","",INDEX('Per Line'!$C$2:$C$1501,$V90)&amp;"")</f>
        <v/>
      </c>
      <c r="D90" s="11">
        <f>IF($V90="","",INDEX('Per Line'!$S$2:$S$1501,$V90))</f>
        <v/>
      </c>
      <c r="E90">
        <f>IF($V90="","",INDEX('Per Line'!$F$2:$F$1501,$V90)&amp;"")</f>
        <v/>
      </c>
      <c r="F90">
        <f>IF($V90="","",INDEX('Per Line'!$L$2:$L$1501,$V90)&amp;"")</f>
        <v/>
      </c>
      <c r="G90">
        <f>IF($V90="","",INDEX('Per Line'!$O$2:$O$1501,$V90)&amp;"")</f>
        <v/>
      </c>
      <c r="H90">
        <f>IF($V90="","",INDEX('Per Line'!$P$2:$P$1501,$V90)&amp;"")</f>
        <v/>
      </c>
      <c r="I90">
        <f>IF($V90="","",INDEX('Per Line'!$N$2:$N$1501,$V90)&amp;"")</f>
        <v/>
      </c>
      <c r="J90">
        <f>IF($V90="","",INDEX('Per Line'!$Q$2:$Q$1501,$V90))</f>
        <v/>
      </c>
      <c r="K90" s="7">
        <f>IF($V90="","",J90*T90/100)</f>
        <v/>
      </c>
      <c r="L90">
        <f>IF($V90="","",Settings!$C$7)</f>
        <v/>
      </c>
      <c r="M90" s="7">
        <f>IF($V90="","",SUMIFS('Per Line'!$AC$2:$AC$1501,'Per Line'!$C$2:$C$1501,$C90,'Per Line'!$AK$2:$AK$1501,0))</f>
        <v/>
      </c>
      <c r="N90" s="7">
        <f>IF($V90="","",M90*L90)</f>
        <v/>
      </c>
      <c r="O90">
        <f>IF($V90="","",Settings!$C$6)</f>
        <v/>
      </c>
      <c r="P90" s="7">
        <f>IF($V90="","",SUMIFS('Per Line'!$AC$2:$AC$1501,'Per Line'!$C$2:$C$1501,$C90,'Per Line'!$AK$2:$AK$1501,1))</f>
        <v/>
      </c>
      <c r="Q90" s="7">
        <f>IF($V90="","",P90*O90)</f>
        <v/>
      </c>
      <c r="R90" s="7">
        <f>IF($V90="","",Q90+N90)</f>
        <v/>
      </c>
      <c r="S90" s="7">
        <f>IF($V90="","",T90-R90)</f>
        <v/>
      </c>
      <c r="T90" s="7">
        <f>IF($V90="","",M90+P90)</f>
        <v/>
      </c>
      <c r="U90" s="7">
        <f>IF($V90="","",T90-R90-K90)</f>
        <v/>
      </c>
      <c r="V90" s="13">
        <f>IF(ROWS($V$2:$V90)&lt;=MAX('Per Line'!$AJ$2:$AJ$1501),MATCH(ROWS($V$2:$V90),'Per Line'!$AJ$2:$AJ$1501,0),"")</f>
        <v/>
      </c>
    </row>
    <row r="91">
      <c r="A91" s="12" t="n"/>
      <c r="B91">
        <f>IF($V91="","",INDEX('Per Line'!$A$2:$A$1501,$V91)&amp;"")</f>
        <v/>
      </c>
      <c r="C91">
        <f>IF($V91="","",INDEX('Per Line'!$C$2:$C$1501,$V91)&amp;"")</f>
        <v/>
      </c>
      <c r="D91" s="11">
        <f>IF($V91="","",INDEX('Per Line'!$S$2:$S$1501,$V91))</f>
        <v/>
      </c>
      <c r="E91">
        <f>IF($V91="","",INDEX('Per Line'!$F$2:$F$1501,$V91)&amp;"")</f>
        <v/>
      </c>
      <c r="F91">
        <f>IF($V91="","",INDEX('Per Line'!$L$2:$L$1501,$V91)&amp;"")</f>
        <v/>
      </c>
      <c r="G91">
        <f>IF($V91="","",INDEX('Per Line'!$O$2:$O$1501,$V91)&amp;"")</f>
        <v/>
      </c>
      <c r="H91">
        <f>IF($V91="","",INDEX('Per Line'!$P$2:$P$1501,$V91)&amp;"")</f>
        <v/>
      </c>
      <c r="I91">
        <f>IF($V91="","",INDEX('Per Line'!$N$2:$N$1501,$V91)&amp;"")</f>
        <v/>
      </c>
      <c r="J91">
        <f>IF($V91="","",INDEX('Per Line'!$Q$2:$Q$1501,$V91))</f>
        <v/>
      </c>
      <c r="K91" s="7">
        <f>IF($V91="","",J91*T91/100)</f>
        <v/>
      </c>
      <c r="L91">
        <f>IF($V91="","",Settings!$C$7)</f>
        <v/>
      </c>
      <c r="M91" s="7">
        <f>IF($V91="","",SUMIFS('Per Line'!$AC$2:$AC$1501,'Per Line'!$C$2:$C$1501,$C91,'Per Line'!$AK$2:$AK$1501,0))</f>
        <v/>
      </c>
      <c r="N91" s="7">
        <f>IF($V91="","",M91*L91)</f>
        <v/>
      </c>
      <c r="O91">
        <f>IF($V91="","",Settings!$C$6)</f>
        <v/>
      </c>
      <c r="P91" s="7">
        <f>IF($V91="","",SUMIFS('Per Line'!$AC$2:$AC$1501,'Per Line'!$C$2:$C$1501,$C91,'Per Line'!$AK$2:$AK$1501,1))</f>
        <v/>
      </c>
      <c r="Q91" s="7">
        <f>IF($V91="","",P91*O91)</f>
        <v/>
      </c>
      <c r="R91" s="7">
        <f>IF($V91="","",Q91+N91)</f>
        <v/>
      </c>
      <c r="S91" s="7">
        <f>IF($V91="","",T91-R91)</f>
        <v/>
      </c>
      <c r="T91" s="7">
        <f>IF($V91="","",M91+P91)</f>
        <v/>
      </c>
      <c r="U91" s="7">
        <f>IF($V91="","",T91-R91-K91)</f>
        <v/>
      </c>
      <c r="V91" s="13">
        <f>IF(ROWS($V$2:$V91)&lt;=MAX('Per Line'!$AJ$2:$AJ$1501),MATCH(ROWS($V$2:$V91),'Per Line'!$AJ$2:$AJ$1501,0),"")</f>
        <v/>
      </c>
    </row>
    <row r="92">
      <c r="A92" s="12" t="n"/>
      <c r="B92">
        <f>IF($V92="","",INDEX('Per Line'!$A$2:$A$1501,$V92)&amp;"")</f>
        <v/>
      </c>
      <c r="C92">
        <f>IF($V92="","",INDEX('Per Line'!$C$2:$C$1501,$V92)&amp;"")</f>
        <v/>
      </c>
      <c r="D92" s="11">
        <f>IF($V92="","",INDEX('Per Line'!$S$2:$S$1501,$V92))</f>
        <v/>
      </c>
      <c r="E92">
        <f>IF($V92="","",INDEX('Per Line'!$F$2:$F$1501,$V92)&amp;"")</f>
        <v/>
      </c>
      <c r="F92">
        <f>IF($V92="","",INDEX('Per Line'!$L$2:$L$1501,$V92)&amp;"")</f>
        <v/>
      </c>
      <c r="G92">
        <f>IF($V92="","",INDEX('Per Line'!$O$2:$O$1501,$V92)&amp;"")</f>
        <v/>
      </c>
      <c r="H92">
        <f>IF($V92="","",INDEX('Per Line'!$P$2:$P$1501,$V92)&amp;"")</f>
        <v/>
      </c>
      <c r="I92">
        <f>IF($V92="","",INDEX('Per Line'!$N$2:$N$1501,$V92)&amp;"")</f>
        <v/>
      </c>
      <c r="J92">
        <f>IF($V92="","",INDEX('Per Line'!$Q$2:$Q$1501,$V92))</f>
        <v/>
      </c>
      <c r="K92" s="7">
        <f>IF($V92="","",J92*T92/100)</f>
        <v/>
      </c>
      <c r="L92">
        <f>IF($V92="","",Settings!$C$7)</f>
        <v/>
      </c>
      <c r="M92" s="7">
        <f>IF($V92="","",SUMIFS('Per Line'!$AC$2:$AC$1501,'Per Line'!$C$2:$C$1501,$C92,'Per Line'!$AK$2:$AK$1501,0))</f>
        <v/>
      </c>
      <c r="N92" s="7">
        <f>IF($V92="","",M92*L92)</f>
        <v/>
      </c>
      <c r="O92">
        <f>IF($V92="","",Settings!$C$6)</f>
        <v/>
      </c>
      <c r="P92" s="7">
        <f>IF($V92="","",SUMIFS('Per Line'!$AC$2:$AC$1501,'Per Line'!$C$2:$C$1501,$C92,'Per Line'!$AK$2:$AK$1501,1))</f>
        <v/>
      </c>
      <c r="Q92" s="7">
        <f>IF($V92="","",P92*O92)</f>
        <v/>
      </c>
      <c r="R92" s="7">
        <f>IF($V92="","",Q92+N92)</f>
        <v/>
      </c>
      <c r="S92" s="7">
        <f>IF($V92="","",T92-R92)</f>
        <v/>
      </c>
      <c r="T92" s="7">
        <f>IF($V92="","",M92+P92)</f>
        <v/>
      </c>
      <c r="U92" s="7">
        <f>IF($V92="","",T92-R92-K92)</f>
        <v/>
      </c>
      <c r="V92" s="13">
        <f>IF(ROWS($V$2:$V92)&lt;=MAX('Per Line'!$AJ$2:$AJ$1501),MATCH(ROWS($V$2:$V92),'Per Line'!$AJ$2:$AJ$1501,0),"")</f>
        <v/>
      </c>
    </row>
    <row r="93">
      <c r="A93" s="12" t="n"/>
      <c r="B93">
        <f>IF($V93="","",INDEX('Per Line'!$A$2:$A$1501,$V93)&amp;"")</f>
        <v/>
      </c>
      <c r="C93">
        <f>IF($V93="","",INDEX('Per Line'!$C$2:$C$1501,$V93)&amp;"")</f>
        <v/>
      </c>
      <c r="D93" s="11">
        <f>IF($V93="","",INDEX('Per Line'!$S$2:$S$1501,$V93))</f>
        <v/>
      </c>
      <c r="E93">
        <f>IF($V93="","",INDEX('Per Line'!$F$2:$F$1501,$V93)&amp;"")</f>
        <v/>
      </c>
      <c r="F93">
        <f>IF($V93="","",INDEX('Per Line'!$L$2:$L$1501,$V93)&amp;"")</f>
        <v/>
      </c>
      <c r="G93">
        <f>IF($V93="","",INDEX('Per Line'!$O$2:$O$1501,$V93)&amp;"")</f>
        <v/>
      </c>
      <c r="H93">
        <f>IF($V93="","",INDEX('Per Line'!$P$2:$P$1501,$V93)&amp;"")</f>
        <v/>
      </c>
      <c r="I93">
        <f>IF($V93="","",INDEX('Per Line'!$N$2:$N$1501,$V93)&amp;"")</f>
        <v/>
      </c>
      <c r="J93">
        <f>IF($V93="","",INDEX('Per Line'!$Q$2:$Q$1501,$V93))</f>
        <v/>
      </c>
      <c r="K93" s="7">
        <f>IF($V93="","",J93*T93/100)</f>
        <v/>
      </c>
      <c r="L93">
        <f>IF($V93="","",Settings!$C$7)</f>
        <v/>
      </c>
      <c r="M93" s="7">
        <f>IF($V93="","",SUMIFS('Per Line'!$AC$2:$AC$1501,'Per Line'!$C$2:$C$1501,$C93,'Per Line'!$AK$2:$AK$1501,0))</f>
        <v/>
      </c>
      <c r="N93" s="7">
        <f>IF($V93="","",M93*L93)</f>
        <v/>
      </c>
      <c r="O93">
        <f>IF($V93="","",Settings!$C$6)</f>
        <v/>
      </c>
      <c r="P93" s="7">
        <f>IF($V93="","",SUMIFS('Per Line'!$AC$2:$AC$1501,'Per Line'!$C$2:$C$1501,$C93,'Per Line'!$AK$2:$AK$1501,1))</f>
        <v/>
      </c>
      <c r="Q93" s="7">
        <f>IF($V93="","",P93*O93)</f>
        <v/>
      </c>
      <c r="R93" s="7">
        <f>IF($V93="","",Q93+N93)</f>
        <v/>
      </c>
      <c r="S93" s="7">
        <f>IF($V93="","",T93-R93)</f>
        <v/>
      </c>
      <c r="T93" s="7">
        <f>IF($V93="","",M93+P93)</f>
        <v/>
      </c>
      <c r="U93" s="7">
        <f>IF($V93="","",T93-R93-K93)</f>
        <v/>
      </c>
      <c r="V93" s="13">
        <f>IF(ROWS($V$2:$V93)&lt;=MAX('Per Line'!$AJ$2:$AJ$1501),MATCH(ROWS($V$2:$V93),'Per Line'!$AJ$2:$AJ$1501,0),"")</f>
        <v/>
      </c>
    </row>
    <row r="94">
      <c r="A94" s="12" t="n"/>
      <c r="B94">
        <f>IF($V94="","",INDEX('Per Line'!$A$2:$A$1501,$V94)&amp;"")</f>
        <v/>
      </c>
      <c r="C94">
        <f>IF($V94="","",INDEX('Per Line'!$C$2:$C$1501,$V94)&amp;"")</f>
        <v/>
      </c>
      <c r="D94" s="11">
        <f>IF($V94="","",INDEX('Per Line'!$S$2:$S$1501,$V94))</f>
        <v/>
      </c>
      <c r="E94">
        <f>IF($V94="","",INDEX('Per Line'!$F$2:$F$1501,$V94)&amp;"")</f>
        <v/>
      </c>
      <c r="F94">
        <f>IF($V94="","",INDEX('Per Line'!$L$2:$L$1501,$V94)&amp;"")</f>
        <v/>
      </c>
      <c r="G94">
        <f>IF($V94="","",INDEX('Per Line'!$O$2:$O$1501,$V94)&amp;"")</f>
        <v/>
      </c>
      <c r="H94">
        <f>IF($V94="","",INDEX('Per Line'!$P$2:$P$1501,$V94)&amp;"")</f>
        <v/>
      </c>
      <c r="I94">
        <f>IF($V94="","",INDEX('Per Line'!$N$2:$N$1501,$V94)&amp;"")</f>
        <v/>
      </c>
      <c r="J94">
        <f>IF($V94="","",INDEX('Per Line'!$Q$2:$Q$1501,$V94))</f>
        <v/>
      </c>
      <c r="K94" s="7">
        <f>IF($V94="","",J94*T94/100)</f>
        <v/>
      </c>
      <c r="L94">
        <f>IF($V94="","",Settings!$C$7)</f>
        <v/>
      </c>
      <c r="M94" s="7">
        <f>IF($V94="","",SUMIFS('Per Line'!$AC$2:$AC$1501,'Per Line'!$C$2:$C$1501,$C94,'Per Line'!$AK$2:$AK$1501,0))</f>
        <v/>
      </c>
      <c r="N94" s="7">
        <f>IF($V94="","",M94*L94)</f>
        <v/>
      </c>
      <c r="O94">
        <f>IF($V94="","",Settings!$C$6)</f>
        <v/>
      </c>
      <c r="P94" s="7">
        <f>IF($V94="","",SUMIFS('Per Line'!$AC$2:$AC$1501,'Per Line'!$C$2:$C$1501,$C94,'Per Line'!$AK$2:$AK$1501,1))</f>
        <v/>
      </c>
      <c r="Q94" s="7">
        <f>IF($V94="","",P94*O94)</f>
        <v/>
      </c>
      <c r="R94" s="7">
        <f>IF($V94="","",Q94+N94)</f>
        <v/>
      </c>
      <c r="S94" s="7">
        <f>IF($V94="","",T94-R94)</f>
        <v/>
      </c>
      <c r="T94" s="7">
        <f>IF($V94="","",M94+P94)</f>
        <v/>
      </c>
      <c r="U94" s="7">
        <f>IF($V94="","",T94-R94-K94)</f>
        <v/>
      </c>
      <c r="V94" s="13">
        <f>IF(ROWS($V$2:$V94)&lt;=MAX('Per Line'!$AJ$2:$AJ$1501),MATCH(ROWS($V$2:$V94),'Per Line'!$AJ$2:$AJ$1501,0),"")</f>
        <v/>
      </c>
    </row>
    <row r="95">
      <c r="A95" s="12" t="n"/>
      <c r="B95">
        <f>IF($V95="","",INDEX('Per Line'!$A$2:$A$1501,$V95)&amp;"")</f>
        <v/>
      </c>
      <c r="C95">
        <f>IF($V95="","",INDEX('Per Line'!$C$2:$C$1501,$V95)&amp;"")</f>
        <v/>
      </c>
      <c r="D95" s="11">
        <f>IF($V95="","",INDEX('Per Line'!$S$2:$S$1501,$V95))</f>
        <v/>
      </c>
      <c r="E95">
        <f>IF($V95="","",INDEX('Per Line'!$F$2:$F$1501,$V95)&amp;"")</f>
        <v/>
      </c>
      <c r="F95">
        <f>IF($V95="","",INDEX('Per Line'!$L$2:$L$1501,$V95)&amp;"")</f>
        <v/>
      </c>
      <c r="G95">
        <f>IF($V95="","",INDEX('Per Line'!$O$2:$O$1501,$V95)&amp;"")</f>
        <v/>
      </c>
      <c r="H95">
        <f>IF($V95="","",INDEX('Per Line'!$P$2:$P$1501,$V95)&amp;"")</f>
        <v/>
      </c>
      <c r="I95">
        <f>IF($V95="","",INDEX('Per Line'!$N$2:$N$1501,$V95)&amp;"")</f>
        <v/>
      </c>
      <c r="J95">
        <f>IF($V95="","",INDEX('Per Line'!$Q$2:$Q$1501,$V95))</f>
        <v/>
      </c>
      <c r="K95" s="7">
        <f>IF($V95="","",J95*T95/100)</f>
        <v/>
      </c>
      <c r="L95">
        <f>IF($V95="","",Settings!$C$7)</f>
        <v/>
      </c>
      <c r="M95" s="7">
        <f>IF($V95="","",SUMIFS('Per Line'!$AC$2:$AC$1501,'Per Line'!$C$2:$C$1501,$C95,'Per Line'!$AK$2:$AK$1501,0))</f>
        <v/>
      </c>
      <c r="N95" s="7">
        <f>IF($V95="","",M95*L95)</f>
        <v/>
      </c>
      <c r="O95">
        <f>IF($V95="","",Settings!$C$6)</f>
        <v/>
      </c>
      <c r="P95" s="7">
        <f>IF($V95="","",SUMIFS('Per Line'!$AC$2:$AC$1501,'Per Line'!$C$2:$C$1501,$C95,'Per Line'!$AK$2:$AK$1501,1))</f>
        <v/>
      </c>
      <c r="Q95" s="7">
        <f>IF($V95="","",P95*O95)</f>
        <v/>
      </c>
      <c r="R95" s="7">
        <f>IF($V95="","",Q95+N95)</f>
        <v/>
      </c>
      <c r="S95" s="7">
        <f>IF($V95="","",T95-R95)</f>
        <v/>
      </c>
      <c r="T95" s="7">
        <f>IF($V95="","",M95+P95)</f>
        <v/>
      </c>
      <c r="U95" s="7">
        <f>IF($V95="","",T95-R95-K95)</f>
        <v/>
      </c>
      <c r="V95" s="13">
        <f>IF(ROWS($V$2:$V95)&lt;=MAX('Per Line'!$AJ$2:$AJ$1501),MATCH(ROWS($V$2:$V95),'Per Line'!$AJ$2:$AJ$1501,0),"")</f>
        <v/>
      </c>
    </row>
    <row r="96">
      <c r="A96" s="12" t="n"/>
      <c r="B96">
        <f>IF($V96="","",INDEX('Per Line'!$A$2:$A$1501,$V96)&amp;"")</f>
        <v/>
      </c>
      <c r="C96">
        <f>IF($V96="","",INDEX('Per Line'!$C$2:$C$1501,$V96)&amp;"")</f>
        <v/>
      </c>
      <c r="D96" s="11">
        <f>IF($V96="","",INDEX('Per Line'!$S$2:$S$1501,$V96))</f>
        <v/>
      </c>
      <c r="E96">
        <f>IF($V96="","",INDEX('Per Line'!$F$2:$F$1501,$V96)&amp;"")</f>
        <v/>
      </c>
      <c r="F96">
        <f>IF($V96="","",INDEX('Per Line'!$L$2:$L$1501,$V96)&amp;"")</f>
        <v/>
      </c>
      <c r="G96">
        <f>IF($V96="","",INDEX('Per Line'!$O$2:$O$1501,$V96)&amp;"")</f>
        <v/>
      </c>
      <c r="H96">
        <f>IF($V96="","",INDEX('Per Line'!$P$2:$P$1501,$V96)&amp;"")</f>
        <v/>
      </c>
      <c r="I96">
        <f>IF($V96="","",INDEX('Per Line'!$N$2:$N$1501,$V96)&amp;"")</f>
        <v/>
      </c>
      <c r="J96">
        <f>IF($V96="","",INDEX('Per Line'!$Q$2:$Q$1501,$V96))</f>
        <v/>
      </c>
      <c r="K96" s="7">
        <f>IF($V96="","",J96*T96/100)</f>
        <v/>
      </c>
      <c r="L96">
        <f>IF($V96="","",Settings!$C$7)</f>
        <v/>
      </c>
      <c r="M96" s="7">
        <f>IF($V96="","",SUMIFS('Per Line'!$AC$2:$AC$1501,'Per Line'!$C$2:$C$1501,$C96,'Per Line'!$AK$2:$AK$1501,0))</f>
        <v/>
      </c>
      <c r="N96" s="7">
        <f>IF($V96="","",M96*L96)</f>
        <v/>
      </c>
      <c r="O96">
        <f>IF($V96="","",Settings!$C$6)</f>
        <v/>
      </c>
      <c r="P96" s="7">
        <f>IF($V96="","",SUMIFS('Per Line'!$AC$2:$AC$1501,'Per Line'!$C$2:$C$1501,$C96,'Per Line'!$AK$2:$AK$1501,1))</f>
        <v/>
      </c>
      <c r="Q96" s="7">
        <f>IF($V96="","",P96*O96)</f>
        <v/>
      </c>
      <c r="R96" s="7">
        <f>IF($V96="","",Q96+N96)</f>
        <v/>
      </c>
      <c r="S96" s="7">
        <f>IF($V96="","",T96-R96)</f>
        <v/>
      </c>
      <c r="T96" s="7">
        <f>IF($V96="","",M96+P96)</f>
        <v/>
      </c>
      <c r="U96" s="7">
        <f>IF($V96="","",T96-R96-K96)</f>
        <v/>
      </c>
      <c r="V96" s="13">
        <f>IF(ROWS($V$2:$V96)&lt;=MAX('Per Line'!$AJ$2:$AJ$1501),MATCH(ROWS($V$2:$V96),'Per Line'!$AJ$2:$AJ$1501,0),"")</f>
        <v/>
      </c>
    </row>
    <row r="97">
      <c r="A97" s="12" t="n"/>
      <c r="B97">
        <f>IF($V97="","",INDEX('Per Line'!$A$2:$A$1501,$V97)&amp;"")</f>
        <v/>
      </c>
      <c r="C97">
        <f>IF($V97="","",INDEX('Per Line'!$C$2:$C$1501,$V97)&amp;"")</f>
        <v/>
      </c>
      <c r="D97" s="11">
        <f>IF($V97="","",INDEX('Per Line'!$S$2:$S$1501,$V97))</f>
        <v/>
      </c>
      <c r="E97">
        <f>IF($V97="","",INDEX('Per Line'!$F$2:$F$1501,$V97)&amp;"")</f>
        <v/>
      </c>
      <c r="F97">
        <f>IF($V97="","",INDEX('Per Line'!$L$2:$L$1501,$V97)&amp;"")</f>
        <v/>
      </c>
      <c r="G97">
        <f>IF($V97="","",INDEX('Per Line'!$O$2:$O$1501,$V97)&amp;"")</f>
        <v/>
      </c>
      <c r="H97">
        <f>IF($V97="","",INDEX('Per Line'!$P$2:$P$1501,$V97)&amp;"")</f>
        <v/>
      </c>
      <c r="I97">
        <f>IF($V97="","",INDEX('Per Line'!$N$2:$N$1501,$V97)&amp;"")</f>
        <v/>
      </c>
      <c r="J97">
        <f>IF($V97="","",INDEX('Per Line'!$Q$2:$Q$1501,$V97))</f>
        <v/>
      </c>
      <c r="K97" s="7">
        <f>IF($V97="","",J97*T97/100)</f>
        <v/>
      </c>
      <c r="L97">
        <f>IF($V97="","",Settings!$C$7)</f>
        <v/>
      </c>
      <c r="M97" s="7">
        <f>IF($V97="","",SUMIFS('Per Line'!$AC$2:$AC$1501,'Per Line'!$C$2:$C$1501,$C97,'Per Line'!$AK$2:$AK$1501,0))</f>
        <v/>
      </c>
      <c r="N97" s="7">
        <f>IF($V97="","",M97*L97)</f>
        <v/>
      </c>
      <c r="O97">
        <f>IF($V97="","",Settings!$C$6)</f>
        <v/>
      </c>
      <c r="P97" s="7">
        <f>IF($V97="","",SUMIFS('Per Line'!$AC$2:$AC$1501,'Per Line'!$C$2:$C$1501,$C97,'Per Line'!$AK$2:$AK$1501,1))</f>
        <v/>
      </c>
      <c r="Q97" s="7">
        <f>IF($V97="","",P97*O97)</f>
        <v/>
      </c>
      <c r="R97" s="7">
        <f>IF($V97="","",Q97+N97)</f>
        <v/>
      </c>
      <c r="S97" s="7">
        <f>IF($V97="","",T97-R97)</f>
        <v/>
      </c>
      <c r="T97" s="7">
        <f>IF($V97="","",M97+P97)</f>
        <v/>
      </c>
      <c r="U97" s="7">
        <f>IF($V97="","",T97-R97-K97)</f>
        <v/>
      </c>
      <c r="V97" s="13">
        <f>IF(ROWS($V$2:$V97)&lt;=MAX('Per Line'!$AJ$2:$AJ$1501),MATCH(ROWS($V$2:$V97),'Per Line'!$AJ$2:$AJ$1501,0),"")</f>
        <v/>
      </c>
    </row>
    <row r="98">
      <c r="A98" s="12" t="n"/>
      <c r="B98">
        <f>IF($V98="","",INDEX('Per Line'!$A$2:$A$1501,$V98)&amp;"")</f>
        <v/>
      </c>
      <c r="C98">
        <f>IF($V98="","",INDEX('Per Line'!$C$2:$C$1501,$V98)&amp;"")</f>
        <v/>
      </c>
      <c r="D98" s="11">
        <f>IF($V98="","",INDEX('Per Line'!$S$2:$S$1501,$V98))</f>
        <v/>
      </c>
      <c r="E98">
        <f>IF($V98="","",INDEX('Per Line'!$F$2:$F$1501,$V98)&amp;"")</f>
        <v/>
      </c>
      <c r="F98">
        <f>IF($V98="","",INDEX('Per Line'!$L$2:$L$1501,$V98)&amp;"")</f>
        <v/>
      </c>
      <c r="G98">
        <f>IF($V98="","",INDEX('Per Line'!$O$2:$O$1501,$V98)&amp;"")</f>
        <v/>
      </c>
      <c r="H98">
        <f>IF($V98="","",INDEX('Per Line'!$P$2:$P$1501,$V98)&amp;"")</f>
        <v/>
      </c>
      <c r="I98">
        <f>IF($V98="","",INDEX('Per Line'!$N$2:$N$1501,$V98)&amp;"")</f>
        <v/>
      </c>
      <c r="J98">
        <f>IF($V98="","",INDEX('Per Line'!$Q$2:$Q$1501,$V98))</f>
        <v/>
      </c>
      <c r="K98" s="7">
        <f>IF($V98="","",J98*T98/100)</f>
        <v/>
      </c>
      <c r="L98">
        <f>IF($V98="","",Settings!$C$7)</f>
        <v/>
      </c>
      <c r="M98" s="7">
        <f>IF($V98="","",SUMIFS('Per Line'!$AC$2:$AC$1501,'Per Line'!$C$2:$C$1501,$C98,'Per Line'!$AK$2:$AK$1501,0))</f>
        <v/>
      </c>
      <c r="N98" s="7">
        <f>IF($V98="","",M98*L98)</f>
        <v/>
      </c>
      <c r="O98">
        <f>IF($V98="","",Settings!$C$6)</f>
        <v/>
      </c>
      <c r="P98" s="7">
        <f>IF($V98="","",SUMIFS('Per Line'!$AC$2:$AC$1501,'Per Line'!$C$2:$C$1501,$C98,'Per Line'!$AK$2:$AK$1501,1))</f>
        <v/>
      </c>
      <c r="Q98" s="7">
        <f>IF($V98="","",P98*O98)</f>
        <v/>
      </c>
      <c r="R98" s="7">
        <f>IF($V98="","",Q98+N98)</f>
        <v/>
      </c>
      <c r="S98" s="7">
        <f>IF($V98="","",T98-R98)</f>
        <v/>
      </c>
      <c r="T98" s="7">
        <f>IF($V98="","",M98+P98)</f>
        <v/>
      </c>
      <c r="U98" s="7">
        <f>IF($V98="","",T98-R98-K98)</f>
        <v/>
      </c>
      <c r="V98" s="13">
        <f>IF(ROWS($V$2:$V98)&lt;=MAX('Per Line'!$AJ$2:$AJ$1501),MATCH(ROWS($V$2:$V98),'Per Line'!$AJ$2:$AJ$1501,0),"")</f>
        <v/>
      </c>
    </row>
    <row r="99">
      <c r="A99" s="12" t="n"/>
      <c r="B99">
        <f>IF($V99="","",INDEX('Per Line'!$A$2:$A$1501,$V99)&amp;"")</f>
        <v/>
      </c>
      <c r="C99">
        <f>IF($V99="","",INDEX('Per Line'!$C$2:$C$1501,$V99)&amp;"")</f>
        <v/>
      </c>
      <c r="D99" s="11">
        <f>IF($V99="","",INDEX('Per Line'!$S$2:$S$1501,$V99))</f>
        <v/>
      </c>
      <c r="E99">
        <f>IF($V99="","",INDEX('Per Line'!$F$2:$F$1501,$V99)&amp;"")</f>
        <v/>
      </c>
      <c r="F99">
        <f>IF($V99="","",INDEX('Per Line'!$L$2:$L$1501,$V99)&amp;"")</f>
        <v/>
      </c>
      <c r="G99">
        <f>IF($V99="","",INDEX('Per Line'!$O$2:$O$1501,$V99)&amp;"")</f>
        <v/>
      </c>
      <c r="H99">
        <f>IF($V99="","",INDEX('Per Line'!$P$2:$P$1501,$V99)&amp;"")</f>
        <v/>
      </c>
      <c r="I99">
        <f>IF($V99="","",INDEX('Per Line'!$N$2:$N$1501,$V99)&amp;"")</f>
        <v/>
      </c>
      <c r="J99">
        <f>IF($V99="","",INDEX('Per Line'!$Q$2:$Q$1501,$V99))</f>
        <v/>
      </c>
      <c r="K99" s="7">
        <f>IF($V99="","",J99*T99/100)</f>
        <v/>
      </c>
      <c r="L99">
        <f>IF($V99="","",Settings!$C$7)</f>
        <v/>
      </c>
      <c r="M99" s="7">
        <f>IF($V99="","",SUMIFS('Per Line'!$AC$2:$AC$1501,'Per Line'!$C$2:$C$1501,$C99,'Per Line'!$AK$2:$AK$1501,0))</f>
        <v/>
      </c>
      <c r="N99" s="7">
        <f>IF($V99="","",M99*L99)</f>
        <v/>
      </c>
      <c r="O99">
        <f>IF($V99="","",Settings!$C$6)</f>
        <v/>
      </c>
      <c r="P99" s="7">
        <f>IF($V99="","",SUMIFS('Per Line'!$AC$2:$AC$1501,'Per Line'!$C$2:$C$1501,$C99,'Per Line'!$AK$2:$AK$1501,1))</f>
        <v/>
      </c>
      <c r="Q99" s="7">
        <f>IF($V99="","",P99*O99)</f>
        <v/>
      </c>
      <c r="R99" s="7">
        <f>IF($V99="","",Q99+N99)</f>
        <v/>
      </c>
      <c r="S99" s="7">
        <f>IF($V99="","",T99-R99)</f>
        <v/>
      </c>
      <c r="T99" s="7">
        <f>IF($V99="","",M99+P99)</f>
        <v/>
      </c>
      <c r="U99" s="7">
        <f>IF($V99="","",T99-R99-K99)</f>
        <v/>
      </c>
      <c r="V99" s="13">
        <f>IF(ROWS($V$2:$V99)&lt;=MAX('Per Line'!$AJ$2:$AJ$1501),MATCH(ROWS($V$2:$V99),'Per Line'!$AJ$2:$AJ$1501,0),"")</f>
        <v/>
      </c>
    </row>
    <row r="100">
      <c r="A100" s="12" t="n"/>
      <c r="B100">
        <f>IF($V100="","",INDEX('Per Line'!$A$2:$A$1501,$V100)&amp;"")</f>
        <v/>
      </c>
      <c r="C100">
        <f>IF($V100="","",INDEX('Per Line'!$C$2:$C$1501,$V100)&amp;"")</f>
        <v/>
      </c>
      <c r="D100" s="11">
        <f>IF($V100="","",INDEX('Per Line'!$S$2:$S$1501,$V100))</f>
        <v/>
      </c>
      <c r="E100">
        <f>IF($V100="","",INDEX('Per Line'!$F$2:$F$1501,$V100)&amp;"")</f>
        <v/>
      </c>
      <c r="F100">
        <f>IF($V100="","",INDEX('Per Line'!$L$2:$L$1501,$V100)&amp;"")</f>
        <v/>
      </c>
      <c r="G100">
        <f>IF($V100="","",INDEX('Per Line'!$O$2:$O$1501,$V100)&amp;"")</f>
        <v/>
      </c>
      <c r="H100">
        <f>IF($V100="","",INDEX('Per Line'!$P$2:$P$1501,$V100)&amp;"")</f>
        <v/>
      </c>
      <c r="I100">
        <f>IF($V100="","",INDEX('Per Line'!$N$2:$N$1501,$V100)&amp;"")</f>
        <v/>
      </c>
      <c r="J100">
        <f>IF($V100="","",INDEX('Per Line'!$Q$2:$Q$1501,$V100))</f>
        <v/>
      </c>
      <c r="K100" s="7">
        <f>IF($V100="","",J100*T100/100)</f>
        <v/>
      </c>
      <c r="L100">
        <f>IF($V100="","",Settings!$C$7)</f>
        <v/>
      </c>
      <c r="M100" s="7">
        <f>IF($V100="","",SUMIFS('Per Line'!$AC$2:$AC$1501,'Per Line'!$C$2:$C$1501,$C100,'Per Line'!$AK$2:$AK$1501,0))</f>
        <v/>
      </c>
      <c r="N100" s="7">
        <f>IF($V100="","",M100*L100)</f>
        <v/>
      </c>
      <c r="O100">
        <f>IF($V100="","",Settings!$C$6)</f>
        <v/>
      </c>
      <c r="P100" s="7">
        <f>IF($V100="","",SUMIFS('Per Line'!$AC$2:$AC$1501,'Per Line'!$C$2:$C$1501,$C100,'Per Line'!$AK$2:$AK$1501,1))</f>
        <v/>
      </c>
      <c r="Q100" s="7">
        <f>IF($V100="","",P100*O100)</f>
        <v/>
      </c>
      <c r="R100" s="7">
        <f>IF($V100="","",Q100+N100)</f>
        <v/>
      </c>
      <c r="S100" s="7">
        <f>IF($V100="","",T100-R100)</f>
        <v/>
      </c>
      <c r="T100" s="7">
        <f>IF($V100="","",M100+P100)</f>
        <v/>
      </c>
      <c r="U100" s="7">
        <f>IF($V100="","",T100-R100-K100)</f>
        <v/>
      </c>
      <c r="V100" s="13">
        <f>IF(ROWS($V$2:$V100)&lt;=MAX('Per Line'!$AJ$2:$AJ$1501),MATCH(ROWS($V$2:$V100),'Per Line'!$AJ$2:$AJ$1501,0),"")</f>
        <v/>
      </c>
    </row>
    <row r="101">
      <c r="A101" s="12" t="n"/>
      <c r="B101">
        <f>IF($V101="","",INDEX('Per Line'!$A$2:$A$1501,$V101)&amp;"")</f>
        <v/>
      </c>
      <c r="C101">
        <f>IF($V101="","",INDEX('Per Line'!$C$2:$C$1501,$V101)&amp;"")</f>
        <v/>
      </c>
      <c r="D101" s="11">
        <f>IF($V101="","",INDEX('Per Line'!$S$2:$S$1501,$V101))</f>
        <v/>
      </c>
      <c r="E101">
        <f>IF($V101="","",INDEX('Per Line'!$F$2:$F$1501,$V101)&amp;"")</f>
        <v/>
      </c>
      <c r="F101">
        <f>IF($V101="","",INDEX('Per Line'!$L$2:$L$1501,$V101)&amp;"")</f>
        <v/>
      </c>
      <c r="G101">
        <f>IF($V101="","",INDEX('Per Line'!$O$2:$O$1501,$V101)&amp;"")</f>
        <v/>
      </c>
      <c r="H101">
        <f>IF($V101="","",INDEX('Per Line'!$P$2:$P$1501,$V101)&amp;"")</f>
        <v/>
      </c>
      <c r="I101">
        <f>IF($V101="","",INDEX('Per Line'!$N$2:$N$1501,$V101)&amp;"")</f>
        <v/>
      </c>
      <c r="J101">
        <f>IF($V101="","",INDEX('Per Line'!$Q$2:$Q$1501,$V101))</f>
        <v/>
      </c>
      <c r="K101" s="7">
        <f>IF($V101="","",J101*T101/100)</f>
        <v/>
      </c>
      <c r="L101">
        <f>IF($V101="","",Settings!$C$7)</f>
        <v/>
      </c>
      <c r="M101" s="7">
        <f>IF($V101="","",SUMIFS('Per Line'!$AC$2:$AC$1501,'Per Line'!$C$2:$C$1501,$C101,'Per Line'!$AK$2:$AK$1501,0))</f>
        <v/>
      </c>
      <c r="N101" s="7">
        <f>IF($V101="","",M101*L101)</f>
        <v/>
      </c>
      <c r="O101">
        <f>IF($V101="","",Settings!$C$6)</f>
        <v/>
      </c>
      <c r="P101" s="7">
        <f>IF($V101="","",SUMIFS('Per Line'!$AC$2:$AC$1501,'Per Line'!$C$2:$C$1501,$C101,'Per Line'!$AK$2:$AK$1501,1))</f>
        <v/>
      </c>
      <c r="Q101" s="7">
        <f>IF($V101="","",P101*O101)</f>
        <v/>
      </c>
      <c r="R101" s="7">
        <f>IF($V101="","",Q101+N101)</f>
        <v/>
      </c>
      <c r="S101" s="7">
        <f>IF($V101="","",T101-R101)</f>
        <v/>
      </c>
      <c r="T101" s="7">
        <f>IF($V101="","",M101+P101)</f>
        <v/>
      </c>
      <c r="U101" s="7">
        <f>IF($V101="","",T101-R101-K101)</f>
        <v/>
      </c>
      <c r="V101" s="13">
        <f>IF(ROWS($V$2:$V101)&lt;=MAX('Per Line'!$AJ$2:$AJ$1501),MATCH(ROWS($V$2:$V101),'Per Line'!$AJ$2:$AJ$1501,0),"")</f>
        <v/>
      </c>
    </row>
    <row r="102">
      <c r="A102" s="12" t="n"/>
      <c r="B102">
        <f>IF($V102="","",INDEX('Per Line'!$A$2:$A$1501,$V102)&amp;"")</f>
        <v/>
      </c>
      <c r="C102">
        <f>IF($V102="","",INDEX('Per Line'!$C$2:$C$1501,$V102)&amp;"")</f>
        <v/>
      </c>
      <c r="D102" s="11">
        <f>IF($V102="","",INDEX('Per Line'!$S$2:$S$1501,$V102))</f>
        <v/>
      </c>
      <c r="E102">
        <f>IF($V102="","",INDEX('Per Line'!$F$2:$F$1501,$V102)&amp;"")</f>
        <v/>
      </c>
      <c r="F102">
        <f>IF($V102="","",INDEX('Per Line'!$L$2:$L$1501,$V102)&amp;"")</f>
        <v/>
      </c>
      <c r="G102">
        <f>IF($V102="","",INDEX('Per Line'!$O$2:$O$1501,$V102)&amp;"")</f>
        <v/>
      </c>
      <c r="H102">
        <f>IF($V102="","",INDEX('Per Line'!$P$2:$P$1501,$V102)&amp;"")</f>
        <v/>
      </c>
      <c r="I102">
        <f>IF($V102="","",INDEX('Per Line'!$N$2:$N$1501,$V102)&amp;"")</f>
        <v/>
      </c>
      <c r="J102">
        <f>IF($V102="","",INDEX('Per Line'!$Q$2:$Q$1501,$V102))</f>
        <v/>
      </c>
      <c r="K102" s="7">
        <f>IF($V102="","",J102*T102/100)</f>
        <v/>
      </c>
      <c r="L102">
        <f>IF($V102="","",Settings!$C$7)</f>
        <v/>
      </c>
      <c r="M102" s="7">
        <f>IF($V102="","",SUMIFS('Per Line'!$AC$2:$AC$1501,'Per Line'!$C$2:$C$1501,$C102,'Per Line'!$AK$2:$AK$1501,0))</f>
        <v/>
      </c>
      <c r="N102" s="7">
        <f>IF($V102="","",M102*L102)</f>
        <v/>
      </c>
      <c r="O102">
        <f>IF($V102="","",Settings!$C$6)</f>
        <v/>
      </c>
      <c r="P102" s="7">
        <f>IF($V102="","",SUMIFS('Per Line'!$AC$2:$AC$1501,'Per Line'!$C$2:$C$1501,$C102,'Per Line'!$AK$2:$AK$1501,1))</f>
        <v/>
      </c>
      <c r="Q102" s="7">
        <f>IF($V102="","",P102*O102)</f>
        <v/>
      </c>
      <c r="R102" s="7">
        <f>IF($V102="","",Q102+N102)</f>
        <v/>
      </c>
      <c r="S102" s="7">
        <f>IF($V102="","",T102-R102)</f>
        <v/>
      </c>
      <c r="T102" s="7">
        <f>IF($V102="","",M102+P102)</f>
        <v/>
      </c>
      <c r="U102" s="7">
        <f>IF($V102="","",T102-R102-K102)</f>
        <v/>
      </c>
      <c r="V102" s="13">
        <f>IF(ROWS($V$2:$V102)&lt;=MAX('Per Line'!$AJ$2:$AJ$1501),MATCH(ROWS($V$2:$V102),'Per Line'!$AJ$2:$AJ$1501,0),"")</f>
        <v/>
      </c>
    </row>
    <row r="103">
      <c r="A103" s="12" t="n"/>
      <c r="B103">
        <f>IF($V103="","",INDEX('Per Line'!$A$2:$A$1501,$V103)&amp;"")</f>
        <v/>
      </c>
      <c r="C103">
        <f>IF($V103="","",INDEX('Per Line'!$C$2:$C$1501,$V103)&amp;"")</f>
        <v/>
      </c>
      <c r="D103" s="11">
        <f>IF($V103="","",INDEX('Per Line'!$S$2:$S$1501,$V103))</f>
        <v/>
      </c>
      <c r="E103">
        <f>IF($V103="","",INDEX('Per Line'!$F$2:$F$1501,$V103)&amp;"")</f>
        <v/>
      </c>
      <c r="F103">
        <f>IF($V103="","",INDEX('Per Line'!$L$2:$L$1501,$V103)&amp;"")</f>
        <v/>
      </c>
      <c r="G103">
        <f>IF($V103="","",INDEX('Per Line'!$O$2:$O$1501,$V103)&amp;"")</f>
        <v/>
      </c>
      <c r="H103">
        <f>IF($V103="","",INDEX('Per Line'!$P$2:$P$1501,$V103)&amp;"")</f>
        <v/>
      </c>
      <c r="I103">
        <f>IF($V103="","",INDEX('Per Line'!$N$2:$N$1501,$V103)&amp;"")</f>
        <v/>
      </c>
      <c r="J103">
        <f>IF($V103="","",INDEX('Per Line'!$Q$2:$Q$1501,$V103))</f>
        <v/>
      </c>
      <c r="K103" s="7">
        <f>IF($V103="","",J103*T103/100)</f>
        <v/>
      </c>
      <c r="L103">
        <f>IF($V103="","",Settings!$C$7)</f>
        <v/>
      </c>
      <c r="M103" s="7">
        <f>IF($V103="","",SUMIFS('Per Line'!$AC$2:$AC$1501,'Per Line'!$C$2:$C$1501,$C103,'Per Line'!$AK$2:$AK$1501,0))</f>
        <v/>
      </c>
      <c r="N103" s="7">
        <f>IF($V103="","",M103*L103)</f>
        <v/>
      </c>
      <c r="O103">
        <f>IF($V103="","",Settings!$C$6)</f>
        <v/>
      </c>
      <c r="P103" s="7">
        <f>IF($V103="","",SUMIFS('Per Line'!$AC$2:$AC$1501,'Per Line'!$C$2:$C$1501,$C103,'Per Line'!$AK$2:$AK$1501,1))</f>
        <v/>
      </c>
      <c r="Q103" s="7">
        <f>IF($V103="","",P103*O103)</f>
        <v/>
      </c>
      <c r="R103" s="7">
        <f>IF($V103="","",Q103+N103)</f>
        <v/>
      </c>
      <c r="S103" s="7">
        <f>IF($V103="","",T103-R103)</f>
        <v/>
      </c>
      <c r="T103" s="7">
        <f>IF($V103="","",M103+P103)</f>
        <v/>
      </c>
      <c r="U103" s="7">
        <f>IF($V103="","",T103-R103-K103)</f>
        <v/>
      </c>
      <c r="V103" s="13">
        <f>IF(ROWS($V$2:$V103)&lt;=MAX('Per Line'!$AJ$2:$AJ$1501),MATCH(ROWS($V$2:$V103),'Per Line'!$AJ$2:$AJ$1501,0),"")</f>
        <v/>
      </c>
    </row>
    <row r="104">
      <c r="A104" s="12" t="n"/>
      <c r="B104">
        <f>IF($V104="","",INDEX('Per Line'!$A$2:$A$1501,$V104)&amp;"")</f>
        <v/>
      </c>
      <c r="C104">
        <f>IF($V104="","",INDEX('Per Line'!$C$2:$C$1501,$V104)&amp;"")</f>
        <v/>
      </c>
      <c r="D104" s="11">
        <f>IF($V104="","",INDEX('Per Line'!$S$2:$S$1501,$V104))</f>
        <v/>
      </c>
      <c r="E104">
        <f>IF($V104="","",INDEX('Per Line'!$F$2:$F$1501,$V104)&amp;"")</f>
        <v/>
      </c>
      <c r="F104">
        <f>IF($V104="","",INDEX('Per Line'!$L$2:$L$1501,$V104)&amp;"")</f>
        <v/>
      </c>
      <c r="G104">
        <f>IF($V104="","",INDEX('Per Line'!$O$2:$O$1501,$V104)&amp;"")</f>
        <v/>
      </c>
      <c r="H104">
        <f>IF($V104="","",INDEX('Per Line'!$P$2:$P$1501,$V104)&amp;"")</f>
        <v/>
      </c>
      <c r="I104">
        <f>IF($V104="","",INDEX('Per Line'!$N$2:$N$1501,$V104)&amp;"")</f>
        <v/>
      </c>
      <c r="J104">
        <f>IF($V104="","",INDEX('Per Line'!$Q$2:$Q$1501,$V104))</f>
        <v/>
      </c>
      <c r="K104" s="7">
        <f>IF($V104="","",J104*T104/100)</f>
        <v/>
      </c>
      <c r="L104">
        <f>IF($V104="","",Settings!$C$7)</f>
        <v/>
      </c>
      <c r="M104" s="7">
        <f>IF($V104="","",SUMIFS('Per Line'!$AC$2:$AC$1501,'Per Line'!$C$2:$C$1501,$C104,'Per Line'!$AK$2:$AK$1501,0))</f>
        <v/>
      </c>
      <c r="N104" s="7">
        <f>IF($V104="","",M104*L104)</f>
        <v/>
      </c>
      <c r="O104">
        <f>IF($V104="","",Settings!$C$6)</f>
        <v/>
      </c>
      <c r="P104" s="7">
        <f>IF($V104="","",SUMIFS('Per Line'!$AC$2:$AC$1501,'Per Line'!$C$2:$C$1501,$C104,'Per Line'!$AK$2:$AK$1501,1))</f>
        <v/>
      </c>
      <c r="Q104" s="7">
        <f>IF($V104="","",P104*O104)</f>
        <v/>
      </c>
      <c r="R104" s="7">
        <f>IF($V104="","",Q104+N104)</f>
        <v/>
      </c>
      <c r="S104" s="7">
        <f>IF($V104="","",T104-R104)</f>
        <v/>
      </c>
      <c r="T104" s="7">
        <f>IF($V104="","",M104+P104)</f>
        <v/>
      </c>
      <c r="U104" s="7">
        <f>IF($V104="","",T104-R104-K104)</f>
        <v/>
      </c>
      <c r="V104" s="13">
        <f>IF(ROWS($V$2:$V104)&lt;=MAX('Per Line'!$AJ$2:$AJ$1501),MATCH(ROWS($V$2:$V104),'Per Line'!$AJ$2:$AJ$1501,0),"")</f>
        <v/>
      </c>
    </row>
    <row r="105">
      <c r="A105" s="12" t="n"/>
      <c r="B105">
        <f>IF($V105="","",INDEX('Per Line'!$A$2:$A$1501,$V105)&amp;"")</f>
        <v/>
      </c>
      <c r="C105">
        <f>IF($V105="","",INDEX('Per Line'!$C$2:$C$1501,$V105)&amp;"")</f>
        <v/>
      </c>
      <c r="D105" s="11">
        <f>IF($V105="","",INDEX('Per Line'!$S$2:$S$1501,$V105))</f>
        <v/>
      </c>
      <c r="E105">
        <f>IF($V105="","",INDEX('Per Line'!$F$2:$F$1501,$V105)&amp;"")</f>
        <v/>
      </c>
      <c r="F105">
        <f>IF($V105="","",INDEX('Per Line'!$L$2:$L$1501,$V105)&amp;"")</f>
        <v/>
      </c>
      <c r="G105">
        <f>IF($V105="","",INDEX('Per Line'!$O$2:$O$1501,$V105)&amp;"")</f>
        <v/>
      </c>
      <c r="H105">
        <f>IF($V105="","",INDEX('Per Line'!$P$2:$P$1501,$V105)&amp;"")</f>
        <v/>
      </c>
      <c r="I105">
        <f>IF($V105="","",INDEX('Per Line'!$N$2:$N$1501,$V105)&amp;"")</f>
        <v/>
      </c>
      <c r="J105">
        <f>IF($V105="","",INDEX('Per Line'!$Q$2:$Q$1501,$V105))</f>
        <v/>
      </c>
      <c r="K105" s="7">
        <f>IF($V105="","",J105*T105/100)</f>
        <v/>
      </c>
      <c r="L105">
        <f>IF($V105="","",Settings!$C$7)</f>
        <v/>
      </c>
      <c r="M105" s="7">
        <f>IF($V105="","",SUMIFS('Per Line'!$AC$2:$AC$1501,'Per Line'!$C$2:$C$1501,$C105,'Per Line'!$AK$2:$AK$1501,0))</f>
        <v/>
      </c>
      <c r="N105" s="7">
        <f>IF($V105="","",M105*L105)</f>
        <v/>
      </c>
      <c r="O105">
        <f>IF($V105="","",Settings!$C$6)</f>
        <v/>
      </c>
      <c r="P105" s="7">
        <f>IF($V105="","",SUMIFS('Per Line'!$AC$2:$AC$1501,'Per Line'!$C$2:$C$1501,$C105,'Per Line'!$AK$2:$AK$1501,1))</f>
        <v/>
      </c>
      <c r="Q105" s="7">
        <f>IF($V105="","",P105*O105)</f>
        <v/>
      </c>
      <c r="R105" s="7">
        <f>IF($V105="","",Q105+N105)</f>
        <v/>
      </c>
      <c r="S105" s="7">
        <f>IF($V105="","",T105-R105)</f>
        <v/>
      </c>
      <c r="T105" s="7">
        <f>IF($V105="","",M105+P105)</f>
        <v/>
      </c>
      <c r="U105" s="7">
        <f>IF($V105="","",T105-R105-K105)</f>
        <v/>
      </c>
      <c r="V105" s="13">
        <f>IF(ROWS($V$2:$V105)&lt;=MAX('Per Line'!$AJ$2:$AJ$1501),MATCH(ROWS($V$2:$V105),'Per Line'!$AJ$2:$AJ$1501,0),"")</f>
        <v/>
      </c>
    </row>
    <row r="106">
      <c r="A106" s="12" t="n"/>
      <c r="B106">
        <f>IF($V106="","",INDEX('Per Line'!$A$2:$A$1501,$V106)&amp;"")</f>
        <v/>
      </c>
      <c r="C106">
        <f>IF($V106="","",INDEX('Per Line'!$C$2:$C$1501,$V106)&amp;"")</f>
        <v/>
      </c>
      <c r="D106" s="11">
        <f>IF($V106="","",INDEX('Per Line'!$S$2:$S$1501,$V106))</f>
        <v/>
      </c>
      <c r="E106">
        <f>IF($V106="","",INDEX('Per Line'!$F$2:$F$1501,$V106)&amp;"")</f>
        <v/>
      </c>
      <c r="F106">
        <f>IF($V106="","",INDEX('Per Line'!$L$2:$L$1501,$V106)&amp;"")</f>
        <v/>
      </c>
      <c r="G106">
        <f>IF($V106="","",INDEX('Per Line'!$O$2:$O$1501,$V106)&amp;"")</f>
        <v/>
      </c>
      <c r="H106">
        <f>IF($V106="","",INDEX('Per Line'!$P$2:$P$1501,$V106)&amp;"")</f>
        <v/>
      </c>
      <c r="I106">
        <f>IF($V106="","",INDEX('Per Line'!$N$2:$N$1501,$V106)&amp;"")</f>
        <v/>
      </c>
      <c r="J106">
        <f>IF($V106="","",INDEX('Per Line'!$Q$2:$Q$1501,$V106))</f>
        <v/>
      </c>
      <c r="K106" s="7">
        <f>IF($V106="","",J106*T106/100)</f>
        <v/>
      </c>
      <c r="L106">
        <f>IF($V106="","",Settings!$C$7)</f>
        <v/>
      </c>
      <c r="M106" s="7">
        <f>IF($V106="","",SUMIFS('Per Line'!$AC$2:$AC$1501,'Per Line'!$C$2:$C$1501,$C106,'Per Line'!$AK$2:$AK$1501,0))</f>
        <v/>
      </c>
      <c r="N106" s="7">
        <f>IF($V106="","",M106*L106)</f>
        <v/>
      </c>
      <c r="O106">
        <f>IF($V106="","",Settings!$C$6)</f>
        <v/>
      </c>
      <c r="P106" s="7">
        <f>IF($V106="","",SUMIFS('Per Line'!$AC$2:$AC$1501,'Per Line'!$C$2:$C$1501,$C106,'Per Line'!$AK$2:$AK$1501,1))</f>
        <v/>
      </c>
      <c r="Q106" s="7">
        <f>IF($V106="","",P106*O106)</f>
        <v/>
      </c>
      <c r="R106" s="7">
        <f>IF($V106="","",Q106+N106)</f>
        <v/>
      </c>
      <c r="S106" s="7">
        <f>IF($V106="","",T106-R106)</f>
        <v/>
      </c>
      <c r="T106" s="7">
        <f>IF($V106="","",M106+P106)</f>
        <v/>
      </c>
      <c r="U106" s="7">
        <f>IF($V106="","",T106-R106-K106)</f>
        <v/>
      </c>
      <c r="V106" s="13">
        <f>IF(ROWS($V$2:$V106)&lt;=MAX('Per Line'!$AJ$2:$AJ$1501),MATCH(ROWS($V$2:$V106),'Per Line'!$AJ$2:$AJ$1501,0),"")</f>
        <v/>
      </c>
    </row>
    <row r="107">
      <c r="A107" s="12" t="n"/>
      <c r="B107">
        <f>IF($V107="","",INDEX('Per Line'!$A$2:$A$1501,$V107)&amp;"")</f>
        <v/>
      </c>
      <c r="C107">
        <f>IF($V107="","",INDEX('Per Line'!$C$2:$C$1501,$V107)&amp;"")</f>
        <v/>
      </c>
      <c r="D107" s="11">
        <f>IF($V107="","",INDEX('Per Line'!$S$2:$S$1501,$V107))</f>
        <v/>
      </c>
      <c r="E107">
        <f>IF($V107="","",INDEX('Per Line'!$F$2:$F$1501,$V107)&amp;"")</f>
        <v/>
      </c>
      <c r="F107">
        <f>IF($V107="","",INDEX('Per Line'!$L$2:$L$1501,$V107)&amp;"")</f>
        <v/>
      </c>
      <c r="G107">
        <f>IF($V107="","",INDEX('Per Line'!$O$2:$O$1501,$V107)&amp;"")</f>
        <v/>
      </c>
      <c r="H107">
        <f>IF($V107="","",INDEX('Per Line'!$P$2:$P$1501,$V107)&amp;"")</f>
        <v/>
      </c>
      <c r="I107">
        <f>IF($V107="","",INDEX('Per Line'!$N$2:$N$1501,$V107)&amp;"")</f>
        <v/>
      </c>
      <c r="J107">
        <f>IF($V107="","",INDEX('Per Line'!$Q$2:$Q$1501,$V107))</f>
        <v/>
      </c>
      <c r="K107" s="7">
        <f>IF($V107="","",J107*T107/100)</f>
        <v/>
      </c>
      <c r="L107">
        <f>IF($V107="","",Settings!$C$7)</f>
        <v/>
      </c>
      <c r="M107" s="7">
        <f>IF($V107="","",SUMIFS('Per Line'!$AC$2:$AC$1501,'Per Line'!$C$2:$C$1501,$C107,'Per Line'!$AK$2:$AK$1501,0))</f>
        <v/>
      </c>
      <c r="N107" s="7">
        <f>IF($V107="","",M107*L107)</f>
        <v/>
      </c>
      <c r="O107">
        <f>IF($V107="","",Settings!$C$6)</f>
        <v/>
      </c>
      <c r="P107" s="7">
        <f>IF($V107="","",SUMIFS('Per Line'!$AC$2:$AC$1501,'Per Line'!$C$2:$C$1501,$C107,'Per Line'!$AK$2:$AK$1501,1))</f>
        <v/>
      </c>
      <c r="Q107" s="7">
        <f>IF($V107="","",P107*O107)</f>
        <v/>
      </c>
      <c r="R107" s="7">
        <f>IF($V107="","",Q107+N107)</f>
        <v/>
      </c>
      <c r="S107" s="7">
        <f>IF($V107="","",T107-R107)</f>
        <v/>
      </c>
      <c r="T107" s="7">
        <f>IF($V107="","",M107+P107)</f>
        <v/>
      </c>
      <c r="U107" s="7">
        <f>IF($V107="","",T107-R107-K107)</f>
        <v/>
      </c>
      <c r="V107" s="13">
        <f>IF(ROWS($V$2:$V107)&lt;=MAX('Per Line'!$AJ$2:$AJ$1501),MATCH(ROWS($V$2:$V107),'Per Line'!$AJ$2:$AJ$1501,0),"")</f>
        <v/>
      </c>
    </row>
    <row r="108">
      <c r="A108" s="12" t="n"/>
      <c r="B108">
        <f>IF($V108="","",INDEX('Per Line'!$A$2:$A$1501,$V108)&amp;"")</f>
        <v/>
      </c>
      <c r="C108">
        <f>IF($V108="","",INDEX('Per Line'!$C$2:$C$1501,$V108)&amp;"")</f>
        <v/>
      </c>
      <c r="D108" s="11">
        <f>IF($V108="","",INDEX('Per Line'!$S$2:$S$1501,$V108))</f>
        <v/>
      </c>
      <c r="E108">
        <f>IF($V108="","",INDEX('Per Line'!$F$2:$F$1501,$V108)&amp;"")</f>
        <v/>
      </c>
      <c r="F108">
        <f>IF($V108="","",INDEX('Per Line'!$L$2:$L$1501,$V108)&amp;"")</f>
        <v/>
      </c>
      <c r="G108">
        <f>IF($V108="","",INDEX('Per Line'!$O$2:$O$1501,$V108)&amp;"")</f>
        <v/>
      </c>
      <c r="H108">
        <f>IF($V108="","",INDEX('Per Line'!$P$2:$P$1501,$V108)&amp;"")</f>
        <v/>
      </c>
      <c r="I108">
        <f>IF($V108="","",INDEX('Per Line'!$N$2:$N$1501,$V108)&amp;"")</f>
        <v/>
      </c>
      <c r="J108">
        <f>IF($V108="","",INDEX('Per Line'!$Q$2:$Q$1501,$V108))</f>
        <v/>
      </c>
      <c r="K108" s="7">
        <f>IF($V108="","",J108*T108/100)</f>
        <v/>
      </c>
      <c r="L108">
        <f>IF($V108="","",Settings!$C$7)</f>
        <v/>
      </c>
      <c r="M108" s="7">
        <f>IF($V108="","",SUMIFS('Per Line'!$AC$2:$AC$1501,'Per Line'!$C$2:$C$1501,$C108,'Per Line'!$AK$2:$AK$1501,0))</f>
        <v/>
      </c>
      <c r="N108" s="7">
        <f>IF($V108="","",M108*L108)</f>
        <v/>
      </c>
      <c r="O108">
        <f>IF($V108="","",Settings!$C$6)</f>
        <v/>
      </c>
      <c r="P108" s="7">
        <f>IF($V108="","",SUMIFS('Per Line'!$AC$2:$AC$1501,'Per Line'!$C$2:$C$1501,$C108,'Per Line'!$AK$2:$AK$1501,1))</f>
        <v/>
      </c>
      <c r="Q108" s="7">
        <f>IF($V108="","",P108*O108)</f>
        <v/>
      </c>
      <c r="R108" s="7">
        <f>IF($V108="","",Q108+N108)</f>
        <v/>
      </c>
      <c r="S108" s="7">
        <f>IF($V108="","",T108-R108)</f>
        <v/>
      </c>
      <c r="T108" s="7">
        <f>IF($V108="","",M108+P108)</f>
        <v/>
      </c>
      <c r="U108" s="7">
        <f>IF($V108="","",T108-R108-K108)</f>
        <v/>
      </c>
      <c r="V108" s="13">
        <f>IF(ROWS($V$2:$V108)&lt;=MAX('Per Line'!$AJ$2:$AJ$1501),MATCH(ROWS($V$2:$V108),'Per Line'!$AJ$2:$AJ$1501,0),"")</f>
        <v/>
      </c>
    </row>
    <row r="109">
      <c r="A109" s="12" t="n"/>
      <c r="B109">
        <f>IF($V109="","",INDEX('Per Line'!$A$2:$A$1501,$V109)&amp;"")</f>
        <v/>
      </c>
      <c r="C109">
        <f>IF($V109="","",INDEX('Per Line'!$C$2:$C$1501,$V109)&amp;"")</f>
        <v/>
      </c>
      <c r="D109" s="11">
        <f>IF($V109="","",INDEX('Per Line'!$S$2:$S$1501,$V109))</f>
        <v/>
      </c>
      <c r="E109">
        <f>IF($V109="","",INDEX('Per Line'!$F$2:$F$1501,$V109)&amp;"")</f>
        <v/>
      </c>
      <c r="F109">
        <f>IF($V109="","",INDEX('Per Line'!$L$2:$L$1501,$V109)&amp;"")</f>
        <v/>
      </c>
      <c r="G109">
        <f>IF($V109="","",INDEX('Per Line'!$O$2:$O$1501,$V109)&amp;"")</f>
        <v/>
      </c>
      <c r="H109">
        <f>IF($V109="","",INDEX('Per Line'!$P$2:$P$1501,$V109)&amp;"")</f>
        <v/>
      </c>
      <c r="I109">
        <f>IF($V109="","",INDEX('Per Line'!$N$2:$N$1501,$V109)&amp;"")</f>
        <v/>
      </c>
      <c r="J109">
        <f>IF($V109="","",INDEX('Per Line'!$Q$2:$Q$1501,$V109))</f>
        <v/>
      </c>
      <c r="K109" s="7">
        <f>IF($V109="","",J109*T109/100)</f>
        <v/>
      </c>
      <c r="L109">
        <f>IF($V109="","",Settings!$C$7)</f>
        <v/>
      </c>
      <c r="M109" s="7">
        <f>IF($V109="","",SUMIFS('Per Line'!$AC$2:$AC$1501,'Per Line'!$C$2:$C$1501,$C109,'Per Line'!$AK$2:$AK$1501,0))</f>
        <v/>
      </c>
      <c r="N109" s="7">
        <f>IF($V109="","",M109*L109)</f>
        <v/>
      </c>
      <c r="O109">
        <f>IF($V109="","",Settings!$C$6)</f>
        <v/>
      </c>
      <c r="P109" s="7">
        <f>IF($V109="","",SUMIFS('Per Line'!$AC$2:$AC$1501,'Per Line'!$C$2:$C$1501,$C109,'Per Line'!$AK$2:$AK$1501,1))</f>
        <v/>
      </c>
      <c r="Q109" s="7">
        <f>IF($V109="","",P109*O109)</f>
        <v/>
      </c>
      <c r="R109" s="7">
        <f>IF($V109="","",Q109+N109)</f>
        <v/>
      </c>
      <c r="S109" s="7">
        <f>IF($V109="","",T109-R109)</f>
        <v/>
      </c>
      <c r="T109" s="7">
        <f>IF($V109="","",M109+P109)</f>
        <v/>
      </c>
      <c r="U109" s="7">
        <f>IF($V109="","",T109-R109-K109)</f>
        <v/>
      </c>
      <c r="V109" s="13">
        <f>IF(ROWS($V$2:$V109)&lt;=MAX('Per Line'!$AJ$2:$AJ$1501),MATCH(ROWS($V$2:$V109),'Per Line'!$AJ$2:$AJ$1501,0),"")</f>
        <v/>
      </c>
    </row>
    <row r="110">
      <c r="A110" s="12" t="n"/>
      <c r="B110">
        <f>IF($V110="","",INDEX('Per Line'!$A$2:$A$1501,$V110)&amp;"")</f>
        <v/>
      </c>
      <c r="C110">
        <f>IF($V110="","",INDEX('Per Line'!$C$2:$C$1501,$V110)&amp;"")</f>
        <v/>
      </c>
      <c r="D110" s="11">
        <f>IF($V110="","",INDEX('Per Line'!$S$2:$S$1501,$V110))</f>
        <v/>
      </c>
      <c r="E110">
        <f>IF($V110="","",INDEX('Per Line'!$F$2:$F$1501,$V110)&amp;"")</f>
        <v/>
      </c>
      <c r="F110">
        <f>IF($V110="","",INDEX('Per Line'!$L$2:$L$1501,$V110)&amp;"")</f>
        <v/>
      </c>
      <c r="G110">
        <f>IF($V110="","",INDEX('Per Line'!$O$2:$O$1501,$V110)&amp;"")</f>
        <v/>
      </c>
      <c r="H110">
        <f>IF($V110="","",INDEX('Per Line'!$P$2:$P$1501,$V110)&amp;"")</f>
        <v/>
      </c>
      <c r="I110">
        <f>IF($V110="","",INDEX('Per Line'!$N$2:$N$1501,$V110)&amp;"")</f>
        <v/>
      </c>
      <c r="J110">
        <f>IF($V110="","",INDEX('Per Line'!$Q$2:$Q$1501,$V110))</f>
        <v/>
      </c>
      <c r="K110" s="7">
        <f>IF($V110="","",J110*T110/100)</f>
        <v/>
      </c>
      <c r="L110">
        <f>IF($V110="","",Settings!$C$7)</f>
        <v/>
      </c>
      <c r="M110" s="7">
        <f>IF($V110="","",SUMIFS('Per Line'!$AC$2:$AC$1501,'Per Line'!$C$2:$C$1501,$C110,'Per Line'!$AK$2:$AK$1501,0))</f>
        <v/>
      </c>
      <c r="N110" s="7">
        <f>IF($V110="","",M110*L110)</f>
        <v/>
      </c>
      <c r="O110">
        <f>IF($V110="","",Settings!$C$6)</f>
        <v/>
      </c>
      <c r="P110" s="7">
        <f>IF($V110="","",SUMIFS('Per Line'!$AC$2:$AC$1501,'Per Line'!$C$2:$C$1501,$C110,'Per Line'!$AK$2:$AK$1501,1))</f>
        <v/>
      </c>
      <c r="Q110" s="7">
        <f>IF($V110="","",P110*O110)</f>
        <v/>
      </c>
      <c r="R110" s="7">
        <f>IF($V110="","",Q110+N110)</f>
        <v/>
      </c>
      <c r="S110" s="7">
        <f>IF($V110="","",T110-R110)</f>
        <v/>
      </c>
      <c r="T110" s="7">
        <f>IF($V110="","",M110+P110)</f>
        <v/>
      </c>
      <c r="U110" s="7">
        <f>IF($V110="","",T110-R110-K110)</f>
        <v/>
      </c>
      <c r="V110" s="13">
        <f>IF(ROWS($V$2:$V110)&lt;=MAX('Per Line'!$AJ$2:$AJ$1501),MATCH(ROWS($V$2:$V110),'Per Line'!$AJ$2:$AJ$1501,0),"")</f>
        <v/>
      </c>
    </row>
    <row r="111">
      <c r="A111" s="12" t="n"/>
      <c r="B111">
        <f>IF($V111="","",INDEX('Per Line'!$A$2:$A$1501,$V111)&amp;"")</f>
        <v/>
      </c>
      <c r="C111">
        <f>IF($V111="","",INDEX('Per Line'!$C$2:$C$1501,$V111)&amp;"")</f>
        <v/>
      </c>
      <c r="D111" s="11">
        <f>IF($V111="","",INDEX('Per Line'!$S$2:$S$1501,$V111))</f>
        <v/>
      </c>
      <c r="E111">
        <f>IF($V111="","",INDEX('Per Line'!$F$2:$F$1501,$V111)&amp;"")</f>
        <v/>
      </c>
      <c r="F111">
        <f>IF($V111="","",INDEX('Per Line'!$L$2:$L$1501,$V111)&amp;"")</f>
        <v/>
      </c>
      <c r="G111">
        <f>IF($V111="","",INDEX('Per Line'!$O$2:$O$1501,$V111)&amp;"")</f>
        <v/>
      </c>
      <c r="H111">
        <f>IF($V111="","",INDEX('Per Line'!$P$2:$P$1501,$V111)&amp;"")</f>
        <v/>
      </c>
      <c r="I111">
        <f>IF($V111="","",INDEX('Per Line'!$N$2:$N$1501,$V111)&amp;"")</f>
        <v/>
      </c>
      <c r="J111">
        <f>IF($V111="","",INDEX('Per Line'!$Q$2:$Q$1501,$V111))</f>
        <v/>
      </c>
      <c r="K111" s="7">
        <f>IF($V111="","",J111*T111/100)</f>
        <v/>
      </c>
      <c r="L111">
        <f>IF($V111="","",Settings!$C$7)</f>
        <v/>
      </c>
      <c r="M111" s="7">
        <f>IF($V111="","",SUMIFS('Per Line'!$AC$2:$AC$1501,'Per Line'!$C$2:$C$1501,$C111,'Per Line'!$AK$2:$AK$1501,0))</f>
        <v/>
      </c>
      <c r="N111" s="7">
        <f>IF($V111="","",M111*L111)</f>
        <v/>
      </c>
      <c r="O111">
        <f>IF($V111="","",Settings!$C$6)</f>
        <v/>
      </c>
      <c r="P111" s="7">
        <f>IF($V111="","",SUMIFS('Per Line'!$AC$2:$AC$1501,'Per Line'!$C$2:$C$1501,$C111,'Per Line'!$AK$2:$AK$1501,1))</f>
        <v/>
      </c>
      <c r="Q111" s="7">
        <f>IF($V111="","",P111*O111)</f>
        <v/>
      </c>
      <c r="R111" s="7">
        <f>IF($V111="","",Q111+N111)</f>
        <v/>
      </c>
      <c r="S111" s="7">
        <f>IF($V111="","",T111-R111)</f>
        <v/>
      </c>
      <c r="T111" s="7">
        <f>IF($V111="","",M111+P111)</f>
        <v/>
      </c>
      <c r="U111" s="7">
        <f>IF($V111="","",T111-R111-K111)</f>
        <v/>
      </c>
      <c r="V111" s="13">
        <f>IF(ROWS($V$2:$V111)&lt;=MAX('Per Line'!$AJ$2:$AJ$1501),MATCH(ROWS($V$2:$V111),'Per Line'!$AJ$2:$AJ$1501,0),"")</f>
        <v/>
      </c>
    </row>
    <row r="112">
      <c r="A112" s="12" t="n"/>
      <c r="B112">
        <f>IF($V112="","",INDEX('Per Line'!$A$2:$A$1501,$V112)&amp;"")</f>
        <v/>
      </c>
      <c r="C112">
        <f>IF($V112="","",INDEX('Per Line'!$C$2:$C$1501,$V112)&amp;"")</f>
        <v/>
      </c>
      <c r="D112" s="11">
        <f>IF($V112="","",INDEX('Per Line'!$S$2:$S$1501,$V112))</f>
        <v/>
      </c>
      <c r="E112">
        <f>IF($V112="","",INDEX('Per Line'!$F$2:$F$1501,$V112)&amp;"")</f>
        <v/>
      </c>
      <c r="F112">
        <f>IF($V112="","",INDEX('Per Line'!$L$2:$L$1501,$V112)&amp;"")</f>
        <v/>
      </c>
      <c r="G112">
        <f>IF($V112="","",INDEX('Per Line'!$O$2:$O$1501,$V112)&amp;"")</f>
        <v/>
      </c>
      <c r="H112">
        <f>IF($V112="","",INDEX('Per Line'!$P$2:$P$1501,$V112)&amp;"")</f>
        <v/>
      </c>
      <c r="I112">
        <f>IF($V112="","",INDEX('Per Line'!$N$2:$N$1501,$V112)&amp;"")</f>
        <v/>
      </c>
      <c r="J112">
        <f>IF($V112="","",INDEX('Per Line'!$Q$2:$Q$1501,$V112))</f>
        <v/>
      </c>
      <c r="K112" s="7">
        <f>IF($V112="","",J112*T112/100)</f>
        <v/>
      </c>
      <c r="L112">
        <f>IF($V112="","",Settings!$C$7)</f>
        <v/>
      </c>
      <c r="M112" s="7">
        <f>IF($V112="","",SUMIFS('Per Line'!$AC$2:$AC$1501,'Per Line'!$C$2:$C$1501,$C112,'Per Line'!$AK$2:$AK$1501,0))</f>
        <v/>
      </c>
      <c r="N112" s="7">
        <f>IF($V112="","",M112*L112)</f>
        <v/>
      </c>
      <c r="O112">
        <f>IF($V112="","",Settings!$C$6)</f>
        <v/>
      </c>
      <c r="P112" s="7">
        <f>IF($V112="","",SUMIFS('Per Line'!$AC$2:$AC$1501,'Per Line'!$C$2:$C$1501,$C112,'Per Line'!$AK$2:$AK$1501,1))</f>
        <v/>
      </c>
      <c r="Q112" s="7">
        <f>IF($V112="","",P112*O112)</f>
        <v/>
      </c>
      <c r="R112" s="7">
        <f>IF($V112="","",Q112+N112)</f>
        <v/>
      </c>
      <c r="S112" s="7">
        <f>IF($V112="","",T112-R112)</f>
        <v/>
      </c>
      <c r="T112" s="7">
        <f>IF($V112="","",M112+P112)</f>
        <v/>
      </c>
      <c r="U112" s="7">
        <f>IF($V112="","",T112-R112-K112)</f>
        <v/>
      </c>
      <c r="V112" s="13">
        <f>IF(ROWS($V$2:$V112)&lt;=MAX('Per Line'!$AJ$2:$AJ$1501),MATCH(ROWS($V$2:$V112),'Per Line'!$AJ$2:$AJ$1501,0),"")</f>
        <v/>
      </c>
    </row>
    <row r="113">
      <c r="A113" s="12" t="n"/>
      <c r="B113">
        <f>IF($V113="","",INDEX('Per Line'!$A$2:$A$1501,$V113)&amp;"")</f>
        <v/>
      </c>
      <c r="C113">
        <f>IF($V113="","",INDEX('Per Line'!$C$2:$C$1501,$V113)&amp;"")</f>
        <v/>
      </c>
      <c r="D113" s="11">
        <f>IF($V113="","",INDEX('Per Line'!$S$2:$S$1501,$V113))</f>
        <v/>
      </c>
      <c r="E113">
        <f>IF($V113="","",INDEX('Per Line'!$F$2:$F$1501,$V113)&amp;"")</f>
        <v/>
      </c>
      <c r="F113">
        <f>IF($V113="","",INDEX('Per Line'!$L$2:$L$1501,$V113)&amp;"")</f>
        <v/>
      </c>
      <c r="G113">
        <f>IF($V113="","",INDEX('Per Line'!$O$2:$O$1501,$V113)&amp;"")</f>
        <v/>
      </c>
      <c r="H113">
        <f>IF($V113="","",INDEX('Per Line'!$P$2:$P$1501,$V113)&amp;"")</f>
        <v/>
      </c>
      <c r="I113">
        <f>IF($V113="","",INDEX('Per Line'!$N$2:$N$1501,$V113)&amp;"")</f>
        <v/>
      </c>
      <c r="J113">
        <f>IF($V113="","",INDEX('Per Line'!$Q$2:$Q$1501,$V113))</f>
        <v/>
      </c>
      <c r="K113" s="7">
        <f>IF($V113="","",J113*T113/100)</f>
        <v/>
      </c>
      <c r="L113">
        <f>IF($V113="","",Settings!$C$7)</f>
        <v/>
      </c>
      <c r="M113" s="7">
        <f>IF($V113="","",SUMIFS('Per Line'!$AC$2:$AC$1501,'Per Line'!$C$2:$C$1501,$C113,'Per Line'!$AK$2:$AK$1501,0))</f>
        <v/>
      </c>
      <c r="N113" s="7">
        <f>IF($V113="","",M113*L113)</f>
        <v/>
      </c>
      <c r="O113">
        <f>IF($V113="","",Settings!$C$6)</f>
        <v/>
      </c>
      <c r="P113" s="7">
        <f>IF($V113="","",SUMIFS('Per Line'!$AC$2:$AC$1501,'Per Line'!$C$2:$C$1501,$C113,'Per Line'!$AK$2:$AK$1501,1))</f>
        <v/>
      </c>
      <c r="Q113" s="7">
        <f>IF($V113="","",P113*O113)</f>
        <v/>
      </c>
      <c r="R113" s="7">
        <f>IF($V113="","",Q113+N113)</f>
        <v/>
      </c>
      <c r="S113" s="7">
        <f>IF($V113="","",T113-R113)</f>
        <v/>
      </c>
      <c r="T113" s="7">
        <f>IF($V113="","",M113+P113)</f>
        <v/>
      </c>
      <c r="U113" s="7">
        <f>IF($V113="","",T113-R113-K113)</f>
        <v/>
      </c>
      <c r="V113" s="13">
        <f>IF(ROWS($V$2:$V113)&lt;=MAX('Per Line'!$AJ$2:$AJ$1501),MATCH(ROWS($V$2:$V113),'Per Line'!$AJ$2:$AJ$1501,0),"")</f>
        <v/>
      </c>
    </row>
    <row r="114">
      <c r="A114" s="12" t="n"/>
      <c r="B114">
        <f>IF($V114="","",INDEX('Per Line'!$A$2:$A$1501,$V114)&amp;"")</f>
        <v/>
      </c>
      <c r="C114">
        <f>IF($V114="","",INDEX('Per Line'!$C$2:$C$1501,$V114)&amp;"")</f>
        <v/>
      </c>
      <c r="D114" s="11">
        <f>IF($V114="","",INDEX('Per Line'!$S$2:$S$1501,$V114))</f>
        <v/>
      </c>
      <c r="E114">
        <f>IF($V114="","",INDEX('Per Line'!$F$2:$F$1501,$V114)&amp;"")</f>
        <v/>
      </c>
      <c r="F114">
        <f>IF($V114="","",INDEX('Per Line'!$L$2:$L$1501,$V114)&amp;"")</f>
        <v/>
      </c>
      <c r="G114">
        <f>IF($V114="","",INDEX('Per Line'!$O$2:$O$1501,$V114)&amp;"")</f>
        <v/>
      </c>
      <c r="H114">
        <f>IF($V114="","",INDEX('Per Line'!$P$2:$P$1501,$V114)&amp;"")</f>
        <v/>
      </c>
      <c r="I114">
        <f>IF($V114="","",INDEX('Per Line'!$N$2:$N$1501,$V114)&amp;"")</f>
        <v/>
      </c>
      <c r="J114">
        <f>IF($V114="","",INDEX('Per Line'!$Q$2:$Q$1501,$V114))</f>
        <v/>
      </c>
      <c r="K114" s="7">
        <f>IF($V114="","",J114*T114/100)</f>
        <v/>
      </c>
      <c r="L114">
        <f>IF($V114="","",Settings!$C$7)</f>
        <v/>
      </c>
      <c r="M114" s="7">
        <f>IF($V114="","",SUMIFS('Per Line'!$AC$2:$AC$1501,'Per Line'!$C$2:$C$1501,$C114,'Per Line'!$AK$2:$AK$1501,0))</f>
        <v/>
      </c>
      <c r="N114" s="7">
        <f>IF($V114="","",M114*L114)</f>
        <v/>
      </c>
      <c r="O114">
        <f>IF($V114="","",Settings!$C$6)</f>
        <v/>
      </c>
      <c r="P114" s="7">
        <f>IF($V114="","",SUMIFS('Per Line'!$AC$2:$AC$1501,'Per Line'!$C$2:$C$1501,$C114,'Per Line'!$AK$2:$AK$1501,1))</f>
        <v/>
      </c>
      <c r="Q114" s="7">
        <f>IF($V114="","",P114*O114)</f>
        <v/>
      </c>
      <c r="R114" s="7">
        <f>IF($V114="","",Q114+N114)</f>
        <v/>
      </c>
      <c r="S114" s="7">
        <f>IF($V114="","",T114-R114)</f>
        <v/>
      </c>
      <c r="T114" s="7">
        <f>IF($V114="","",M114+P114)</f>
        <v/>
      </c>
      <c r="U114" s="7">
        <f>IF($V114="","",T114-R114-K114)</f>
        <v/>
      </c>
      <c r="V114" s="13">
        <f>IF(ROWS($V$2:$V114)&lt;=MAX('Per Line'!$AJ$2:$AJ$1501),MATCH(ROWS($V$2:$V114),'Per Line'!$AJ$2:$AJ$1501,0),"")</f>
        <v/>
      </c>
    </row>
    <row r="115">
      <c r="A115" s="12" t="n"/>
      <c r="B115">
        <f>IF($V115="","",INDEX('Per Line'!$A$2:$A$1501,$V115)&amp;"")</f>
        <v/>
      </c>
      <c r="C115">
        <f>IF($V115="","",INDEX('Per Line'!$C$2:$C$1501,$V115)&amp;"")</f>
        <v/>
      </c>
      <c r="D115" s="11">
        <f>IF($V115="","",INDEX('Per Line'!$S$2:$S$1501,$V115))</f>
        <v/>
      </c>
      <c r="E115">
        <f>IF($V115="","",INDEX('Per Line'!$F$2:$F$1501,$V115)&amp;"")</f>
        <v/>
      </c>
      <c r="F115">
        <f>IF($V115="","",INDEX('Per Line'!$L$2:$L$1501,$V115)&amp;"")</f>
        <v/>
      </c>
      <c r="G115">
        <f>IF($V115="","",INDEX('Per Line'!$O$2:$O$1501,$V115)&amp;"")</f>
        <v/>
      </c>
      <c r="H115">
        <f>IF($V115="","",INDEX('Per Line'!$P$2:$P$1501,$V115)&amp;"")</f>
        <v/>
      </c>
      <c r="I115">
        <f>IF($V115="","",INDEX('Per Line'!$N$2:$N$1501,$V115)&amp;"")</f>
        <v/>
      </c>
      <c r="J115">
        <f>IF($V115="","",INDEX('Per Line'!$Q$2:$Q$1501,$V115))</f>
        <v/>
      </c>
      <c r="K115" s="7">
        <f>IF($V115="","",J115*T115/100)</f>
        <v/>
      </c>
      <c r="L115">
        <f>IF($V115="","",Settings!$C$7)</f>
        <v/>
      </c>
      <c r="M115" s="7">
        <f>IF($V115="","",SUMIFS('Per Line'!$AC$2:$AC$1501,'Per Line'!$C$2:$C$1501,$C115,'Per Line'!$AK$2:$AK$1501,0))</f>
        <v/>
      </c>
      <c r="N115" s="7">
        <f>IF($V115="","",M115*L115)</f>
        <v/>
      </c>
      <c r="O115">
        <f>IF($V115="","",Settings!$C$6)</f>
        <v/>
      </c>
      <c r="P115" s="7">
        <f>IF($V115="","",SUMIFS('Per Line'!$AC$2:$AC$1501,'Per Line'!$C$2:$C$1501,$C115,'Per Line'!$AK$2:$AK$1501,1))</f>
        <v/>
      </c>
      <c r="Q115" s="7">
        <f>IF($V115="","",P115*O115)</f>
        <v/>
      </c>
      <c r="R115" s="7">
        <f>IF($V115="","",Q115+N115)</f>
        <v/>
      </c>
      <c r="S115" s="7">
        <f>IF($V115="","",T115-R115)</f>
        <v/>
      </c>
      <c r="T115" s="7">
        <f>IF($V115="","",M115+P115)</f>
        <v/>
      </c>
      <c r="U115" s="7">
        <f>IF($V115="","",T115-R115-K115)</f>
        <v/>
      </c>
      <c r="V115" s="13">
        <f>IF(ROWS($V$2:$V115)&lt;=MAX('Per Line'!$AJ$2:$AJ$1501),MATCH(ROWS($V$2:$V115),'Per Line'!$AJ$2:$AJ$1501,0),"")</f>
        <v/>
      </c>
    </row>
    <row r="116">
      <c r="A116" s="12" t="n"/>
      <c r="B116">
        <f>IF($V116="","",INDEX('Per Line'!$A$2:$A$1501,$V116)&amp;"")</f>
        <v/>
      </c>
      <c r="C116">
        <f>IF($V116="","",INDEX('Per Line'!$C$2:$C$1501,$V116)&amp;"")</f>
        <v/>
      </c>
      <c r="D116" s="11">
        <f>IF($V116="","",INDEX('Per Line'!$S$2:$S$1501,$V116))</f>
        <v/>
      </c>
      <c r="E116">
        <f>IF($V116="","",INDEX('Per Line'!$F$2:$F$1501,$V116)&amp;"")</f>
        <v/>
      </c>
      <c r="F116">
        <f>IF($V116="","",INDEX('Per Line'!$L$2:$L$1501,$V116)&amp;"")</f>
        <v/>
      </c>
      <c r="G116">
        <f>IF($V116="","",INDEX('Per Line'!$O$2:$O$1501,$V116)&amp;"")</f>
        <v/>
      </c>
      <c r="H116">
        <f>IF($V116="","",INDEX('Per Line'!$P$2:$P$1501,$V116)&amp;"")</f>
        <v/>
      </c>
      <c r="I116">
        <f>IF($V116="","",INDEX('Per Line'!$N$2:$N$1501,$V116)&amp;"")</f>
        <v/>
      </c>
      <c r="J116">
        <f>IF($V116="","",INDEX('Per Line'!$Q$2:$Q$1501,$V116))</f>
        <v/>
      </c>
      <c r="K116" s="7">
        <f>IF($V116="","",J116*T116/100)</f>
        <v/>
      </c>
      <c r="L116">
        <f>IF($V116="","",Settings!$C$7)</f>
        <v/>
      </c>
      <c r="M116" s="7">
        <f>IF($V116="","",SUMIFS('Per Line'!$AC$2:$AC$1501,'Per Line'!$C$2:$C$1501,$C116,'Per Line'!$AK$2:$AK$1501,0))</f>
        <v/>
      </c>
      <c r="N116" s="7">
        <f>IF($V116="","",M116*L116)</f>
        <v/>
      </c>
      <c r="O116">
        <f>IF($V116="","",Settings!$C$6)</f>
        <v/>
      </c>
      <c r="P116" s="7">
        <f>IF($V116="","",SUMIFS('Per Line'!$AC$2:$AC$1501,'Per Line'!$C$2:$C$1501,$C116,'Per Line'!$AK$2:$AK$1501,1))</f>
        <v/>
      </c>
      <c r="Q116" s="7">
        <f>IF($V116="","",P116*O116)</f>
        <v/>
      </c>
      <c r="R116" s="7">
        <f>IF($V116="","",Q116+N116)</f>
        <v/>
      </c>
      <c r="S116" s="7">
        <f>IF($V116="","",T116-R116)</f>
        <v/>
      </c>
      <c r="T116" s="7">
        <f>IF($V116="","",M116+P116)</f>
        <v/>
      </c>
      <c r="U116" s="7">
        <f>IF($V116="","",T116-R116-K116)</f>
        <v/>
      </c>
      <c r="V116" s="13">
        <f>IF(ROWS($V$2:$V116)&lt;=MAX('Per Line'!$AJ$2:$AJ$1501),MATCH(ROWS($V$2:$V116),'Per Line'!$AJ$2:$AJ$1501,0),"")</f>
        <v/>
      </c>
    </row>
    <row r="117">
      <c r="A117" s="12" t="n"/>
      <c r="B117">
        <f>IF($V117="","",INDEX('Per Line'!$A$2:$A$1501,$V117)&amp;"")</f>
        <v/>
      </c>
      <c r="C117">
        <f>IF($V117="","",INDEX('Per Line'!$C$2:$C$1501,$V117)&amp;"")</f>
        <v/>
      </c>
      <c r="D117" s="11">
        <f>IF($V117="","",INDEX('Per Line'!$S$2:$S$1501,$V117))</f>
        <v/>
      </c>
      <c r="E117">
        <f>IF($V117="","",INDEX('Per Line'!$F$2:$F$1501,$V117)&amp;"")</f>
        <v/>
      </c>
      <c r="F117">
        <f>IF($V117="","",INDEX('Per Line'!$L$2:$L$1501,$V117)&amp;"")</f>
        <v/>
      </c>
      <c r="G117">
        <f>IF($V117="","",INDEX('Per Line'!$O$2:$O$1501,$V117)&amp;"")</f>
        <v/>
      </c>
      <c r="H117">
        <f>IF($V117="","",INDEX('Per Line'!$P$2:$P$1501,$V117)&amp;"")</f>
        <v/>
      </c>
      <c r="I117">
        <f>IF($V117="","",INDEX('Per Line'!$N$2:$N$1501,$V117)&amp;"")</f>
        <v/>
      </c>
      <c r="J117">
        <f>IF($V117="","",INDEX('Per Line'!$Q$2:$Q$1501,$V117))</f>
        <v/>
      </c>
      <c r="K117" s="7">
        <f>IF($V117="","",J117*T117/100)</f>
        <v/>
      </c>
      <c r="L117">
        <f>IF($V117="","",Settings!$C$7)</f>
        <v/>
      </c>
      <c r="M117" s="7">
        <f>IF($V117="","",SUMIFS('Per Line'!$AC$2:$AC$1501,'Per Line'!$C$2:$C$1501,$C117,'Per Line'!$AK$2:$AK$1501,0))</f>
        <v/>
      </c>
      <c r="N117" s="7">
        <f>IF($V117="","",M117*L117)</f>
        <v/>
      </c>
      <c r="O117">
        <f>IF($V117="","",Settings!$C$6)</f>
        <v/>
      </c>
      <c r="P117" s="7">
        <f>IF($V117="","",SUMIFS('Per Line'!$AC$2:$AC$1501,'Per Line'!$C$2:$C$1501,$C117,'Per Line'!$AK$2:$AK$1501,1))</f>
        <v/>
      </c>
      <c r="Q117" s="7">
        <f>IF($V117="","",P117*O117)</f>
        <v/>
      </c>
      <c r="R117" s="7">
        <f>IF($V117="","",Q117+N117)</f>
        <v/>
      </c>
      <c r="S117" s="7">
        <f>IF($V117="","",T117-R117)</f>
        <v/>
      </c>
      <c r="T117" s="7">
        <f>IF($V117="","",M117+P117)</f>
        <v/>
      </c>
      <c r="U117" s="7">
        <f>IF($V117="","",T117-R117-K117)</f>
        <v/>
      </c>
      <c r="V117" s="13">
        <f>IF(ROWS($V$2:$V117)&lt;=MAX('Per Line'!$AJ$2:$AJ$1501),MATCH(ROWS($V$2:$V117),'Per Line'!$AJ$2:$AJ$1501,0),"")</f>
        <v/>
      </c>
    </row>
    <row r="118">
      <c r="A118" s="12" t="n"/>
      <c r="B118">
        <f>IF($V118="","",INDEX('Per Line'!$A$2:$A$1501,$V118)&amp;"")</f>
        <v/>
      </c>
      <c r="C118">
        <f>IF($V118="","",INDEX('Per Line'!$C$2:$C$1501,$V118)&amp;"")</f>
        <v/>
      </c>
      <c r="D118" s="11">
        <f>IF($V118="","",INDEX('Per Line'!$S$2:$S$1501,$V118))</f>
        <v/>
      </c>
      <c r="E118">
        <f>IF($V118="","",INDEX('Per Line'!$F$2:$F$1501,$V118)&amp;"")</f>
        <v/>
      </c>
      <c r="F118">
        <f>IF($V118="","",INDEX('Per Line'!$L$2:$L$1501,$V118)&amp;"")</f>
        <v/>
      </c>
      <c r="G118">
        <f>IF($V118="","",INDEX('Per Line'!$O$2:$O$1501,$V118)&amp;"")</f>
        <v/>
      </c>
      <c r="H118">
        <f>IF($V118="","",INDEX('Per Line'!$P$2:$P$1501,$V118)&amp;"")</f>
        <v/>
      </c>
      <c r="I118">
        <f>IF($V118="","",INDEX('Per Line'!$N$2:$N$1501,$V118)&amp;"")</f>
        <v/>
      </c>
      <c r="J118">
        <f>IF($V118="","",INDEX('Per Line'!$Q$2:$Q$1501,$V118))</f>
        <v/>
      </c>
      <c r="K118" s="7">
        <f>IF($V118="","",J118*T118/100)</f>
        <v/>
      </c>
      <c r="L118">
        <f>IF($V118="","",Settings!$C$7)</f>
        <v/>
      </c>
      <c r="M118" s="7">
        <f>IF($V118="","",SUMIFS('Per Line'!$AC$2:$AC$1501,'Per Line'!$C$2:$C$1501,$C118,'Per Line'!$AK$2:$AK$1501,0))</f>
        <v/>
      </c>
      <c r="N118" s="7">
        <f>IF($V118="","",M118*L118)</f>
        <v/>
      </c>
      <c r="O118">
        <f>IF($V118="","",Settings!$C$6)</f>
        <v/>
      </c>
      <c r="P118" s="7">
        <f>IF($V118="","",SUMIFS('Per Line'!$AC$2:$AC$1501,'Per Line'!$C$2:$C$1501,$C118,'Per Line'!$AK$2:$AK$1501,1))</f>
        <v/>
      </c>
      <c r="Q118" s="7">
        <f>IF($V118="","",P118*O118)</f>
        <v/>
      </c>
      <c r="R118" s="7">
        <f>IF($V118="","",Q118+N118)</f>
        <v/>
      </c>
      <c r="S118" s="7">
        <f>IF($V118="","",T118-R118)</f>
        <v/>
      </c>
      <c r="T118" s="7">
        <f>IF($V118="","",M118+P118)</f>
        <v/>
      </c>
      <c r="U118" s="7">
        <f>IF($V118="","",T118-R118-K118)</f>
        <v/>
      </c>
      <c r="V118" s="13">
        <f>IF(ROWS($V$2:$V118)&lt;=MAX('Per Line'!$AJ$2:$AJ$1501),MATCH(ROWS($V$2:$V118),'Per Line'!$AJ$2:$AJ$1501,0),"")</f>
        <v/>
      </c>
    </row>
    <row r="119">
      <c r="A119" s="12" t="n"/>
      <c r="B119">
        <f>IF($V119="","",INDEX('Per Line'!$A$2:$A$1501,$V119)&amp;"")</f>
        <v/>
      </c>
      <c r="C119">
        <f>IF($V119="","",INDEX('Per Line'!$C$2:$C$1501,$V119)&amp;"")</f>
        <v/>
      </c>
      <c r="D119" s="11">
        <f>IF($V119="","",INDEX('Per Line'!$S$2:$S$1501,$V119))</f>
        <v/>
      </c>
      <c r="E119">
        <f>IF($V119="","",INDEX('Per Line'!$F$2:$F$1501,$V119)&amp;"")</f>
        <v/>
      </c>
      <c r="F119">
        <f>IF($V119="","",INDEX('Per Line'!$L$2:$L$1501,$V119)&amp;"")</f>
        <v/>
      </c>
      <c r="G119">
        <f>IF($V119="","",INDEX('Per Line'!$O$2:$O$1501,$V119)&amp;"")</f>
        <v/>
      </c>
      <c r="H119">
        <f>IF($V119="","",INDEX('Per Line'!$P$2:$P$1501,$V119)&amp;"")</f>
        <v/>
      </c>
      <c r="I119">
        <f>IF($V119="","",INDEX('Per Line'!$N$2:$N$1501,$V119)&amp;"")</f>
        <v/>
      </c>
      <c r="J119">
        <f>IF($V119="","",INDEX('Per Line'!$Q$2:$Q$1501,$V119))</f>
        <v/>
      </c>
      <c r="K119" s="7">
        <f>IF($V119="","",J119*T119/100)</f>
        <v/>
      </c>
      <c r="L119">
        <f>IF($V119="","",Settings!$C$7)</f>
        <v/>
      </c>
      <c r="M119" s="7">
        <f>IF($V119="","",SUMIFS('Per Line'!$AC$2:$AC$1501,'Per Line'!$C$2:$C$1501,$C119,'Per Line'!$AK$2:$AK$1501,0))</f>
        <v/>
      </c>
      <c r="N119" s="7">
        <f>IF($V119="","",M119*L119)</f>
        <v/>
      </c>
      <c r="O119">
        <f>IF($V119="","",Settings!$C$6)</f>
        <v/>
      </c>
      <c r="P119" s="7">
        <f>IF($V119="","",SUMIFS('Per Line'!$AC$2:$AC$1501,'Per Line'!$C$2:$C$1501,$C119,'Per Line'!$AK$2:$AK$1501,1))</f>
        <v/>
      </c>
      <c r="Q119" s="7">
        <f>IF($V119="","",P119*O119)</f>
        <v/>
      </c>
      <c r="R119" s="7">
        <f>IF($V119="","",Q119+N119)</f>
        <v/>
      </c>
      <c r="S119" s="7">
        <f>IF($V119="","",T119-R119)</f>
        <v/>
      </c>
      <c r="T119" s="7">
        <f>IF($V119="","",M119+P119)</f>
        <v/>
      </c>
      <c r="U119" s="7">
        <f>IF($V119="","",T119-R119-K119)</f>
        <v/>
      </c>
      <c r="V119" s="13">
        <f>IF(ROWS($V$2:$V119)&lt;=MAX('Per Line'!$AJ$2:$AJ$1501),MATCH(ROWS($V$2:$V119),'Per Line'!$AJ$2:$AJ$1501,0),"")</f>
        <v/>
      </c>
    </row>
    <row r="120">
      <c r="A120" s="12" t="n"/>
      <c r="B120">
        <f>IF($V120="","",INDEX('Per Line'!$A$2:$A$1501,$V120)&amp;"")</f>
        <v/>
      </c>
      <c r="C120">
        <f>IF($V120="","",INDEX('Per Line'!$C$2:$C$1501,$V120)&amp;"")</f>
        <v/>
      </c>
      <c r="D120" s="11">
        <f>IF($V120="","",INDEX('Per Line'!$S$2:$S$1501,$V120))</f>
        <v/>
      </c>
      <c r="E120">
        <f>IF($V120="","",INDEX('Per Line'!$F$2:$F$1501,$V120)&amp;"")</f>
        <v/>
      </c>
      <c r="F120">
        <f>IF($V120="","",INDEX('Per Line'!$L$2:$L$1501,$V120)&amp;"")</f>
        <v/>
      </c>
      <c r="G120">
        <f>IF($V120="","",INDEX('Per Line'!$O$2:$O$1501,$V120)&amp;"")</f>
        <v/>
      </c>
      <c r="H120">
        <f>IF($V120="","",INDEX('Per Line'!$P$2:$P$1501,$V120)&amp;"")</f>
        <v/>
      </c>
      <c r="I120">
        <f>IF($V120="","",INDEX('Per Line'!$N$2:$N$1501,$V120)&amp;"")</f>
        <v/>
      </c>
      <c r="J120">
        <f>IF($V120="","",INDEX('Per Line'!$Q$2:$Q$1501,$V120))</f>
        <v/>
      </c>
      <c r="K120" s="7">
        <f>IF($V120="","",J120*T120/100)</f>
        <v/>
      </c>
      <c r="L120">
        <f>IF($V120="","",Settings!$C$7)</f>
        <v/>
      </c>
      <c r="M120" s="7">
        <f>IF($V120="","",SUMIFS('Per Line'!$AC$2:$AC$1501,'Per Line'!$C$2:$C$1501,$C120,'Per Line'!$AK$2:$AK$1501,0))</f>
        <v/>
      </c>
      <c r="N120" s="7">
        <f>IF($V120="","",M120*L120)</f>
        <v/>
      </c>
      <c r="O120">
        <f>IF($V120="","",Settings!$C$6)</f>
        <v/>
      </c>
      <c r="P120" s="7">
        <f>IF($V120="","",SUMIFS('Per Line'!$AC$2:$AC$1501,'Per Line'!$C$2:$C$1501,$C120,'Per Line'!$AK$2:$AK$1501,1))</f>
        <v/>
      </c>
      <c r="Q120" s="7">
        <f>IF($V120="","",P120*O120)</f>
        <v/>
      </c>
      <c r="R120" s="7">
        <f>IF($V120="","",Q120+N120)</f>
        <v/>
      </c>
      <c r="S120" s="7">
        <f>IF($V120="","",T120-R120)</f>
        <v/>
      </c>
      <c r="T120" s="7">
        <f>IF($V120="","",M120+P120)</f>
        <v/>
      </c>
      <c r="U120" s="7">
        <f>IF($V120="","",T120-R120-K120)</f>
        <v/>
      </c>
      <c r="V120" s="13">
        <f>IF(ROWS($V$2:$V120)&lt;=MAX('Per Line'!$AJ$2:$AJ$1501),MATCH(ROWS($V$2:$V120),'Per Line'!$AJ$2:$AJ$1501,0),"")</f>
        <v/>
      </c>
    </row>
    <row r="121">
      <c r="A121" s="12" t="n"/>
      <c r="B121">
        <f>IF($V121="","",INDEX('Per Line'!$A$2:$A$1501,$V121)&amp;"")</f>
        <v/>
      </c>
      <c r="C121">
        <f>IF($V121="","",INDEX('Per Line'!$C$2:$C$1501,$V121)&amp;"")</f>
        <v/>
      </c>
      <c r="D121" s="11">
        <f>IF($V121="","",INDEX('Per Line'!$S$2:$S$1501,$V121))</f>
        <v/>
      </c>
      <c r="E121">
        <f>IF($V121="","",INDEX('Per Line'!$F$2:$F$1501,$V121)&amp;"")</f>
        <v/>
      </c>
      <c r="F121">
        <f>IF($V121="","",INDEX('Per Line'!$L$2:$L$1501,$V121)&amp;"")</f>
        <v/>
      </c>
      <c r="G121">
        <f>IF($V121="","",INDEX('Per Line'!$O$2:$O$1501,$V121)&amp;"")</f>
        <v/>
      </c>
      <c r="H121">
        <f>IF($V121="","",INDEX('Per Line'!$P$2:$P$1501,$V121)&amp;"")</f>
        <v/>
      </c>
      <c r="I121">
        <f>IF($V121="","",INDEX('Per Line'!$N$2:$N$1501,$V121)&amp;"")</f>
        <v/>
      </c>
      <c r="J121">
        <f>IF($V121="","",INDEX('Per Line'!$Q$2:$Q$1501,$V121))</f>
        <v/>
      </c>
      <c r="K121" s="7">
        <f>IF($V121="","",J121*T121/100)</f>
        <v/>
      </c>
      <c r="L121">
        <f>IF($V121="","",Settings!$C$7)</f>
        <v/>
      </c>
      <c r="M121" s="7">
        <f>IF($V121="","",SUMIFS('Per Line'!$AC$2:$AC$1501,'Per Line'!$C$2:$C$1501,$C121,'Per Line'!$AK$2:$AK$1501,0))</f>
        <v/>
      </c>
      <c r="N121" s="7">
        <f>IF($V121="","",M121*L121)</f>
        <v/>
      </c>
      <c r="O121">
        <f>IF($V121="","",Settings!$C$6)</f>
        <v/>
      </c>
      <c r="P121" s="7">
        <f>IF($V121="","",SUMIFS('Per Line'!$AC$2:$AC$1501,'Per Line'!$C$2:$C$1501,$C121,'Per Line'!$AK$2:$AK$1501,1))</f>
        <v/>
      </c>
      <c r="Q121" s="7">
        <f>IF($V121="","",P121*O121)</f>
        <v/>
      </c>
      <c r="R121" s="7">
        <f>IF($V121="","",Q121+N121)</f>
        <v/>
      </c>
      <c r="S121" s="7">
        <f>IF($V121="","",T121-R121)</f>
        <v/>
      </c>
      <c r="T121" s="7">
        <f>IF($V121="","",M121+P121)</f>
        <v/>
      </c>
      <c r="U121" s="7">
        <f>IF($V121="","",T121-R121-K121)</f>
        <v/>
      </c>
      <c r="V121" s="13">
        <f>IF(ROWS($V$2:$V121)&lt;=MAX('Per Line'!$AJ$2:$AJ$1501),MATCH(ROWS($V$2:$V121),'Per Line'!$AJ$2:$AJ$1501,0),"")</f>
        <v/>
      </c>
    </row>
    <row r="122">
      <c r="A122" s="12" t="n"/>
      <c r="B122">
        <f>IF($V122="","",INDEX('Per Line'!$A$2:$A$1501,$V122)&amp;"")</f>
        <v/>
      </c>
      <c r="C122">
        <f>IF($V122="","",INDEX('Per Line'!$C$2:$C$1501,$V122)&amp;"")</f>
        <v/>
      </c>
      <c r="D122" s="11">
        <f>IF($V122="","",INDEX('Per Line'!$S$2:$S$1501,$V122))</f>
        <v/>
      </c>
      <c r="E122">
        <f>IF($V122="","",INDEX('Per Line'!$F$2:$F$1501,$V122)&amp;"")</f>
        <v/>
      </c>
      <c r="F122">
        <f>IF($V122="","",INDEX('Per Line'!$L$2:$L$1501,$V122)&amp;"")</f>
        <v/>
      </c>
      <c r="G122">
        <f>IF($V122="","",INDEX('Per Line'!$O$2:$O$1501,$V122)&amp;"")</f>
        <v/>
      </c>
      <c r="H122">
        <f>IF($V122="","",INDEX('Per Line'!$P$2:$P$1501,$V122)&amp;"")</f>
        <v/>
      </c>
      <c r="I122">
        <f>IF($V122="","",INDEX('Per Line'!$N$2:$N$1501,$V122)&amp;"")</f>
        <v/>
      </c>
      <c r="J122">
        <f>IF($V122="","",INDEX('Per Line'!$Q$2:$Q$1501,$V122))</f>
        <v/>
      </c>
      <c r="K122" s="7">
        <f>IF($V122="","",J122*T122/100)</f>
        <v/>
      </c>
      <c r="L122">
        <f>IF($V122="","",Settings!$C$7)</f>
        <v/>
      </c>
      <c r="M122" s="7">
        <f>IF($V122="","",SUMIFS('Per Line'!$AC$2:$AC$1501,'Per Line'!$C$2:$C$1501,$C122,'Per Line'!$AK$2:$AK$1501,0))</f>
        <v/>
      </c>
      <c r="N122" s="7">
        <f>IF($V122="","",M122*L122)</f>
        <v/>
      </c>
      <c r="O122">
        <f>IF($V122="","",Settings!$C$6)</f>
        <v/>
      </c>
      <c r="P122" s="7">
        <f>IF($V122="","",SUMIFS('Per Line'!$AC$2:$AC$1501,'Per Line'!$C$2:$C$1501,$C122,'Per Line'!$AK$2:$AK$1501,1))</f>
        <v/>
      </c>
      <c r="Q122" s="7">
        <f>IF($V122="","",P122*O122)</f>
        <v/>
      </c>
      <c r="R122" s="7">
        <f>IF($V122="","",Q122+N122)</f>
        <v/>
      </c>
      <c r="S122" s="7">
        <f>IF($V122="","",T122-R122)</f>
        <v/>
      </c>
      <c r="T122" s="7">
        <f>IF($V122="","",M122+P122)</f>
        <v/>
      </c>
      <c r="U122" s="7">
        <f>IF($V122="","",T122-R122-K122)</f>
        <v/>
      </c>
      <c r="V122" s="13">
        <f>IF(ROWS($V$2:$V122)&lt;=MAX('Per Line'!$AJ$2:$AJ$1501),MATCH(ROWS($V$2:$V122),'Per Line'!$AJ$2:$AJ$1501,0),"")</f>
        <v/>
      </c>
    </row>
    <row r="123">
      <c r="A123" s="12" t="n"/>
      <c r="B123">
        <f>IF($V123="","",INDEX('Per Line'!$A$2:$A$1501,$V123)&amp;"")</f>
        <v/>
      </c>
      <c r="C123">
        <f>IF($V123="","",INDEX('Per Line'!$C$2:$C$1501,$V123)&amp;"")</f>
        <v/>
      </c>
      <c r="D123" s="11">
        <f>IF($V123="","",INDEX('Per Line'!$S$2:$S$1501,$V123))</f>
        <v/>
      </c>
      <c r="E123">
        <f>IF($V123="","",INDEX('Per Line'!$F$2:$F$1501,$V123)&amp;"")</f>
        <v/>
      </c>
      <c r="F123">
        <f>IF($V123="","",INDEX('Per Line'!$L$2:$L$1501,$V123)&amp;"")</f>
        <v/>
      </c>
      <c r="G123">
        <f>IF($V123="","",INDEX('Per Line'!$O$2:$O$1501,$V123)&amp;"")</f>
        <v/>
      </c>
      <c r="H123">
        <f>IF($V123="","",INDEX('Per Line'!$P$2:$P$1501,$V123)&amp;"")</f>
        <v/>
      </c>
      <c r="I123">
        <f>IF($V123="","",INDEX('Per Line'!$N$2:$N$1501,$V123)&amp;"")</f>
        <v/>
      </c>
      <c r="J123">
        <f>IF($V123="","",INDEX('Per Line'!$Q$2:$Q$1501,$V123))</f>
        <v/>
      </c>
      <c r="K123" s="7">
        <f>IF($V123="","",J123*T123/100)</f>
        <v/>
      </c>
      <c r="L123">
        <f>IF($V123="","",Settings!$C$7)</f>
        <v/>
      </c>
      <c r="M123" s="7">
        <f>IF($V123="","",SUMIFS('Per Line'!$AC$2:$AC$1501,'Per Line'!$C$2:$C$1501,$C123,'Per Line'!$AK$2:$AK$1501,0))</f>
        <v/>
      </c>
      <c r="N123" s="7">
        <f>IF($V123="","",M123*L123)</f>
        <v/>
      </c>
      <c r="O123">
        <f>IF($V123="","",Settings!$C$6)</f>
        <v/>
      </c>
      <c r="P123" s="7">
        <f>IF($V123="","",SUMIFS('Per Line'!$AC$2:$AC$1501,'Per Line'!$C$2:$C$1501,$C123,'Per Line'!$AK$2:$AK$1501,1))</f>
        <v/>
      </c>
      <c r="Q123" s="7">
        <f>IF($V123="","",P123*O123)</f>
        <v/>
      </c>
      <c r="R123" s="7">
        <f>IF($V123="","",Q123+N123)</f>
        <v/>
      </c>
      <c r="S123" s="7">
        <f>IF($V123="","",T123-R123)</f>
        <v/>
      </c>
      <c r="T123" s="7">
        <f>IF($V123="","",M123+P123)</f>
        <v/>
      </c>
      <c r="U123" s="7">
        <f>IF($V123="","",T123-R123-K123)</f>
        <v/>
      </c>
      <c r="V123" s="13">
        <f>IF(ROWS($V$2:$V123)&lt;=MAX('Per Line'!$AJ$2:$AJ$1501),MATCH(ROWS($V$2:$V123),'Per Line'!$AJ$2:$AJ$1501,0),"")</f>
        <v/>
      </c>
    </row>
    <row r="124">
      <c r="A124" s="12" t="n"/>
      <c r="B124">
        <f>IF($V124="","",INDEX('Per Line'!$A$2:$A$1501,$V124)&amp;"")</f>
        <v/>
      </c>
      <c r="C124">
        <f>IF($V124="","",INDEX('Per Line'!$C$2:$C$1501,$V124)&amp;"")</f>
        <v/>
      </c>
      <c r="D124" s="11">
        <f>IF($V124="","",INDEX('Per Line'!$S$2:$S$1501,$V124))</f>
        <v/>
      </c>
      <c r="E124">
        <f>IF($V124="","",INDEX('Per Line'!$F$2:$F$1501,$V124)&amp;"")</f>
        <v/>
      </c>
      <c r="F124">
        <f>IF($V124="","",INDEX('Per Line'!$L$2:$L$1501,$V124)&amp;"")</f>
        <v/>
      </c>
      <c r="G124">
        <f>IF($V124="","",INDEX('Per Line'!$O$2:$O$1501,$V124)&amp;"")</f>
        <v/>
      </c>
      <c r="H124">
        <f>IF($V124="","",INDEX('Per Line'!$P$2:$P$1501,$V124)&amp;"")</f>
        <v/>
      </c>
      <c r="I124">
        <f>IF($V124="","",INDEX('Per Line'!$N$2:$N$1501,$V124)&amp;"")</f>
        <v/>
      </c>
      <c r="J124">
        <f>IF($V124="","",INDEX('Per Line'!$Q$2:$Q$1501,$V124))</f>
        <v/>
      </c>
      <c r="K124" s="7">
        <f>IF($V124="","",J124*T124/100)</f>
        <v/>
      </c>
      <c r="L124">
        <f>IF($V124="","",Settings!$C$7)</f>
        <v/>
      </c>
      <c r="M124" s="7">
        <f>IF($V124="","",SUMIFS('Per Line'!$AC$2:$AC$1501,'Per Line'!$C$2:$C$1501,$C124,'Per Line'!$AK$2:$AK$1501,0))</f>
        <v/>
      </c>
      <c r="N124" s="7">
        <f>IF($V124="","",M124*L124)</f>
        <v/>
      </c>
      <c r="O124">
        <f>IF($V124="","",Settings!$C$6)</f>
        <v/>
      </c>
      <c r="P124" s="7">
        <f>IF($V124="","",SUMIFS('Per Line'!$AC$2:$AC$1501,'Per Line'!$C$2:$C$1501,$C124,'Per Line'!$AK$2:$AK$1501,1))</f>
        <v/>
      </c>
      <c r="Q124" s="7">
        <f>IF($V124="","",P124*O124)</f>
        <v/>
      </c>
      <c r="R124" s="7">
        <f>IF($V124="","",Q124+N124)</f>
        <v/>
      </c>
      <c r="S124" s="7">
        <f>IF($V124="","",T124-R124)</f>
        <v/>
      </c>
      <c r="T124" s="7">
        <f>IF($V124="","",M124+P124)</f>
        <v/>
      </c>
      <c r="U124" s="7">
        <f>IF($V124="","",T124-R124-K124)</f>
        <v/>
      </c>
      <c r="V124" s="13">
        <f>IF(ROWS($V$2:$V124)&lt;=MAX('Per Line'!$AJ$2:$AJ$1501),MATCH(ROWS($V$2:$V124),'Per Line'!$AJ$2:$AJ$1501,0),"")</f>
        <v/>
      </c>
    </row>
    <row r="125">
      <c r="A125" s="12" t="n"/>
      <c r="B125">
        <f>IF($V125="","",INDEX('Per Line'!$A$2:$A$1501,$V125)&amp;"")</f>
        <v/>
      </c>
      <c r="C125">
        <f>IF($V125="","",INDEX('Per Line'!$C$2:$C$1501,$V125)&amp;"")</f>
        <v/>
      </c>
      <c r="D125" s="11">
        <f>IF($V125="","",INDEX('Per Line'!$S$2:$S$1501,$V125))</f>
        <v/>
      </c>
      <c r="E125">
        <f>IF($V125="","",INDEX('Per Line'!$F$2:$F$1501,$V125)&amp;"")</f>
        <v/>
      </c>
      <c r="F125">
        <f>IF($V125="","",INDEX('Per Line'!$L$2:$L$1501,$V125)&amp;"")</f>
        <v/>
      </c>
      <c r="G125">
        <f>IF($V125="","",INDEX('Per Line'!$O$2:$O$1501,$V125)&amp;"")</f>
        <v/>
      </c>
      <c r="H125">
        <f>IF($V125="","",INDEX('Per Line'!$P$2:$P$1501,$V125)&amp;"")</f>
        <v/>
      </c>
      <c r="I125">
        <f>IF($V125="","",INDEX('Per Line'!$N$2:$N$1501,$V125)&amp;"")</f>
        <v/>
      </c>
      <c r="J125">
        <f>IF($V125="","",INDEX('Per Line'!$Q$2:$Q$1501,$V125))</f>
        <v/>
      </c>
      <c r="K125" s="7">
        <f>IF($V125="","",J125*T125/100)</f>
        <v/>
      </c>
      <c r="L125">
        <f>IF($V125="","",Settings!$C$7)</f>
        <v/>
      </c>
      <c r="M125" s="7">
        <f>IF($V125="","",SUMIFS('Per Line'!$AC$2:$AC$1501,'Per Line'!$C$2:$C$1501,$C125,'Per Line'!$AK$2:$AK$1501,0))</f>
        <v/>
      </c>
      <c r="N125" s="7">
        <f>IF($V125="","",M125*L125)</f>
        <v/>
      </c>
      <c r="O125">
        <f>IF($V125="","",Settings!$C$6)</f>
        <v/>
      </c>
      <c r="P125" s="7">
        <f>IF($V125="","",SUMIFS('Per Line'!$AC$2:$AC$1501,'Per Line'!$C$2:$C$1501,$C125,'Per Line'!$AK$2:$AK$1501,1))</f>
        <v/>
      </c>
      <c r="Q125" s="7">
        <f>IF($V125="","",P125*O125)</f>
        <v/>
      </c>
      <c r="R125" s="7">
        <f>IF($V125="","",Q125+N125)</f>
        <v/>
      </c>
      <c r="S125" s="7">
        <f>IF($V125="","",T125-R125)</f>
        <v/>
      </c>
      <c r="T125" s="7">
        <f>IF($V125="","",M125+P125)</f>
        <v/>
      </c>
      <c r="U125" s="7">
        <f>IF($V125="","",T125-R125-K125)</f>
        <v/>
      </c>
      <c r="V125" s="13">
        <f>IF(ROWS($V$2:$V125)&lt;=MAX('Per Line'!$AJ$2:$AJ$1501),MATCH(ROWS($V$2:$V125),'Per Line'!$AJ$2:$AJ$1501,0),"")</f>
        <v/>
      </c>
    </row>
    <row r="126">
      <c r="A126" s="12" t="n"/>
      <c r="B126">
        <f>IF($V126="","",INDEX('Per Line'!$A$2:$A$1501,$V126)&amp;"")</f>
        <v/>
      </c>
      <c r="C126">
        <f>IF($V126="","",INDEX('Per Line'!$C$2:$C$1501,$V126)&amp;"")</f>
        <v/>
      </c>
      <c r="D126" s="11">
        <f>IF($V126="","",INDEX('Per Line'!$S$2:$S$1501,$V126))</f>
        <v/>
      </c>
      <c r="E126">
        <f>IF($V126="","",INDEX('Per Line'!$F$2:$F$1501,$V126)&amp;"")</f>
        <v/>
      </c>
      <c r="F126">
        <f>IF($V126="","",INDEX('Per Line'!$L$2:$L$1501,$V126)&amp;"")</f>
        <v/>
      </c>
      <c r="G126">
        <f>IF($V126="","",INDEX('Per Line'!$O$2:$O$1501,$V126)&amp;"")</f>
        <v/>
      </c>
      <c r="H126">
        <f>IF($V126="","",INDEX('Per Line'!$P$2:$P$1501,$V126)&amp;"")</f>
        <v/>
      </c>
      <c r="I126">
        <f>IF($V126="","",INDEX('Per Line'!$N$2:$N$1501,$V126)&amp;"")</f>
        <v/>
      </c>
      <c r="J126">
        <f>IF($V126="","",INDEX('Per Line'!$Q$2:$Q$1501,$V126))</f>
        <v/>
      </c>
      <c r="K126" s="7">
        <f>IF($V126="","",J126*T126/100)</f>
        <v/>
      </c>
      <c r="L126">
        <f>IF($V126="","",Settings!$C$7)</f>
        <v/>
      </c>
      <c r="M126" s="7">
        <f>IF($V126="","",SUMIFS('Per Line'!$AC$2:$AC$1501,'Per Line'!$C$2:$C$1501,$C126,'Per Line'!$AK$2:$AK$1501,0))</f>
        <v/>
      </c>
      <c r="N126" s="7">
        <f>IF($V126="","",M126*L126)</f>
        <v/>
      </c>
      <c r="O126">
        <f>IF($V126="","",Settings!$C$6)</f>
        <v/>
      </c>
      <c r="P126" s="7">
        <f>IF($V126="","",SUMIFS('Per Line'!$AC$2:$AC$1501,'Per Line'!$C$2:$C$1501,$C126,'Per Line'!$AK$2:$AK$1501,1))</f>
        <v/>
      </c>
      <c r="Q126" s="7">
        <f>IF($V126="","",P126*O126)</f>
        <v/>
      </c>
      <c r="R126" s="7">
        <f>IF($V126="","",Q126+N126)</f>
        <v/>
      </c>
      <c r="S126" s="7">
        <f>IF($V126="","",T126-R126)</f>
        <v/>
      </c>
      <c r="T126" s="7">
        <f>IF($V126="","",M126+P126)</f>
        <v/>
      </c>
      <c r="U126" s="7">
        <f>IF($V126="","",T126-R126-K126)</f>
        <v/>
      </c>
      <c r="V126" s="13">
        <f>IF(ROWS($V$2:$V126)&lt;=MAX('Per Line'!$AJ$2:$AJ$1501),MATCH(ROWS($V$2:$V126),'Per Line'!$AJ$2:$AJ$1501,0),"")</f>
        <v/>
      </c>
    </row>
    <row r="127">
      <c r="A127" s="12" t="n"/>
      <c r="B127">
        <f>IF($V127="","",INDEX('Per Line'!$A$2:$A$1501,$V127)&amp;"")</f>
        <v/>
      </c>
      <c r="C127">
        <f>IF($V127="","",INDEX('Per Line'!$C$2:$C$1501,$V127)&amp;"")</f>
        <v/>
      </c>
      <c r="D127" s="11">
        <f>IF($V127="","",INDEX('Per Line'!$S$2:$S$1501,$V127))</f>
        <v/>
      </c>
      <c r="E127">
        <f>IF($V127="","",INDEX('Per Line'!$F$2:$F$1501,$V127)&amp;"")</f>
        <v/>
      </c>
      <c r="F127">
        <f>IF($V127="","",INDEX('Per Line'!$L$2:$L$1501,$V127)&amp;"")</f>
        <v/>
      </c>
      <c r="G127">
        <f>IF($V127="","",INDEX('Per Line'!$O$2:$O$1501,$V127)&amp;"")</f>
        <v/>
      </c>
      <c r="H127">
        <f>IF($V127="","",INDEX('Per Line'!$P$2:$P$1501,$V127)&amp;"")</f>
        <v/>
      </c>
      <c r="I127">
        <f>IF($V127="","",INDEX('Per Line'!$N$2:$N$1501,$V127)&amp;"")</f>
        <v/>
      </c>
      <c r="J127">
        <f>IF($V127="","",INDEX('Per Line'!$Q$2:$Q$1501,$V127))</f>
        <v/>
      </c>
      <c r="K127" s="7">
        <f>IF($V127="","",J127*T127/100)</f>
        <v/>
      </c>
      <c r="L127">
        <f>IF($V127="","",Settings!$C$7)</f>
        <v/>
      </c>
      <c r="M127" s="7">
        <f>IF($V127="","",SUMIFS('Per Line'!$AC$2:$AC$1501,'Per Line'!$C$2:$C$1501,$C127,'Per Line'!$AK$2:$AK$1501,0))</f>
        <v/>
      </c>
      <c r="N127" s="7">
        <f>IF($V127="","",M127*L127)</f>
        <v/>
      </c>
      <c r="O127">
        <f>IF($V127="","",Settings!$C$6)</f>
        <v/>
      </c>
      <c r="P127" s="7">
        <f>IF($V127="","",SUMIFS('Per Line'!$AC$2:$AC$1501,'Per Line'!$C$2:$C$1501,$C127,'Per Line'!$AK$2:$AK$1501,1))</f>
        <v/>
      </c>
      <c r="Q127" s="7">
        <f>IF($V127="","",P127*O127)</f>
        <v/>
      </c>
      <c r="R127" s="7">
        <f>IF($V127="","",Q127+N127)</f>
        <v/>
      </c>
      <c r="S127" s="7">
        <f>IF($V127="","",T127-R127)</f>
        <v/>
      </c>
      <c r="T127" s="7">
        <f>IF($V127="","",M127+P127)</f>
        <v/>
      </c>
      <c r="U127" s="7">
        <f>IF($V127="","",T127-R127-K127)</f>
        <v/>
      </c>
      <c r="V127" s="13">
        <f>IF(ROWS($V$2:$V127)&lt;=MAX('Per Line'!$AJ$2:$AJ$1501),MATCH(ROWS($V$2:$V127),'Per Line'!$AJ$2:$AJ$1501,0),"")</f>
        <v/>
      </c>
    </row>
    <row r="128">
      <c r="A128" s="12" t="n"/>
      <c r="B128">
        <f>IF($V128="","",INDEX('Per Line'!$A$2:$A$1501,$V128)&amp;"")</f>
        <v/>
      </c>
      <c r="C128">
        <f>IF($V128="","",INDEX('Per Line'!$C$2:$C$1501,$V128)&amp;"")</f>
        <v/>
      </c>
      <c r="D128" s="11">
        <f>IF($V128="","",INDEX('Per Line'!$S$2:$S$1501,$V128))</f>
        <v/>
      </c>
      <c r="E128">
        <f>IF($V128="","",INDEX('Per Line'!$F$2:$F$1501,$V128)&amp;"")</f>
        <v/>
      </c>
      <c r="F128">
        <f>IF($V128="","",INDEX('Per Line'!$L$2:$L$1501,$V128)&amp;"")</f>
        <v/>
      </c>
      <c r="G128">
        <f>IF($V128="","",INDEX('Per Line'!$O$2:$O$1501,$V128)&amp;"")</f>
        <v/>
      </c>
      <c r="H128">
        <f>IF($V128="","",INDEX('Per Line'!$P$2:$P$1501,$V128)&amp;"")</f>
        <v/>
      </c>
      <c r="I128">
        <f>IF($V128="","",INDEX('Per Line'!$N$2:$N$1501,$V128)&amp;"")</f>
        <v/>
      </c>
      <c r="J128">
        <f>IF($V128="","",INDEX('Per Line'!$Q$2:$Q$1501,$V128))</f>
        <v/>
      </c>
      <c r="K128" s="7">
        <f>IF($V128="","",J128*T128/100)</f>
        <v/>
      </c>
      <c r="L128">
        <f>IF($V128="","",Settings!$C$7)</f>
        <v/>
      </c>
      <c r="M128" s="7">
        <f>IF($V128="","",SUMIFS('Per Line'!$AC$2:$AC$1501,'Per Line'!$C$2:$C$1501,$C128,'Per Line'!$AK$2:$AK$1501,0))</f>
        <v/>
      </c>
      <c r="N128" s="7">
        <f>IF($V128="","",M128*L128)</f>
        <v/>
      </c>
      <c r="O128">
        <f>IF($V128="","",Settings!$C$6)</f>
        <v/>
      </c>
      <c r="P128" s="7">
        <f>IF($V128="","",SUMIFS('Per Line'!$AC$2:$AC$1501,'Per Line'!$C$2:$C$1501,$C128,'Per Line'!$AK$2:$AK$1501,1))</f>
        <v/>
      </c>
      <c r="Q128" s="7">
        <f>IF($V128="","",P128*O128)</f>
        <v/>
      </c>
      <c r="R128" s="7">
        <f>IF($V128="","",Q128+N128)</f>
        <v/>
      </c>
      <c r="S128" s="7">
        <f>IF($V128="","",T128-R128)</f>
        <v/>
      </c>
      <c r="T128" s="7">
        <f>IF($V128="","",M128+P128)</f>
        <v/>
      </c>
      <c r="U128" s="7">
        <f>IF($V128="","",T128-R128-K128)</f>
        <v/>
      </c>
      <c r="V128" s="13">
        <f>IF(ROWS($V$2:$V128)&lt;=MAX('Per Line'!$AJ$2:$AJ$1501),MATCH(ROWS($V$2:$V128),'Per Line'!$AJ$2:$AJ$1501,0),"")</f>
        <v/>
      </c>
    </row>
    <row r="129">
      <c r="A129" s="12" t="n"/>
      <c r="B129">
        <f>IF($V129="","",INDEX('Per Line'!$A$2:$A$1501,$V129)&amp;"")</f>
        <v/>
      </c>
      <c r="C129">
        <f>IF($V129="","",INDEX('Per Line'!$C$2:$C$1501,$V129)&amp;"")</f>
        <v/>
      </c>
      <c r="D129" s="11">
        <f>IF($V129="","",INDEX('Per Line'!$S$2:$S$1501,$V129))</f>
        <v/>
      </c>
      <c r="E129">
        <f>IF($V129="","",INDEX('Per Line'!$F$2:$F$1501,$V129)&amp;"")</f>
        <v/>
      </c>
      <c r="F129">
        <f>IF($V129="","",INDEX('Per Line'!$L$2:$L$1501,$V129)&amp;"")</f>
        <v/>
      </c>
      <c r="G129">
        <f>IF($V129="","",INDEX('Per Line'!$O$2:$O$1501,$V129)&amp;"")</f>
        <v/>
      </c>
      <c r="H129">
        <f>IF($V129="","",INDEX('Per Line'!$P$2:$P$1501,$V129)&amp;"")</f>
        <v/>
      </c>
      <c r="I129">
        <f>IF($V129="","",INDEX('Per Line'!$N$2:$N$1501,$V129)&amp;"")</f>
        <v/>
      </c>
      <c r="J129">
        <f>IF($V129="","",INDEX('Per Line'!$Q$2:$Q$1501,$V129))</f>
        <v/>
      </c>
      <c r="K129" s="7">
        <f>IF($V129="","",J129*T129/100)</f>
        <v/>
      </c>
      <c r="L129">
        <f>IF($V129="","",Settings!$C$7)</f>
        <v/>
      </c>
      <c r="M129" s="7">
        <f>IF($V129="","",SUMIFS('Per Line'!$AC$2:$AC$1501,'Per Line'!$C$2:$C$1501,$C129,'Per Line'!$AK$2:$AK$1501,0))</f>
        <v/>
      </c>
      <c r="N129" s="7">
        <f>IF($V129="","",M129*L129)</f>
        <v/>
      </c>
      <c r="O129">
        <f>IF($V129="","",Settings!$C$6)</f>
        <v/>
      </c>
      <c r="P129" s="7">
        <f>IF($V129="","",SUMIFS('Per Line'!$AC$2:$AC$1501,'Per Line'!$C$2:$C$1501,$C129,'Per Line'!$AK$2:$AK$1501,1))</f>
        <v/>
      </c>
      <c r="Q129" s="7">
        <f>IF($V129="","",P129*O129)</f>
        <v/>
      </c>
      <c r="R129" s="7">
        <f>IF($V129="","",Q129+N129)</f>
        <v/>
      </c>
      <c r="S129" s="7">
        <f>IF($V129="","",T129-R129)</f>
        <v/>
      </c>
      <c r="T129" s="7">
        <f>IF($V129="","",M129+P129)</f>
        <v/>
      </c>
      <c r="U129" s="7">
        <f>IF($V129="","",T129-R129-K129)</f>
        <v/>
      </c>
      <c r="V129" s="13">
        <f>IF(ROWS($V$2:$V129)&lt;=MAX('Per Line'!$AJ$2:$AJ$1501),MATCH(ROWS($V$2:$V129),'Per Line'!$AJ$2:$AJ$1501,0),"")</f>
        <v/>
      </c>
    </row>
    <row r="130">
      <c r="A130" s="12" t="n"/>
      <c r="B130">
        <f>IF($V130="","",INDEX('Per Line'!$A$2:$A$1501,$V130)&amp;"")</f>
        <v/>
      </c>
      <c r="C130">
        <f>IF($V130="","",INDEX('Per Line'!$C$2:$C$1501,$V130)&amp;"")</f>
        <v/>
      </c>
      <c r="D130" s="11">
        <f>IF($V130="","",INDEX('Per Line'!$S$2:$S$1501,$V130))</f>
        <v/>
      </c>
      <c r="E130">
        <f>IF($V130="","",INDEX('Per Line'!$F$2:$F$1501,$V130)&amp;"")</f>
        <v/>
      </c>
      <c r="F130">
        <f>IF($V130="","",INDEX('Per Line'!$L$2:$L$1501,$V130)&amp;"")</f>
        <v/>
      </c>
      <c r="G130">
        <f>IF($V130="","",INDEX('Per Line'!$O$2:$O$1501,$V130)&amp;"")</f>
        <v/>
      </c>
      <c r="H130">
        <f>IF($V130="","",INDEX('Per Line'!$P$2:$P$1501,$V130)&amp;"")</f>
        <v/>
      </c>
      <c r="I130">
        <f>IF($V130="","",INDEX('Per Line'!$N$2:$N$1501,$V130)&amp;"")</f>
        <v/>
      </c>
      <c r="J130">
        <f>IF($V130="","",INDEX('Per Line'!$Q$2:$Q$1501,$V130))</f>
        <v/>
      </c>
      <c r="K130" s="7">
        <f>IF($V130="","",J130*T130/100)</f>
        <v/>
      </c>
      <c r="L130">
        <f>IF($V130="","",Settings!$C$7)</f>
        <v/>
      </c>
      <c r="M130" s="7">
        <f>IF($V130="","",SUMIFS('Per Line'!$AC$2:$AC$1501,'Per Line'!$C$2:$C$1501,$C130,'Per Line'!$AK$2:$AK$1501,0))</f>
        <v/>
      </c>
      <c r="N130" s="7">
        <f>IF($V130="","",M130*L130)</f>
        <v/>
      </c>
      <c r="O130">
        <f>IF($V130="","",Settings!$C$6)</f>
        <v/>
      </c>
      <c r="P130" s="7">
        <f>IF($V130="","",SUMIFS('Per Line'!$AC$2:$AC$1501,'Per Line'!$C$2:$C$1501,$C130,'Per Line'!$AK$2:$AK$1501,1))</f>
        <v/>
      </c>
      <c r="Q130" s="7">
        <f>IF($V130="","",P130*O130)</f>
        <v/>
      </c>
      <c r="R130" s="7">
        <f>IF($V130="","",Q130+N130)</f>
        <v/>
      </c>
      <c r="S130" s="7">
        <f>IF($V130="","",T130-R130)</f>
        <v/>
      </c>
      <c r="T130" s="7">
        <f>IF($V130="","",M130+P130)</f>
        <v/>
      </c>
      <c r="U130" s="7">
        <f>IF($V130="","",T130-R130-K130)</f>
        <v/>
      </c>
      <c r="V130" s="13">
        <f>IF(ROWS($V$2:$V130)&lt;=MAX('Per Line'!$AJ$2:$AJ$1501),MATCH(ROWS($V$2:$V130),'Per Line'!$AJ$2:$AJ$1501,0),"")</f>
        <v/>
      </c>
    </row>
    <row r="131">
      <c r="A131" s="12" t="n"/>
      <c r="B131">
        <f>IF($V131="","",INDEX('Per Line'!$A$2:$A$1501,$V131)&amp;"")</f>
        <v/>
      </c>
      <c r="C131">
        <f>IF($V131="","",INDEX('Per Line'!$C$2:$C$1501,$V131)&amp;"")</f>
        <v/>
      </c>
      <c r="D131" s="11">
        <f>IF($V131="","",INDEX('Per Line'!$S$2:$S$1501,$V131))</f>
        <v/>
      </c>
      <c r="E131">
        <f>IF($V131="","",INDEX('Per Line'!$F$2:$F$1501,$V131)&amp;"")</f>
        <v/>
      </c>
      <c r="F131">
        <f>IF($V131="","",INDEX('Per Line'!$L$2:$L$1501,$V131)&amp;"")</f>
        <v/>
      </c>
      <c r="G131">
        <f>IF($V131="","",INDEX('Per Line'!$O$2:$O$1501,$V131)&amp;"")</f>
        <v/>
      </c>
      <c r="H131">
        <f>IF($V131="","",INDEX('Per Line'!$P$2:$P$1501,$V131)&amp;"")</f>
        <v/>
      </c>
      <c r="I131">
        <f>IF($V131="","",INDEX('Per Line'!$N$2:$N$1501,$V131)&amp;"")</f>
        <v/>
      </c>
      <c r="J131">
        <f>IF($V131="","",INDEX('Per Line'!$Q$2:$Q$1501,$V131))</f>
        <v/>
      </c>
      <c r="K131" s="7">
        <f>IF($V131="","",J131*T131/100)</f>
        <v/>
      </c>
      <c r="L131">
        <f>IF($V131="","",Settings!$C$7)</f>
        <v/>
      </c>
      <c r="M131" s="7">
        <f>IF($V131="","",SUMIFS('Per Line'!$AC$2:$AC$1501,'Per Line'!$C$2:$C$1501,$C131,'Per Line'!$AK$2:$AK$1501,0))</f>
        <v/>
      </c>
      <c r="N131" s="7">
        <f>IF($V131="","",M131*L131)</f>
        <v/>
      </c>
      <c r="O131">
        <f>IF($V131="","",Settings!$C$6)</f>
        <v/>
      </c>
      <c r="P131" s="7">
        <f>IF($V131="","",SUMIFS('Per Line'!$AC$2:$AC$1501,'Per Line'!$C$2:$C$1501,$C131,'Per Line'!$AK$2:$AK$1501,1))</f>
        <v/>
      </c>
      <c r="Q131" s="7">
        <f>IF($V131="","",P131*O131)</f>
        <v/>
      </c>
      <c r="R131" s="7">
        <f>IF($V131="","",Q131+N131)</f>
        <v/>
      </c>
      <c r="S131" s="7">
        <f>IF($V131="","",T131-R131)</f>
        <v/>
      </c>
      <c r="T131" s="7">
        <f>IF($V131="","",M131+P131)</f>
        <v/>
      </c>
      <c r="U131" s="7">
        <f>IF($V131="","",T131-R131-K131)</f>
        <v/>
      </c>
      <c r="V131" s="13">
        <f>IF(ROWS($V$2:$V131)&lt;=MAX('Per Line'!$AJ$2:$AJ$1501),MATCH(ROWS($V$2:$V131),'Per Line'!$AJ$2:$AJ$1501,0),"")</f>
        <v/>
      </c>
    </row>
    <row r="132">
      <c r="A132" s="12" t="n"/>
      <c r="B132">
        <f>IF($V132="","",INDEX('Per Line'!$A$2:$A$1501,$V132)&amp;"")</f>
        <v/>
      </c>
      <c r="C132">
        <f>IF($V132="","",INDEX('Per Line'!$C$2:$C$1501,$V132)&amp;"")</f>
        <v/>
      </c>
      <c r="D132" s="11">
        <f>IF($V132="","",INDEX('Per Line'!$S$2:$S$1501,$V132))</f>
        <v/>
      </c>
      <c r="E132">
        <f>IF($V132="","",INDEX('Per Line'!$F$2:$F$1501,$V132)&amp;"")</f>
        <v/>
      </c>
      <c r="F132">
        <f>IF($V132="","",INDEX('Per Line'!$L$2:$L$1501,$V132)&amp;"")</f>
        <v/>
      </c>
      <c r="G132">
        <f>IF($V132="","",INDEX('Per Line'!$O$2:$O$1501,$V132)&amp;"")</f>
        <v/>
      </c>
      <c r="H132">
        <f>IF($V132="","",INDEX('Per Line'!$P$2:$P$1501,$V132)&amp;"")</f>
        <v/>
      </c>
      <c r="I132">
        <f>IF($V132="","",INDEX('Per Line'!$N$2:$N$1501,$V132)&amp;"")</f>
        <v/>
      </c>
      <c r="J132">
        <f>IF($V132="","",INDEX('Per Line'!$Q$2:$Q$1501,$V132))</f>
        <v/>
      </c>
      <c r="K132" s="7">
        <f>IF($V132="","",J132*T132/100)</f>
        <v/>
      </c>
      <c r="L132">
        <f>IF($V132="","",Settings!$C$7)</f>
        <v/>
      </c>
      <c r="M132" s="7">
        <f>IF($V132="","",SUMIFS('Per Line'!$AC$2:$AC$1501,'Per Line'!$C$2:$C$1501,$C132,'Per Line'!$AK$2:$AK$1501,0))</f>
        <v/>
      </c>
      <c r="N132" s="7">
        <f>IF($V132="","",M132*L132)</f>
        <v/>
      </c>
      <c r="O132">
        <f>IF($V132="","",Settings!$C$6)</f>
        <v/>
      </c>
      <c r="P132" s="7">
        <f>IF($V132="","",SUMIFS('Per Line'!$AC$2:$AC$1501,'Per Line'!$C$2:$C$1501,$C132,'Per Line'!$AK$2:$AK$1501,1))</f>
        <v/>
      </c>
      <c r="Q132" s="7">
        <f>IF($V132="","",P132*O132)</f>
        <v/>
      </c>
      <c r="R132" s="7">
        <f>IF($V132="","",Q132+N132)</f>
        <v/>
      </c>
      <c r="S132" s="7">
        <f>IF($V132="","",T132-R132)</f>
        <v/>
      </c>
      <c r="T132" s="7">
        <f>IF($V132="","",M132+P132)</f>
        <v/>
      </c>
      <c r="U132" s="7">
        <f>IF($V132="","",T132-R132-K132)</f>
        <v/>
      </c>
      <c r="V132" s="13">
        <f>IF(ROWS($V$2:$V132)&lt;=MAX('Per Line'!$AJ$2:$AJ$1501),MATCH(ROWS($V$2:$V132),'Per Line'!$AJ$2:$AJ$1501,0),"")</f>
        <v/>
      </c>
    </row>
    <row r="133">
      <c r="A133" s="12" t="n"/>
      <c r="B133">
        <f>IF($V133="","",INDEX('Per Line'!$A$2:$A$1501,$V133)&amp;"")</f>
        <v/>
      </c>
      <c r="C133">
        <f>IF($V133="","",INDEX('Per Line'!$C$2:$C$1501,$V133)&amp;"")</f>
        <v/>
      </c>
      <c r="D133" s="11">
        <f>IF($V133="","",INDEX('Per Line'!$S$2:$S$1501,$V133))</f>
        <v/>
      </c>
      <c r="E133">
        <f>IF($V133="","",INDEX('Per Line'!$F$2:$F$1501,$V133)&amp;"")</f>
        <v/>
      </c>
      <c r="F133">
        <f>IF($V133="","",INDEX('Per Line'!$L$2:$L$1501,$V133)&amp;"")</f>
        <v/>
      </c>
      <c r="G133">
        <f>IF($V133="","",INDEX('Per Line'!$O$2:$O$1501,$V133)&amp;"")</f>
        <v/>
      </c>
      <c r="H133">
        <f>IF($V133="","",INDEX('Per Line'!$P$2:$P$1501,$V133)&amp;"")</f>
        <v/>
      </c>
      <c r="I133">
        <f>IF($V133="","",INDEX('Per Line'!$N$2:$N$1501,$V133)&amp;"")</f>
        <v/>
      </c>
      <c r="J133">
        <f>IF($V133="","",INDEX('Per Line'!$Q$2:$Q$1501,$V133))</f>
        <v/>
      </c>
      <c r="K133" s="7">
        <f>IF($V133="","",J133*T133/100)</f>
        <v/>
      </c>
      <c r="L133">
        <f>IF($V133="","",Settings!$C$7)</f>
        <v/>
      </c>
      <c r="M133" s="7">
        <f>IF($V133="","",SUMIFS('Per Line'!$AC$2:$AC$1501,'Per Line'!$C$2:$C$1501,$C133,'Per Line'!$AK$2:$AK$1501,0))</f>
        <v/>
      </c>
      <c r="N133" s="7">
        <f>IF($V133="","",M133*L133)</f>
        <v/>
      </c>
      <c r="O133">
        <f>IF($V133="","",Settings!$C$6)</f>
        <v/>
      </c>
      <c r="P133" s="7">
        <f>IF($V133="","",SUMIFS('Per Line'!$AC$2:$AC$1501,'Per Line'!$C$2:$C$1501,$C133,'Per Line'!$AK$2:$AK$1501,1))</f>
        <v/>
      </c>
      <c r="Q133" s="7">
        <f>IF($V133="","",P133*O133)</f>
        <v/>
      </c>
      <c r="R133" s="7">
        <f>IF($V133="","",Q133+N133)</f>
        <v/>
      </c>
      <c r="S133" s="7">
        <f>IF($V133="","",T133-R133)</f>
        <v/>
      </c>
      <c r="T133" s="7">
        <f>IF($V133="","",M133+P133)</f>
        <v/>
      </c>
      <c r="U133" s="7">
        <f>IF($V133="","",T133-R133-K133)</f>
        <v/>
      </c>
      <c r="V133" s="13">
        <f>IF(ROWS($V$2:$V133)&lt;=MAX('Per Line'!$AJ$2:$AJ$1501),MATCH(ROWS($V$2:$V133),'Per Line'!$AJ$2:$AJ$1501,0),"")</f>
        <v/>
      </c>
    </row>
    <row r="134">
      <c r="A134" s="12" t="n"/>
      <c r="B134">
        <f>IF($V134="","",INDEX('Per Line'!$A$2:$A$1501,$V134)&amp;"")</f>
        <v/>
      </c>
      <c r="C134">
        <f>IF($V134="","",INDEX('Per Line'!$C$2:$C$1501,$V134)&amp;"")</f>
        <v/>
      </c>
      <c r="D134" s="11">
        <f>IF($V134="","",INDEX('Per Line'!$S$2:$S$1501,$V134))</f>
        <v/>
      </c>
      <c r="E134">
        <f>IF($V134="","",INDEX('Per Line'!$F$2:$F$1501,$V134)&amp;"")</f>
        <v/>
      </c>
      <c r="F134">
        <f>IF($V134="","",INDEX('Per Line'!$L$2:$L$1501,$V134)&amp;"")</f>
        <v/>
      </c>
      <c r="G134">
        <f>IF($V134="","",INDEX('Per Line'!$O$2:$O$1501,$V134)&amp;"")</f>
        <v/>
      </c>
      <c r="H134">
        <f>IF($V134="","",INDEX('Per Line'!$P$2:$P$1501,$V134)&amp;"")</f>
        <v/>
      </c>
      <c r="I134">
        <f>IF($V134="","",INDEX('Per Line'!$N$2:$N$1501,$V134)&amp;"")</f>
        <v/>
      </c>
      <c r="J134">
        <f>IF($V134="","",INDEX('Per Line'!$Q$2:$Q$1501,$V134))</f>
        <v/>
      </c>
      <c r="K134" s="7">
        <f>IF($V134="","",J134*T134/100)</f>
        <v/>
      </c>
      <c r="L134">
        <f>IF($V134="","",Settings!$C$7)</f>
        <v/>
      </c>
      <c r="M134" s="7">
        <f>IF($V134="","",SUMIFS('Per Line'!$AC$2:$AC$1501,'Per Line'!$C$2:$C$1501,$C134,'Per Line'!$AK$2:$AK$1501,0))</f>
        <v/>
      </c>
      <c r="N134" s="7">
        <f>IF($V134="","",M134*L134)</f>
        <v/>
      </c>
      <c r="O134">
        <f>IF($V134="","",Settings!$C$6)</f>
        <v/>
      </c>
      <c r="P134" s="7">
        <f>IF($V134="","",SUMIFS('Per Line'!$AC$2:$AC$1501,'Per Line'!$C$2:$C$1501,$C134,'Per Line'!$AK$2:$AK$1501,1))</f>
        <v/>
      </c>
      <c r="Q134" s="7">
        <f>IF($V134="","",P134*O134)</f>
        <v/>
      </c>
      <c r="R134" s="7">
        <f>IF($V134="","",Q134+N134)</f>
        <v/>
      </c>
      <c r="S134" s="7">
        <f>IF($V134="","",T134-R134)</f>
        <v/>
      </c>
      <c r="T134" s="7">
        <f>IF($V134="","",M134+P134)</f>
        <v/>
      </c>
      <c r="U134" s="7">
        <f>IF($V134="","",T134-R134-K134)</f>
        <v/>
      </c>
      <c r="V134" s="13">
        <f>IF(ROWS($V$2:$V134)&lt;=MAX('Per Line'!$AJ$2:$AJ$1501),MATCH(ROWS($V$2:$V134),'Per Line'!$AJ$2:$AJ$1501,0),"")</f>
        <v/>
      </c>
    </row>
    <row r="135">
      <c r="A135" s="12" t="n"/>
      <c r="B135">
        <f>IF($V135="","",INDEX('Per Line'!$A$2:$A$1501,$V135)&amp;"")</f>
        <v/>
      </c>
      <c r="C135">
        <f>IF($V135="","",INDEX('Per Line'!$C$2:$C$1501,$V135)&amp;"")</f>
        <v/>
      </c>
      <c r="D135" s="11">
        <f>IF($V135="","",INDEX('Per Line'!$S$2:$S$1501,$V135))</f>
        <v/>
      </c>
      <c r="E135">
        <f>IF($V135="","",INDEX('Per Line'!$F$2:$F$1501,$V135)&amp;"")</f>
        <v/>
      </c>
      <c r="F135">
        <f>IF($V135="","",INDEX('Per Line'!$L$2:$L$1501,$V135)&amp;"")</f>
        <v/>
      </c>
      <c r="G135">
        <f>IF($V135="","",INDEX('Per Line'!$O$2:$O$1501,$V135)&amp;"")</f>
        <v/>
      </c>
      <c r="H135">
        <f>IF($V135="","",INDEX('Per Line'!$P$2:$P$1501,$V135)&amp;"")</f>
        <v/>
      </c>
      <c r="I135">
        <f>IF($V135="","",INDEX('Per Line'!$N$2:$N$1501,$V135)&amp;"")</f>
        <v/>
      </c>
      <c r="J135">
        <f>IF($V135="","",INDEX('Per Line'!$Q$2:$Q$1501,$V135))</f>
        <v/>
      </c>
      <c r="K135" s="7">
        <f>IF($V135="","",J135*T135/100)</f>
        <v/>
      </c>
      <c r="L135">
        <f>IF($V135="","",Settings!$C$7)</f>
        <v/>
      </c>
      <c r="M135" s="7">
        <f>IF($V135="","",SUMIFS('Per Line'!$AC$2:$AC$1501,'Per Line'!$C$2:$C$1501,$C135,'Per Line'!$AK$2:$AK$1501,0))</f>
        <v/>
      </c>
      <c r="N135" s="7">
        <f>IF($V135="","",M135*L135)</f>
        <v/>
      </c>
      <c r="O135">
        <f>IF($V135="","",Settings!$C$6)</f>
        <v/>
      </c>
      <c r="P135" s="7">
        <f>IF($V135="","",SUMIFS('Per Line'!$AC$2:$AC$1501,'Per Line'!$C$2:$C$1501,$C135,'Per Line'!$AK$2:$AK$1501,1))</f>
        <v/>
      </c>
      <c r="Q135" s="7">
        <f>IF($V135="","",P135*O135)</f>
        <v/>
      </c>
      <c r="R135" s="7">
        <f>IF($V135="","",Q135+N135)</f>
        <v/>
      </c>
      <c r="S135" s="7">
        <f>IF($V135="","",T135-R135)</f>
        <v/>
      </c>
      <c r="T135" s="7">
        <f>IF($V135="","",M135+P135)</f>
        <v/>
      </c>
      <c r="U135" s="7">
        <f>IF($V135="","",T135-R135-K135)</f>
        <v/>
      </c>
      <c r="V135" s="13">
        <f>IF(ROWS($V$2:$V135)&lt;=MAX('Per Line'!$AJ$2:$AJ$1501),MATCH(ROWS($V$2:$V135),'Per Line'!$AJ$2:$AJ$1501,0),"")</f>
        <v/>
      </c>
    </row>
    <row r="136">
      <c r="A136" s="12" t="n"/>
      <c r="B136">
        <f>IF($V136="","",INDEX('Per Line'!$A$2:$A$1501,$V136)&amp;"")</f>
        <v/>
      </c>
      <c r="C136">
        <f>IF($V136="","",INDEX('Per Line'!$C$2:$C$1501,$V136)&amp;"")</f>
        <v/>
      </c>
      <c r="D136" s="11">
        <f>IF($V136="","",INDEX('Per Line'!$S$2:$S$1501,$V136))</f>
        <v/>
      </c>
      <c r="E136">
        <f>IF($V136="","",INDEX('Per Line'!$F$2:$F$1501,$V136)&amp;"")</f>
        <v/>
      </c>
      <c r="F136">
        <f>IF($V136="","",INDEX('Per Line'!$L$2:$L$1501,$V136)&amp;"")</f>
        <v/>
      </c>
      <c r="G136">
        <f>IF($V136="","",INDEX('Per Line'!$O$2:$O$1501,$V136)&amp;"")</f>
        <v/>
      </c>
      <c r="H136">
        <f>IF($V136="","",INDEX('Per Line'!$P$2:$P$1501,$V136)&amp;"")</f>
        <v/>
      </c>
      <c r="I136">
        <f>IF($V136="","",INDEX('Per Line'!$N$2:$N$1501,$V136)&amp;"")</f>
        <v/>
      </c>
      <c r="J136">
        <f>IF($V136="","",INDEX('Per Line'!$Q$2:$Q$1501,$V136))</f>
        <v/>
      </c>
      <c r="K136" s="7">
        <f>IF($V136="","",J136*T136/100)</f>
        <v/>
      </c>
      <c r="L136">
        <f>IF($V136="","",Settings!$C$7)</f>
        <v/>
      </c>
      <c r="M136" s="7">
        <f>IF($V136="","",SUMIFS('Per Line'!$AC$2:$AC$1501,'Per Line'!$C$2:$C$1501,$C136,'Per Line'!$AK$2:$AK$1501,0))</f>
        <v/>
      </c>
      <c r="N136" s="7">
        <f>IF($V136="","",M136*L136)</f>
        <v/>
      </c>
      <c r="O136">
        <f>IF($V136="","",Settings!$C$6)</f>
        <v/>
      </c>
      <c r="P136" s="7">
        <f>IF($V136="","",SUMIFS('Per Line'!$AC$2:$AC$1501,'Per Line'!$C$2:$C$1501,$C136,'Per Line'!$AK$2:$AK$1501,1))</f>
        <v/>
      </c>
      <c r="Q136" s="7">
        <f>IF($V136="","",P136*O136)</f>
        <v/>
      </c>
      <c r="R136" s="7">
        <f>IF($V136="","",Q136+N136)</f>
        <v/>
      </c>
      <c r="S136" s="7">
        <f>IF($V136="","",T136-R136)</f>
        <v/>
      </c>
      <c r="T136" s="7">
        <f>IF($V136="","",M136+P136)</f>
        <v/>
      </c>
      <c r="U136" s="7">
        <f>IF($V136="","",T136-R136-K136)</f>
        <v/>
      </c>
      <c r="V136" s="13">
        <f>IF(ROWS($V$2:$V136)&lt;=MAX('Per Line'!$AJ$2:$AJ$1501),MATCH(ROWS($V$2:$V136),'Per Line'!$AJ$2:$AJ$1501,0),"")</f>
        <v/>
      </c>
    </row>
    <row r="137">
      <c r="A137" s="12" t="n"/>
      <c r="B137">
        <f>IF($V137="","",INDEX('Per Line'!$A$2:$A$1501,$V137)&amp;"")</f>
        <v/>
      </c>
      <c r="C137">
        <f>IF($V137="","",INDEX('Per Line'!$C$2:$C$1501,$V137)&amp;"")</f>
        <v/>
      </c>
      <c r="D137" s="11">
        <f>IF($V137="","",INDEX('Per Line'!$S$2:$S$1501,$V137))</f>
        <v/>
      </c>
      <c r="E137">
        <f>IF($V137="","",INDEX('Per Line'!$F$2:$F$1501,$V137)&amp;"")</f>
        <v/>
      </c>
      <c r="F137">
        <f>IF($V137="","",INDEX('Per Line'!$L$2:$L$1501,$V137)&amp;"")</f>
        <v/>
      </c>
      <c r="G137">
        <f>IF($V137="","",INDEX('Per Line'!$O$2:$O$1501,$V137)&amp;"")</f>
        <v/>
      </c>
      <c r="H137">
        <f>IF($V137="","",INDEX('Per Line'!$P$2:$P$1501,$V137)&amp;"")</f>
        <v/>
      </c>
      <c r="I137">
        <f>IF($V137="","",INDEX('Per Line'!$N$2:$N$1501,$V137)&amp;"")</f>
        <v/>
      </c>
      <c r="J137">
        <f>IF($V137="","",INDEX('Per Line'!$Q$2:$Q$1501,$V137))</f>
        <v/>
      </c>
      <c r="K137" s="7">
        <f>IF($V137="","",J137*T137/100)</f>
        <v/>
      </c>
      <c r="L137">
        <f>IF($V137="","",Settings!$C$7)</f>
        <v/>
      </c>
      <c r="M137" s="7">
        <f>IF($V137="","",SUMIFS('Per Line'!$AC$2:$AC$1501,'Per Line'!$C$2:$C$1501,$C137,'Per Line'!$AK$2:$AK$1501,0))</f>
        <v/>
      </c>
      <c r="N137" s="7">
        <f>IF($V137="","",M137*L137)</f>
        <v/>
      </c>
      <c r="O137">
        <f>IF($V137="","",Settings!$C$6)</f>
        <v/>
      </c>
      <c r="P137" s="7">
        <f>IF($V137="","",SUMIFS('Per Line'!$AC$2:$AC$1501,'Per Line'!$C$2:$C$1501,$C137,'Per Line'!$AK$2:$AK$1501,1))</f>
        <v/>
      </c>
      <c r="Q137" s="7">
        <f>IF($V137="","",P137*O137)</f>
        <v/>
      </c>
      <c r="R137" s="7">
        <f>IF($V137="","",Q137+N137)</f>
        <v/>
      </c>
      <c r="S137" s="7">
        <f>IF($V137="","",T137-R137)</f>
        <v/>
      </c>
      <c r="T137" s="7">
        <f>IF($V137="","",M137+P137)</f>
        <v/>
      </c>
      <c r="U137" s="7">
        <f>IF($V137="","",T137-R137-K137)</f>
        <v/>
      </c>
      <c r="V137" s="13">
        <f>IF(ROWS($V$2:$V137)&lt;=MAX('Per Line'!$AJ$2:$AJ$1501),MATCH(ROWS($V$2:$V137),'Per Line'!$AJ$2:$AJ$1501,0),"")</f>
        <v/>
      </c>
    </row>
    <row r="138">
      <c r="A138" s="12" t="n"/>
      <c r="B138">
        <f>IF($V138="","",INDEX('Per Line'!$A$2:$A$1501,$V138)&amp;"")</f>
        <v/>
      </c>
      <c r="C138">
        <f>IF($V138="","",INDEX('Per Line'!$C$2:$C$1501,$V138)&amp;"")</f>
        <v/>
      </c>
      <c r="D138" s="11">
        <f>IF($V138="","",INDEX('Per Line'!$S$2:$S$1501,$V138))</f>
        <v/>
      </c>
      <c r="E138">
        <f>IF($V138="","",INDEX('Per Line'!$F$2:$F$1501,$V138)&amp;"")</f>
        <v/>
      </c>
      <c r="F138">
        <f>IF($V138="","",INDEX('Per Line'!$L$2:$L$1501,$V138)&amp;"")</f>
        <v/>
      </c>
      <c r="G138">
        <f>IF($V138="","",INDEX('Per Line'!$O$2:$O$1501,$V138)&amp;"")</f>
        <v/>
      </c>
      <c r="H138">
        <f>IF($V138="","",INDEX('Per Line'!$P$2:$P$1501,$V138)&amp;"")</f>
        <v/>
      </c>
      <c r="I138">
        <f>IF($V138="","",INDEX('Per Line'!$N$2:$N$1501,$V138)&amp;"")</f>
        <v/>
      </c>
      <c r="J138">
        <f>IF($V138="","",INDEX('Per Line'!$Q$2:$Q$1501,$V138))</f>
        <v/>
      </c>
      <c r="K138" s="7">
        <f>IF($V138="","",J138*T138/100)</f>
        <v/>
      </c>
      <c r="L138">
        <f>IF($V138="","",Settings!$C$7)</f>
        <v/>
      </c>
      <c r="M138" s="7">
        <f>IF($V138="","",SUMIFS('Per Line'!$AC$2:$AC$1501,'Per Line'!$C$2:$C$1501,$C138,'Per Line'!$AK$2:$AK$1501,0))</f>
        <v/>
      </c>
      <c r="N138" s="7">
        <f>IF($V138="","",M138*L138)</f>
        <v/>
      </c>
      <c r="O138">
        <f>IF($V138="","",Settings!$C$6)</f>
        <v/>
      </c>
      <c r="P138" s="7">
        <f>IF($V138="","",SUMIFS('Per Line'!$AC$2:$AC$1501,'Per Line'!$C$2:$C$1501,$C138,'Per Line'!$AK$2:$AK$1501,1))</f>
        <v/>
      </c>
      <c r="Q138" s="7">
        <f>IF($V138="","",P138*O138)</f>
        <v/>
      </c>
      <c r="R138" s="7">
        <f>IF($V138="","",Q138+N138)</f>
        <v/>
      </c>
      <c r="S138" s="7">
        <f>IF($V138="","",T138-R138)</f>
        <v/>
      </c>
      <c r="T138" s="7">
        <f>IF($V138="","",M138+P138)</f>
        <v/>
      </c>
      <c r="U138" s="7">
        <f>IF($V138="","",T138-R138-K138)</f>
        <v/>
      </c>
      <c r="V138" s="13">
        <f>IF(ROWS($V$2:$V138)&lt;=MAX('Per Line'!$AJ$2:$AJ$1501),MATCH(ROWS($V$2:$V138),'Per Line'!$AJ$2:$AJ$1501,0),"")</f>
        <v/>
      </c>
    </row>
    <row r="139">
      <c r="A139" s="12" t="n"/>
      <c r="B139">
        <f>IF($V139="","",INDEX('Per Line'!$A$2:$A$1501,$V139)&amp;"")</f>
        <v/>
      </c>
      <c r="C139">
        <f>IF($V139="","",INDEX('Per Line'!$C$2:$C$1501,$V139)&amp;"")</f>
        <v/>
      </c>
      <c r="D139" s="11">
        <f>IF($V139="","",INDEX('Per Line'!$S$2:$S$1501,$V139))</f>
        <v/>
      </c>
      <c r="E139">
        <f>IF($V139="","",INDEX('Per Line'!$F$2:$F$1501,$V139)&amp;"")</f>
        <v/>
      </c>
      <c r="F139">
        <f>IF($V139="","",INDEX('Per Line'!$L$2:$L$1501,$V139)&amp;"")</f>
        <v/>
      </c>
      <c r="G139">
        <f>IF($V139="","",INDEX('Per Line'!$O$2:$O$1501,$V139)&amp;"")</f>
        <v/>
      </c>
      <c r="H139">
        <f>IF($V139="","",INDEX('Per Line'!$P$2:$P$1501,$V139)&amp;"")</f>
        <v/>
      </c>
      <c r="I139">
        <f>IF($V139="","",INDEX('Per Line'!$N$2:$N$1501,$V139)&amp;"")</f>
        <v/>
      </c>
      <c r="J139">
        <f>IF($V139="","",INDEX('Per Line'!$Q$2:$Q$1501,$V139))</f>
        <v/>
      </c>
      <c r="K139" s="7">
        <f>IF($V139="","",J139*T139/100)</f>
        <v/>
      </c>
      <c r="L139">
        <f>IF($V139="","",Settings!$C$7)</f>
        <v/>
      </c>
      <c r="M139" s="7">
        <f>IF($V139="","",SUMIFS('Per Line'!$AC$2:$AC$1501,'Per Line'!$C$2:$C$1501,$C139,'Per Line'!$AK$2:$AK$1501,0))</f>
        <v/>
      </c>
      <c r="N139" s="7">
        <f>IF($V139="","",M139*L139)</f>
        <v/>
      </c>
      <c r="O139">
        <f>IF($V139="","",Settings!$C$6)</f>
        <v/>
      </c>
      <c r="P139" s="7">
        <f>IF($V139="","",SUMIFS('Per Line'!$AC$2:$AC$1501,'Per Line'!$C$2:$C$1501,$C139,'Per Line'!$AK$2:$AK$1501,1))</f>
        <v/>
      </c>
      <c r="Q139" s="7">
        <f>IF($V139="","",P139*O139)</f>
        <v/>
      </c>
      <c r="R139" s="7">
        <f>IF($V139="","",Q139+N139)</f>
        <v/>
      </c>
      <c r="S139" s="7">
        <f>IF($V139="","",T139-R139)</f>
        <v/>
      </c>
      <c r="T139" s="7">
        <f>IF($V139="","",M139+P139)</f>
        <v/>
      </c>
      <c r="U139" s="7">
        <f>IF($V139="","",T139-R139-K139)</f>
        <v/>
      </c>
      <c r="V139" s="13">
        <f>IF(ROWS($V$2:$V139)&lt;=MAX('Per Line'!$AJ$2:$AJ$1501),MATCH(ROWS($V$2:$V139),'Per Line'!$AJ$2:$AJ$1501,0),"")</f>
        <v/>
      </c>
    </row>
    <row r="140">
      <c r="A140" s="12" t="n"/>
      <c r="B140">
        <f>IF($V140="","",INDEX('Per Line'!$A$2:$A$1501,$V140)&amp;"")</f>
        <v/>
      </c>
      <c r="C140">
        <f>IF($V140="","",INDEX('Per Line'!$C$2:$C$1501,$V140)&amp;"")</f>
        <v/>
      </c>
      <c r="D140" s="11">
        <f>IF($V140="","",INDEX('Per Line'!$S$2:$S$1501,$V140))</f>
        <v/>
      </c>
      <c r="E140">
        <f>IF($V140="","",INDEX('Per Line'!$F$2:$F$1501,$V140)&amp;"")</f>
        <v/>
      </c>
      <c r="F140">
        <f>IF($V140="","",INDEX('Per Line'!$L$2:$L$1501,$V140)&amp;"")</f>
        <v/>
      </c>
      <c r="G140">
        <f>IF($V140="","",INDEX('Per Line'!$O$2:$O$1501,$V140)&amp;"")</f>
        <v/>
      </c>
      <c r="H140">
        <f>IF($V140="","",INDEX('Per Line'!$P$2:$P$1501,$V140)&amp;"")</f>
        <v/>
      </c>
      <c r="I140">
        <f>IF($V140="","",INDEX('Per Line'!$N$2:$N$1501,$V140)&amp;"")</f>
        <v/>
      </c>
      <c r="J140">
        <f>IF($V140="","",INDEX('Per Line'!$Q$2:$Q$1501,$V140))</f>
        <v/>
      </c>
      <c r="K140" s="7">
        <f>IF($V140="","",J140*T140/100)</f>
        <v/>
      </c>
      <c r="L140">
        <f>IF($V140="","",Settings!$C$7)</f>
        <v/>
      </c>
      <c r="M140" s="7">
        <f>IF($V140="","",SUMIFS('Per Line'!$AC$2:$AC$1501,'Per Line'!$C$2:$C$1501,$C140,'Per Line'!$AK$2:$AK$1501,0))</f>
        <v/>
      </c>
      <c r="N140" s="7">
        <f>IF($V140="","",M140*L140)</f>
        <v/>
      </c>
      <c r="O140">
        <f>IF($V140="","",Settings!$C$6)</f>
        <v/>
      </c>
      <c r="P140" s="7">
        <f>IF($V140="","",SUMIFS('Per Line'!$AC$2:$AC$1501,'Per Line'!$C$2:$C$1501,$C140,'Per Line'!$AK$2:$AK$1501,1))</f>
        <v/>
      </c>
      <c r="Q140" s="7">
        <f>IF($V140="","",P140*O140)</f>
        <v/>
      </c>
      <c r="R140" s="7">
        <f>IF($V140="","",Q140+N140)</f>
        <v/>
      </c>
      <c r="S140" s="7">
        <f>IF($V140="","",T140-R140)</f>
        <v/>
      </c>
      <c r="T140" s="7">
        <f>IF($V140="","",M140+P140)</f>
        <v/>
      </c>
      <c r="U140" s="7">
        <f>IF($V140="","",T140-R140-K140)</f>
        <v/>
      </c>
      <c r="V140" s="13">
        <f>IF(ROWS($V$2:$V140)&lt;=MAX('Per Line'!$AJ$2:$AJ$1501),MATCH(ROWS($V$2:$V140),'Per Line'!$AJ$2:$AJ$1501,0),"")</f>
        <v/>
      </c>
    </row>
    <row r="141">
      <c r="A141" s="12" t="n"/>
      <c r="B141">
        <f>IF($V141="","",INDEX('Per Line'!$A$2:$A$1501,$V141)&amp;"")</f>
        <v/>
      </c>
      <c r="C141">
        <f>IF($V141="","",INDEX('Per Line'!$C$2:$C$1501,$V141)&amp;"")</f>
        <v/>
      </c>
      <c r="D141" s="11">
        <f>IF($V141="","",INDEX('Per Line'!$S$2:$S$1501,$V141))</f>
        <v/>
      </c>
      <c r="E141">
        <f>IF($V141="","",INDEX('Per Line'!$F$2:$F$1501,$V141)&amp;"")</f>
        <v/>
      </c>
      <c r="F141">
        <f>IF($V141="","",INDEX('Per Line'!$L$2:$L$1501,$V141)&amp;"")</f>
        <v/>
      </c>
      <c r="G141">
        <f>IF($V141="","",INDEX('Per Line'!$O$2:$O$1501,$V141)&amp;"")</f>
        <v/>
      </c>
      <c r="H141">
        <f>IF($V141="","",INDEX('Per Line'!$P$2:$P$1501,$V141)&amp;"")</f>
        <v/>
      </c>
      <c r="I141">
        <f>IF($V141="","",INDEX('Per Line'!$N$2:$N$1501,$V141)&amp;"")</f>
        <v/>
      </c>
      <c r="J141">
        <f>IF($V141="","",INDEX('Per Line'!$Q$2:$Q$1501,$V141))</f>
        <v/>
      </c>
      <c r="K141" s="7">
        <f>IF($V141="","",J141*T141/100)</f>
        <v/>
      </c>
      <c r="L141">
        <f>IF($V141="","",Settings!$C$7)</f>
        <v/>
      </c>
      <c r="M141" s="7">
        <f>IF($V141="","",SUMIFS('Per Line'!$AC$2:$AC$1501,'Per Line'!$C$2:$C$1501,$C141,'Per Line'!$AK$2:$AK$1501,0))</f>
        <v/>
      </c>
      <c r="N141" s="7">
        <f>IF($V141="","",M141*L141)</f>
        <v/>
      </c>
      <c r="O141">
        <f>IF($V141="","",Settings!$C$6)</f>
        <v/>
      </c>
      <c r="P141" s="7">
        <f>IF($V141="","",SUMIFS('Per Line'!$AC$2:$AC$1501,'Per Line'!$C$2:$C$1501,$C141,'Per Line'!$AK$2:$AK$1501,1))</f>
        <v/>
      </c>
      <c r="Q141" s="7">
        <f>IF($V141="","",P141*O141)</f>
        <v/>
      </c>
      <c r="R141" s="7">
        <f>IF($V141="","",Q141+N141)</f>
        <v/>
      </c>
      <c r="S141" s="7">
        <f>IF($V141="","",T141-R141)</f>
        <v/>
      </c>
      <c r="T141" s="7">
        <f>IF($V141="","",M141+P141)</f>
        <v/>
      </c>
      <c r="U141" s="7">
        <f>IF($V141="","",T141-R141-K141)</f>
        <v/>
      </c>
      <c r="V141" s="13">
        <f>IF(ROWS($V$2:$V141)&lt;=MAX('Per Line'!$AJ$2:$AJ$1501),MATCH(ROWS($V$2:$V141),'Per Line'!$AJ$2:$AJ$1501,0),"")</f>
        <v/>
      </c>
    </row>
    <row r="142">
      <c r="A142" s="12" t="n"/>
      <c r="B142">
        <f>IF($V142="","",INDEX('Per Line'!$A$2:$A$1501,$V142)&amp;"")</f>
        <v/>
      </c>
      <c r="C142">
        <f>IF($V142="","",INDEX('Per Line'!$C$2:$C$1501,$V142)&amp;"")</f>
        <v/>
      </c>
      <c r="D142" s="11">
        <f>IF($V142="","",INDEX('Per Line'!$S$2:$S$1501,$V142))</f>
        <v/>
      </c>
      <c r="E142">
        <f>IF($V142="","",INDEX('Per Line'!$F$2:$F$1501,$V142)&amp;"")</f>
        <v/>
      </c>
      <c r="F142">
        <f>IF($V142="","",INDEX('Per Line'!$L$2:$L$1501,$V142)&amp;"")</f>
        <v/>
      </c>
      <c r="G142">
        <f>IF($V142="","",INDEX('Per Line'!$O$2:$O$1501,$V142)&amp;"")</f>
        <v/>
      </c>
      <c r="H142">
        <f>IF($V142="","",INDEX('Per Line'!$P$2:$P$1501,$V142)&amp;"")</f>
        <v/>
      </c>
      <c r="I142">
        <f>IF($V142="","",INDEX('Per Line'!$N$2:$N$1501,$V142)&amp;"")</f>
        <v/>
      </c>
      <c r="J142">
        <f>IF($V142="","",INDEX('Per Line'!$Q$2:$Q$1501,$V142))</f>
        <v/>
      </c>
      <c r="K142" s="7">
        <f>IF($V142="","",J142*T142/100)</f>
        <v/>
      </c>
      <c r="L142">
        <f>IF($V142="","",Settings!$C$7)</f>
        <v/>
      </c>
      <c r="M142" s="7">
        <f>IF($V142="","",SUMIFS('Per Line'!$AC$2:$AC$1501,'Per Line'!$C$2:$C$1501,$C142,'Per Line'!$AK$2:$AK$1501,0))</f>
        <v/>
      </c>
      <c r="N142" s="7">
        <f>IF($V142="","",M142*L142)</f>
        <v/>
      </c>
      <c r="O142">
        <f>IF($V142="","",Settings!$C$6)</f>
        <v/>
      </c>
      <c r="P142" s="7">
        <f>IF($V142="","",SUMIFS('Per Line'!$AC$2:$AC$1501,'Per Line'!$C$2:$C$1501,$C142,'Per Line'!$AK$2:$AK$1501,1))</f>
        <v/>
      </c>
      <c r="Q142" s="7">
        <f>IF($V142="","",P142*O142)</f>
        <v/>
      </c>
      <c r="R142" s="7">
        <f>IF($V142="","",Q142+N142)</f>
        <v/>
      </c>
      <c r="S142" s="7">
        <f>IF($V142="","",T142-R142)</f>
        <v/>
      </c>
      <c r="T142" s="7">
        <f>IF($V142="","",M142+P142)</f>
        <v/>
      </c>
      <c r="U142" s="7">
        <f>IF($V142="","",T142-R142-K142)</f>
        <v/>
      </c>
      <c r="V142" s="13">
        <f>IF(ROWS($V$2:$V142)&lt;=MAX('Per Line'!$AJ$2:$AJ$1501),MATCH(ROWS($V$2:$V142),'Per Line'!$AJ$2:$AJ$1501,0),"")</f>
        <v/>
      </c>
    </row>
    <row r="143">
      <c r="A143" s="12" t="n"/>
      <c r="B143">
        <f>IF($V143="","",INDEX('Per Line'!$A$2:$A$1501,$V143)&amp;"")</f>
        <v/>
      </c>
      <c r="C143">
        <f>IF($V143="","",INDEX('Per Line'!$C$2:$C$1501,$V143)&amp;"")</f>
        <v/>
      </c>
      <c r="D143" s="11">
        <f>IF($V143="","",INDEX('Per Line'!$S$2:$S$1501,$V143))</f>
        <v/>
      </c>
      <c r="E143">
        <f>IF($V143="","",INDEX('Per Line'!$F$2:$F$1501,$V143)&amp;"")</f>
        <v/>
      </c>
      <c r="F143">
        <f>IF($V143="","",INDEX('Per Line'!$L$2:$L$1501,$V143)&amp;"")</f>
        <v/>
      </c>
      <c r="G143">
        <f>IF($V143="","",INDEX('Per Line'!$O$2:$O$1501,$V143)&amp;"")</f>
        <v/>
      </c>
      <c r="H143">
        <f>IF($V143="","",INDEX('Per Line'!$P$2:$P$1501,$V143)&amp;"")</f>
        <v/>
      </c>
      <c r="I143">
        <f>IF($V143="","",INDEX('Per Line'!$N$2:$N$1501,$V143)&amp;"")</f>
        <v/>
      </c>
      <c r="J143">
        <f>IF($V143="","",INDEX('Per Line'!$Q$2:$Q$1501,$V143))</f>
        <v/>
      </c>
      <c r="K143" s="7">
        <f>IF($V143="","",J143*T143/100)</f>
        <v/>
      </c>
      <c r="L143">
        <f>IF($V143="","",Settings!$C$7)</f>
        <v/>
      </c>
      <c r="M143" s="7">
        <f>IF($V143="","",SUMIFS('Per Line'!$AC$2:$AC$1501,'Per Line'!$C$2:$C$1501,$C143,'Per Line'!$AK$2:$AK$1501,0))</f>
        <v/>
      </c>
      <c r="N143" s="7">
        <f>IF($V143="","",M143*L143)</f>
        <v/>
      </c>
      <c r="O143">
        <f>IF($V143="","",Settings!$C$6)</f>
        <v/>
      </c>
      <c r="P143" s="7">
        <f>IF($V143="","",SUMIFS('Per Line'!$AC$2:$AC$1501,'Per Line'!$C$2:$C$1501,$C143,'Per Line'!$AK$2:$AK$1501,1))</f>
        <v/>
      </c>
      <c r="Q143" s="7">
        <f>IF($V143="","",P143*O143)</f>
        <v/>
      </c>
      <c r="R143" s="7">
        <f>IF($V143="","",Q143+N143)</f>
        <v/>
      </c>
      <c r="S143" s="7">
        <f>IF($V143="","",T143-R143)</f>
        <v/>
      </c>
      <c r="T143" s="7">
        <f>IF($V143="","",M143+P143)</f>
        <v/>
      </c>
      <c r="U143" s="7">
        <f>IF($V143="","",T143-R143-K143)</f>
        <v/>
      </c>
      <c r="V143" s="13">
        <f>IF(ROWS($V$2:$V143)&lt;=MAX('Per Line'!$AJ$2:$AJ$1501),MATCH(ROWS($V$2:$V143),'Per Line'!$AJ$2:$AJ$1501,0),"")</f>
        <v/>
      </c>
    </row>
    <row r="144">
      <c r="A144" s="12" t="n"/>
      <c r="B144">
        <f>IF($V144="","",INDEX('Per Line'!$A$2:$A$1501,$V144)&amp;"")</f>
        <v/>
      </c>
      <c r="C144">
        <f>IF($V144="","",INDEX('Per Line'!$C$2:$C$1501,$V144)&amp;"")</f>
        <v/>
      </c>
      <c r="D144" s="11">
        <f>IF($V144="","",INDEX('Per Line'!$S$2:$S$1501,$V144))</f>
        <v/>
      </c>
      <c r="E144">
        <f>IF($V144="","",INDEX('Per Line'!$F$2:$F$1501,$V144)&amp;"")</f>
        <v/>
      </c>
      <c r="F144">
        <f>IF($V144="","",INDEX('Per Line'!$L$2:$L$1501,$V144)&amp;"")</f>
        <v/>
      </c>
      <c r="G144">
        <f>IF($V144="","",INDEX('Per Line'!$O$2:$O$1501,$V144)&amp;"")</f>
        <v/>
      </c>
      <c r="H144">
        <f>IF($V144="","",INDEX('Per Line'!$P$2:$P$1501,$V144)&amp;"")</f>
        <v/>
      </c>
      <c r="I144">
        <f>IF($V144="","",INDEX('Per Line'!$N$2:$N$1501,$V144)&amp;"")</f>
        <v/>
      </c>
      <c r="J144">
        <f>IF($V144="","",INDEX('Per Line'!$Q$2:$Q$1501,$V144))</f>
        <v/>
      </c>
      <c r="K144" s="7">
        <f>IF($V144="","",J144*T144/100)</f>
        <v/>
      </c>
      <c r="L144">
        <f>IF($V144="","",Settings!$C$7)</f>
        <v/>
      </c>
      <c r="M144" s="7">
        <f>IF($V144="","",SUMIFS('Per Line'!$AC$2:$AC$1501,'Per Line'!$C$2:$C$1501,$C144,'Per Line'!$AK$2:$AK$1501,0))</f>
        <v/>
      </c>
      <c r="N144" s="7">
        <f>IF($V144="","",M144*L144)</f>
        <v/>
      </c>
      <c r="O144">
        <f>IF($V144="","",Settings!$C$6)</f>
        <v/>
      </c>
      <c r="P144" s="7">
        <f>IF($V144="","",SUMIFS('Per Line'!$AC$2:$AC$1501,'Per Line'!$C$2:$C$1501,$C144,'Per Line'!$AK$2:$AK$1501,1))</f>
        <v/>
      </c>
      <c r="Q144" s="7">
        <f>IF($V144="","",P144*O144)</f>
        <v/>
      </c>
      <c r="R144" s="7">
        <f>IF($V144="","",Q144+N144)</f>
        <v/>
      </c>
      <c r="S144" s="7">
        <f>IF($V144="","",T144-R144)</f>
        <v/>
      </c>
      <c r="T144" s="7">
        <f>IF($V144="","",M144+P144)</f>
        <v/>
      </c>
      <c r="U144" s="7">
        <f>IF($V144="","",T144-R144-K144)</f>
        <v/>
      </c>
      <c r="V144" s="13">
        <f>IF(ROWS($V$2:$V144)&lt;=MAX('Per Line'!$AJ$2:$AJ$1501),MATCH(ROWS($V$2:$V144),'Per Line'!$AJ$2:$AJ$1501,0),"")</f>
        <v/>
      </c>
    </row>
    <row r="145">
      <c r="A145" s="12" t="n"/>
      <c r="B145">
        <f>IF($V145="","",INDEX('Per Line'!$A$2:$A$1501,$V145)&amp;"")</f>
        <v/>
      </c>
      <c r="C145">
        <f>IF($V145="","",INDEX('Per Line'!$C$2:$C$1501,$V145)&amp;"")</f>
        <v/>
      </c>
      <c r="D145" s="11">
        <f>IF($V145="","",INDEX('Per Line'!$S$2:$S$1501,$V145))</f>
        <v/>
      </c>
      <c r="E145">
        <f>IF($V145="","",INDEX('Per Line'!$F$2:$F$1501,$V145)&amp;"")</f>
        <v/>
      </c>
      <c r="F145">
        <f>IF($V145="","",INDEX('Per Line'!$L$2:$L$1501,$V145)&amp;"")</f>
        <v/>
      </c>
      <c r="G145">
        <f>IF($V145="","",INDEX('Per Line'!$O$2:$O$1501,$V145)&amp;"")</f>
        <v/>
      </c>
      <c r="H145">
        <f>IF($V145="","",INDEX('Per Line'!$P$2:$P$1501,$V145)&amp;"")</f>
        <v/>
      </c>
      <c r="I145">
        <f>IF($V145="","",INDEX('Per Line'!$N$2:$N$1501,$V145)&amp;"")</f>
        <v/>
      </c>
      <c r="J145">
        <f>IF($V145="","",INDEX('Per Line'!$Q$2:$Q$1501,$V145))</f>
        <v/>
      </c>
      <c r="K145" s="7">
        <f>IF($V145="","",J145*T145/100)</f>
        <v/>
      </c>
      <c r="L145">
        <f>IF($V145="","",Settings!$C$7)</f>
        <v/>
      </c>
      <c r="M145" s="7">
        <f>IF($V145="","",SUMIFS('Per Line'!$AC$2:$AC$1501,'Per Line'!$C$2:$C$1501,$C145,'Per Line'!$AK$2:$AK$1501,0))</f>
        <v/>
      </c>
      <c r="N145" s="7">
        <f>IF($V145="","",M145*L145)</f>
        <v/>
      </c>
      <c r="O145">
        <f>IF($V145="","",Settings!$C$6)</f>
        <v/>
      </c>
      <c r="P145" s="7">
        <f>IF($V145="","",SUMIFS('Per Line'!$AC$2:$AC$1501,'Per Line'!$C$2:$C$1501,$C145,'Per Line'!$AK$2:$AK$1501,1))</f>
        <v/>
      </c>
      <c r="Q145" s="7">
        <f>IF($V145="","",P145*O145)</f>
        <v/>
      </c>
      <c r="R145" s="7">
        <f>IF($V145="","",Q145+N145)</f>
        <v/>
      </c>
      <c r="S145" s="7">
        <f>IF($V145="","",T145-R145)</f>
        <v/>
      </c>
      <c r="T145" s="7">
        <f>IF($V145="","",M145+P145)</f>
        <v/>
      </c>
      <c r="U145" s="7">
        <f>IF($V145="","",T145-R145-K145)</f>
        <v/>
      </c>
      <c r="V145" s="13">
        <f>IF(ROWS($V$2:$V145)&lt;=MAX('Per Line'!$AJ$2:$AJ$1501),MATCH(ROWS($V$2:$V145),'Per Line'!$AJ$2:$AJ$1501,0),"")</f>
        <v/>
      </c>
    </row>
    <row r="146">
      <c r="A146" s="12" t="n"/>
      <c r="B146">
        <f>IF($V146="","",INDEX('Per Line'!$A$2:$A$1501,$V146)&amp;"")</f>
        <v/>
      </c>
      <c r="C146">
        <f>IF($V146="","",INDEX('Per Line'!$C$2:$C$1501,$V146)&amp;"")</f>
        <v/>
      </c>
      <c r="D146" s="11">
        <f>IF($V146="","",INDEX('Per Line'!$S$2:$S$1501,$V146))</f>
        <v/>
      </c>
      <c r="E146">
        <f>IF($V146="","",INDEX('Per Line'!$F$2:$F$1501,$V146)&amp;"")</f>
        <v/>
      </c>
      <c r="F146">
        <f>IF($V146="","",INDEX('Per Line'!$L$2:$L$1501,$V146)&amp;"")</f>
        <v/>
      </c>
      <c r="G146">
        <f>IF($V146="","",INDEX('Per Line'!$O$2:$O$1501,$V146)&amp;"")</f>
        <v/>
      </c>
      <c r="H146">
        <f>IF($V146="","",INDEX('Per Line'!$P$2:$P$1501,$V146)&amp;"")</f>
        <v/>
      </c>
      <c r="I146">
        <f>IF($V146="","",INDEX('Per Line'!$N$2:$N$1501,$V146)&amp;"")</f>
        <v/>
      </c>
      <c r="J146">
        <f>IF($V146="","",INDEX('Per Line'!$Q$2:$Q$1501,$V146))</f>
        <v/>
      </c>
      <c r="K146" s="7">
        <f>IF($V146="","",J146*T146/100)</f>
        <v/>
      </c>
      <c r="L146">
        <f>IF($V146="","",Settings!$C$7)</f>
        <v/>
      </c>
      <c r="M146" s="7">
        <f>IF($V146="","",SUMIFS('Per Line'!$AC$2:$AC$1501,'Per Line'!$C$2:$C$1501,$C146,'Per Line'!$AK$2:$AK$1501,0))</f>
        <v/>
      </c>
      <c r="N146" s="7">
        <f>IF($V146="","",M146*L146)</f>
        <v/>
      </c>
      <c r="O146">
        <f>IF($V146="","",Settings!$C$6)</f>
        <v/>
      </c>
      <c r="P146" s="7">
        <f>IF($V146="","",SUMIFS('Per Line'!$AC$2:$AC$1501,'Per Line'!$C$2:$C$1501,$C146,'Per Line'!$AK$2:$AK$1501,1))</f>
        <v/>
      </c>
      <c r="Q146" s="7">
        <f>IF($V146="","",P146*O146)</f>
        <v/>
      </c>
      <c r="R146" s="7">
        <f>IF($V146="","",Q146+N146)</f>
        <v/>
      </c>
      <c r="S146" s="7">
        <f>IF($V146="","",T146-R146)</f>
        <v/>
      </c>
      <c r="T146" s="7">
        <f>IF($V146="","",M146+P146)</f>
        <v/>
      </c>
      <c r="U146" s="7">
        <f>IF($V146="","",T146-R146-K146)</f>
        <v/>
      </c>
      <c r="V146" s="13">
        <f>IF(ROWS($V$2:$V146)&lt;=MAX('Per Line'!$AJ$2:$AJ$1501),MATCH(ROWS($V$2:$V146),'Per Line'!$AJ$2:$AJ$1501,0),"")</f>
        <v/>
      </c>
    </row>
    <row r="147">
      <c r="A147" s="12" t="n"/>
      <c r="B147">
        <f>IF($V147="","",INDEX('Per Line'!$A$2:$A$1501,$V147)&amp;"")</f>
        <v/>
      </c>
      <c r="C147">
        <f>IF($V147="","",INDEX('Per Line'!$C$2:$C$1501,$V147)&amp;"")</f>
        <v/>
      </c>
      <c r="D147" s="11">
        <f>IF($V147="","",INDEX('Per Line'!$S$2:$S$1501,$V147))</f>
        <v/>
      </c>
      <c r="E147">
        <f>IF($V147="","",INDEX('Per Line'!$F$2:$F$1501,$V147)&amp;"")</f>
        <v/>
      </c>
      <c r="F147">
        <f>IF($V147="","",INDEX('Per Line'!$L$2:$L$1501,$V147)&amp;"")</f>
        <v/>
      </c>
      <c r="G147">
        <f>IF($V147="","",INDEX('Per Line'!$O$2:$O$1501,$V147)&amp;"")</f>
        <v/>
      </c>
      <c r="H147">
        <f>IF($V147="","",INDEX('Per Line'!$P$2:$P$1501,$V147)&amp;"")</f>
        <v/>
      </c>
      <c r="I147">
        <f>IF($V147="","",INDEX('Per Line'!$N$2:$N$1501,$V147)&amp;"")</f>
        <v/>
      </c>
      <c r="J147">
        <f>IF($V147="","",INDEX('Per Line'!$Q$2:$Q$1501,$V147))</f>
        <v/>
      </c>
      <c r="K147" s="7">
        <f>IF($V147="","",J147*T147/100)</f>
        <v/>
      </c>
      <c r="L147">
        <f>IF($V147="","",Settings!$C$7)</f>
        <v/>
      </c>
      <c r="M147" s="7">
        <f>IF($V147="","",SUMIFS('Per Line'!$AC$2:$AC$1501,'Per Line'!$C$2:$C$1501,$C147,'Per Line'!$AK$2:$AK$1501,0))</f>
        <v/>
      </c>
      <c r="N147" s="7">
        <f>IF($V147="","",M147*L147)</f>
        <v/>
      </c>
      <c r="O147">
        <f>IF($V147="","",Settings!$C$6)</f>
        <v/>
      </c>
      <c r="P147" s="7">
        <f>IF($V147="","",SUMIFS('Per Line'!$AC$2:$AC$1501,'Per Line'!$C$2:$C$1501,$C147,'Per Line'!$AK$2:$AK$1501,1))</f>
        <v/>
      </c>
      <c r="Q147" s="7">
        <f>IF($V147="","",P147*O147)</f>
        <v/>
      </c>
      <c r="R147" s="7">
        <f>IF($V147="","",Q147+N147)</f>
        <v/>
      </c>
      <c r="S147" s="7">
        <f>IF($V147="","",T147-R147)</f>
        <v/>
      </c>
      <c r="T147" s="7">
        <f>IF($V147="","",M147+P147)</f>
        <v/>
      </c>
      <c r="U147" s="7">
        <f>IF($V147="","",T147-R147-K147)</f>
        <v/>
      </c>
      <c r="V147" s="13">
        <f>IF(ROWS($V$2:$V147)&lt;=MAX('Per Line'!$AJ$2:$AJ$1501),MATCH(ROWS($V$2:$V147),'Per Line'!$AJ$2:$AJ$1501,0),"")</f>
        <v/>
      </c>
    </row>
    <row r="148">
      <c r="A148" s="12" t="n"/>
      <c r="B148">
        <f>IF($V148="","",INDEX('Per Line'!$A$2:$A$1501,$V148)&amp;"")</f>
        <v/>
      </c>
      <c r="C148">
        <f>IF($V148="","",INDEX('Per Line'!$C$2:$C$1501,$V148)&amp;"")</f>
        <v/>
      </c>
      <c r="D148" s="11">
        <f>IF($V148="","",INDEX('Per Line'!$S$2:$S$1501,$V148))</f>
        <v/>
      </c>
      <c r="E148">
        <f>IF($V148="","",INDEX('Per Line'!$F$2:$F$1501,$V148)&amp;"")</f>
        <v/>
      </c>
      <c r="F148">
        <f>IF($V148="","",INDEX('Per Line'!$L$2:$L$1501,$V148)&amp;"")</f>
        <v/>
      </c>
      <c r="G148">
        <f>IF($V148="","",INDEX('Per Line'!$O$2:$O$1501,$V148)&amp;"")</f>
        <v/>
      </c>
      <c r="H148">
        <f>IF($V148="","",INDEX('Per Line'!$P$2:$P$1501,$V148)&amp;"")</f>
        <v/>
      </c>
      <c r="I148">
        <f>IF($V148="","",INDEX('Per Line'!$N$2:$N$1501,$V148)&amp;"")</f>
        <v/>
      </c>
      <c r="J148">
        <f>IF($V148="","",INDEX('Per Line'!$Q$2:$Q$1501,$V148))</f>
        <v/>
      </c>
      <c r="K148" s="7">
        <f>IF($V148="","",J148*T148/100)</f>
        <v/>
      </c>
      <c r="L148">
        <f>IF($V148="","",Settings!$C$7)</f>
        <v/>
      </c>
      <c r="M148" s="7">
        <f>IF($V148="","",SUMIFS('Per Line'!$AC$2:$AC$1501,'Per Line'!$C$2:$C$1501,$C148,'Per Line'!$AK$2:$AK$1501,0))</f>
        <v/>
      </c>
      <c r="N148" s="7">
        <f>IF($V148="","",M148*L148)</f>
        <v/>
      </c>
      <c r="O148">
        <f>IF($V148="","",Settings!$C$6)</f>
        <v/>
      </c>
      <c r="P148" s="7">
        <f>IF($V148="","",SUMIFS('Per Line'!$AC$2:$AC$1501,'Per Line'!$C$2:$C$1501,$C148,'Per Line'!$AK$2:$AK$1501,1))</f>
        <v/>
      </c>
      <c r="Q148" s="7">
        <f>IF($V148="","",P148*O148)</f>
        <v/>
      </c>
      <c r="R148" s="7">
        <f>IF($V148="","",Q148+N148)</f>
        <v/>
      </c>
      <c r="S148" s="7">
        <f>IF($V148="","",T148-R148)</f>
        <v/>
      </c>
      <c r="T148" s="7">
        <f>IF($V148="","",M148+P148)</f>
        <v/>
      </c>
      <c r="U148" s="7">
        <f>IF($V148="","",T148-R148-K148)</f>
        <v/>
      </c>
      <c r="V148" s="13">
        <f>IF(ROWS($V$2:$V148)&lt;=MAX('Per Line'!$AJ$2:$AJ$1501),MATCH(ROWS($V$2:$V148),'Per Line'!$AJ$2:$AJ$1501,0),"")</f>
        <v/>
      </c>
    </row>
    <row r="149">
      <c r="A149" s="12" t="n"/>
      <c r="B149">
        <f>IF($V149="","",INDEX('Per Line'!$A$2:$A$1501,$V149)&amp;"")</f>
        <v/>
      </c>
      <c r="C149">
        <f>IF($V149="","",INDEX('Per Line'!$C$2:$C$1501,$V149)&amp;"")</f>
        <v/>
      </c>
      <c r="D149" s="11">
        <f>IF($V149="","",INDEX('Per Line'!$S$2:$S$1501,$V149))</f>
        <v/>
      </c>
      <c r="E149">
        <f>IF($V149="","",INDEX('Per Line'!$F$2:$F$1501,$V149)&amp;"")</f>
        <v/>
      </c>
      <c r="F149">
        <f>IF($V149="","",INDEX('Per Line'!$L$2:$L$1501,$V149)&amp;"")</f>
        <v/>
      </c>
      <c r="G149">
        <f>IF($V149="","",INDEX('Per Line'!$O$2:$O$1501,$V149)&amp;"")</f>
        <v/>
      </c>
      <c r="H149">
        <f>IF($V149="","",INDEX('Per Line'!$P$2:$P$1501,$V149)&amp;"")</f>
        <v/>
      </c>
      <c r="I149">
        <f>IF($V149="","",INDEX('Per Line'!$N$2:$N$1501,$V149)&amp;"")</f>
        <v/>
      </c>
      <c r="J149">
        <f>IF($V149="","",INDEX('Per Line'!$Q$2:$Q$1501,$V149))</f>
        <v/>
      </c>
      <c r="K149" s="7">
        <f>IF($V149="","",J149*T149/100)</f>
        <v/>
      </c>
      <c r="L149">
        <f>IF($V149="","",Settings!$C$7)</f>
        <v/>
      </c>
      <c r="M149" s="7">
        <f>IF($V149="","",SUMIFS('Per Line'!$AC$2:$AC$1501,'Per Line'!$C$2:$C$1501,$C149,'Per Line'!$AK$2:$AK$1501,0))</f>
        <v/>
      </c>
      <c r="N149" s="7">
        <f>IF($V149="","",M149*L149)</f>
        <v/>
      </c>
      <c r="O149">
        <f>IF($V149="","",Settings!$C$6)</f>
        <v/>
      </c>
      <c r="P149" s="7">
        <f>IF($V149="","",SUMIFS('Per Line'!$AC$2:$AC$1501,'Per Line'!$C$2:$C$1501,$C149,'Per Line'!$AK$2:$AK$1501,1))</f>
        <v/>
      </c>
      <c r="Q149" s="7">
        <f>IF($V149="","",P149*O149)</f>
        <v/>
      </c>
      <c r="R149" s="7">
        <f>IF($V149="","",Q149+N149)</f>
        <v/>
      </c>
      <c r="S149" s="7">
        <f>IF($V149="","",T149-R149)</f>
        <v/>
      </c>
      <c r="T149" s="7">
        <f>IF($V149="","",M149+P149)</f>
        <v/>
      </c>
      <c r="U149" s="7">
        <f>IF($V149="","",T149-R149-K149)</f>
        <v/>
      </c>
      <c r="V149" s="13">
        <f>IF(ROWS($V$2:$V149)&lt;=MAX('Per Line'!$AJ$2:$AJ$1501),MATCH(ROWS($V$2:$V149),'Per Line'!$AJ$2:$AJ$1501,0),"")</f>
        <v/>
      </c>
    </row>
    <row r="150">
      <c r="A150" s="12" t="n"/>
      <c r="B150">
        <f>IF($V150="","",INDEX('Per Line'!$A$2:$A$1501,$V150)&amp;"")</f>
        <v/>
      </c>
      <c r="C150">
        <f>IF($V150="","",INDEX('Per Line'!$C$2:$C$1501,$V150)&amp;"")</f>
        <v/>
      </c>
      <c r="D150" s="11">
        <f>IF($V150="","",INDEX('Per Line'!$S$2:$S$1501,$V150))</f>
        <v/>
      </c>
      <c r="E150">
        <f>IF($V150="","",INDEX('Per Line'!$F$2:$F$1501,$V150)&amp;"")</f>
        <v/>
      </c>
      <c r="F150">
        <f>IF($V150="","",INDEX('Per Line'!$L$2:$L$1501,$V150)&amp;"")</f>
        <v/>
      </c>
      <c r="G150">
        <f>IF($V150="","",INDEX('Per Line'!$O$2:$O$1501,$V150)&amp;"")</f>
        <v/>
      </c>
      <c r="H150">
        <f>IF($V150="","",INDEX('Per Line'!$P$2:$P$1501,$V150)&amp;"")</f>
        <v/>
      </c>
      <c r="I150">
        <f>IF($V150="","",INDEX('Per Line'!$N$2:$N$1501,$V150)&amp;"")</f>
        <v/>
      </c>
      <c r="J150">
        <f>IF($V150="","",INDEX('Per Line'!$Q$2:$Q$1501,$V150))</f>
        <v/>
      </c>
      <c r="K150" s="7">
        <f>IF($V150="","",J150*T150/100)</f>
        <v/>
      </c>
      <c r="L150">
        <f>IF($V150="","",Settings!$C$7)</f>
        <v/>
      </c>
      <c r="M150" s="7">
        <f>IF($V150="","",SUMIFS('Per Line'!$AC$2:$AC$1501,'Per Line'!$C$2:$C$1501,$C150,'Per Line'!$AK$2:$AK$1501,0))</f>
        <v/>
      </c>
      <c r="N150" s="7">
        <f>IF($V150="","",M150*L150)</f>
        <v/>
      </c>
      <c r="O150">
        <f>IF($V150="","",Settings!$C$6)</f>
        <v/>
      </c>
      <c r="P150" s="7">
        <f>IF($V150="","",SUMIFS('Per Line'!$AC$2:$AC$1501,'Per Line'!$C$2:$C$1501,$C150,'Per Line'!$AK$2:$AK$1501,1))</f>
        <v/>
      </c>
      <c r="Q150" s="7">
        <f>IF($V150="","",P150*O150)</f>
        <v/>
      </c>
      <c r="R150" s="7">
        <f>IF($V150="","",Q150+N150)</f>
        <v/>
      </c>
      <c r="S150" s="7">
        <f>IF($V150="","",T150-R150)</f>
        <v/>
      </c>
      <c r="T150" s="7">
        <f>IF($V150="","",M150+P150)</f>
        <v/>
      </c>
      <c r="U150" s="7">
        <f>IF($V150="","",T150-R150-K150)</f>
        <v/>
      </c>
      <c r="V150" s="13">
        <f>IF(ROWS($V$2:$V150)&lt;=MAX('Per Line'!$AJ$2:$AJ$1501),MATCH(ROWS($V$2:$V150),'Per Line'!$AJ$2:$AJ$1501,0),"")</f>
        <v/>
      </c>
    </row>
    <row r="151">
      <c r="A151" s="12" t="n"/>
      <c r="B151">
        <f>IF($V151="","",INDEX('Per Line'!$A$2:$A$1501,$V151)&amp;"")</f>
        <v/>
      </c>
      <c r="C151">
        <f>IF($V151="","",INDEX('Per Line'!$C$2:$C$1501,$V151)&amp;"")</f>
        <v/>
      </c>
      <c r="D151" s="11">
        <f>IF($V151="","",INDEX('Per Line'!$S$2:$S$1501,$V151))</f>
        <v/>
      </c>
      <c r="E151">
        <f>IF($V151="","",INDEX('Per Line'!$F$2:$F$1501,$V151)&amp;"")</f>
        <v/>
      </c>
      <c r="F151">
        <f>IF($V151="","",INDEX('Per Line'!$L$2:$L$1501,$V151)&amp;"")</f>
        <v/>
      </c>
      <c r="G151">
        <f>IF($V151="","",INDEX('Per Line'!$O$2:$O$1501,$V151)&amp;"")</f>
        <v/>
      </c>
      <c r="H151">
        <f>IF($V151="","",INDEX('Per Line'!$P$2:$P$1501,$V151)&amp;"")</f>
        <v/>
      </c>
      <c r="I151">
        <f>IF($V151="","",INDEX('Per Line'!$N$2:$N$1501,$V151)&amp;"")</f>
        <v/>
      </c>
      <c r="J151">
        <f>IF($V151="","",INDEX('Per Line'!$Q$2:$Q$1501,$V151))</f>
        <v/>
      </c>
      <c r="K151" s="7">
        <f>IF($V151="","",J151*T151/100)</f>
        <v/>
      </c>
      <c r="L151">
        <f>IF($V151="","",Settings!$C$7)</f>
        <v/>
      </c>
      <c r="M151" s="7">
        <f>IF($V151="","",SUMIFS('Per Line'!$AC$2:$AC$1501,'Per Line'!$C$2:$C$1501,$C151,'Per Line'!$AK$2:$AK$1501,0))</f>
        <v/>
      </c>
      <c r="N151" s="7">
        <f>IF($V151="","",M151*L151)</f>
        <v/>
      </c>
      <c r="O151">
        <f>IF($V151="","",Settings!$C$6)</f>
        <v/>
      </c>
      <c r="P151" s="7">
        <f>IF($V151="","",SUMIFS('Per Line'!$AC$2:$AC$1501,'Per Line'!$C$2:$C$1501,$C151,'Per Line'!$AK$2:$AK$1501,1))</f>
        <v/>
      </c>
      <c r="Q151" s="7">
        <f>IF($V151="","",P151*O151)</f>
        <v/>
      </c>
      <c r="R151" s="7">
        <f>IF($V151="","",Q151+N151)</f>
        <v/>
      </c>
      <c r="S151" s="7">
        <f>IF($V151="","",T151-R151)</f>
        <v/>
      </c>
      <c r="T151" s="7">
        <f>IF($V151="","",M151+P151)</f>
        <v/>
      </c>
      <c r="U151" s="7">
        <f>IF($V151="","",T151-R151-K151)</f>
        <v/>
      </c>
      <c r="V151" s="13">
        <f>IF(ROWS($V$2:$V151)&lt;=MAX('Per Line'!$AJ$2:$AJ$1501),MATCH(ROWS($V$2:$V151),'Per Line'!$AJ$2:$AJ$1501,0),"")</f>
        <v/>
      </c>
    </row>
    <row r="152">
      <c r="A152" s="12" t="n"/>
      <c r="B152">
        <f>IF($V152="","",INDEX('Per Line'!$A$2:$A$1501,$V152)&amp;"")</f>
        <v/>
      </c>
      <c r="C152">
        <f>IF($V152="","",INDEX('Per Line'!$C$2:$C$1501,$V152)&amp;"")</f>
        <v/>
      </c>
      <c r="D152" s="11">
        <f>IF($V152="","",INDEX('Per Line'!$S$2:$S$1501,$V152))</f>
        <v/>
      </c>
      <c r="E152">
        <f>IF($V152="","",INDEX('Per Line'!$F$2:$F$1501,$V152)&amp;"")</f>
        <v/>
      </c>
      <c r="F152">
        <f>IF($V152="","",INDEX('Per Line'!$L$2:$L$1501,$V152)&amp;"")</f>
        <v/>
      </c>
      <c r="G152">
        <f>IF($V152="","",INDEX('Per Line'!$O$2:$O$1501,$V152)&amp;"")</f>
        <v/>
      </c>
      <c r="H152">
        <f>IF($V152="","",INDEX('Per Line'!$P$2:$P$1501,$V152)&amp;"")</f>
        <v/>
      </c>
      <c r="I152">
        <f>IF($V152="","",INDEX('Per Line'!$N$2:$N$1501,$V152)&amp;"")</f>
        <v/>
      </c>
      <c r="J152">
        <f>IF($V152="","",INDEX('Per Line'!$Q$2:$Q$1501,$V152))</f>
        <v/>
      </c>
      <c r="K152" s="7">
        <f>IF($V152="","",J152*T152/100)</f>
        <v/>
      </c>
      <c r="L152">
        <f>IF($V152="","",Settings!$C$7)</f>
        <v/>
      </c>
      <c r="M152" s="7">
        <f>IF($V152="","",SUMIFS('Per Line'!$AC$2:$AC$1501,'Per Line'!$C$2:$C$1501,$C152,'Per Line'!$AK$2:$AK$1501,0))</f>
        <v/>
      </c>
      <c r="N152" s="7">
        <f>IF($V152="","",M152*L152)</f>
        <v/>
      </c>
      <c r="O152">
        <f>IF($V152="","",Settings!$C$6)</f>
        <v/>
      </c>
      <c r="P152" s="7">
        <f>IF($V152="","",SUMIFS('Per Line'!$AC$2:$AC$1501,'Per Line'!$C$2:$C$1501,$C152,'Per Line'!$AK$2:$AK$1501,1))</f>
        <v/>
      </c>
      <c r="Q152" s="7">
        <f>IF($V152="","",P152*O152)</f>
        <v/>
      </c>
      <c r="R152" s="7">
        <f>IF($V152="","",Q152+N152)</f>
        <v/>
      </c>
      <c r="S152" s="7">
        <f>IF($V152="","",T152-R152)</f>
        <v/>
      </c>
      <c r="T152" s="7">
        <f>IF($V152="","",M152+P152)</f>
        <v/>
      </c>
      <c r="U152" s="7">
        <f>IF($V152="","",T152-R152-K152)</f>
        <v/>
      </c>
      <c r="V152" s="13">
        <f>IF(ROWS($V$2:$V152)&lt;=MAX('Per Line'!$AJ$2:$AJ$1501),MATCH(ROWS($V$2:$V152),'Per Line'!$AJ$2:$AJ$1501,0),"")</f>
        <v/>
      </c>
    </row>
    <row r="153">
      <c r="A153" s="12" t="n"/>
      <c r="B153">
        <f>IF($V153="","",INDEX('Per Line'!$A$2:$A$1501,$V153)&amp;"")</f>
        <v/>
      </c>
      <c r="C153">
        <f>IF($V153="","",INDEX('Per Line'!$C$2:$C$1501,$V153)&amp;"")</f>
        <v/>
      </c>
      <c r="D153" s="11">
        <f>IF($V153="","",INDEX('Per Line'!$S$2:$S$1501,$V153))</f>
        <v/>
      </c>
      <c r="E153">
        <f>IF($V153="","",INDEX('Per Line'!$F$2:$F$1501,$V153)&amp;"")</f>
        <v/>
      </c>
      <c r="F153">
        <f>IF($V153="","",INDEX('Per Line'!$L$2:$L$1501,$V153)&amp;"")</f>
        <v/>
      </c>
      <c r="G153">
        <f>IF($V153="","",INDEX('Per Line'!$O$2:$O$1501,$V153)&amp;"")</f>
        <v/>
      </c>
      <c r="H153">
        <f>IF($V153="","",INDEX('Per Line'!$P$2:$P$1501,$V153)&amp;"")</f>
        <v/>
      </c>
      <c r="I153">
        <f>IF($V153="","",INDEX('Per Line'!$N$2:$N$1501,$V153)&amp;"")</f>
        <v/>
      </c>
      <c r="J153">
        <f>IF($V153="","",INDEX('Per Line'!$Q$2:$Q$1501,$V153))</f>
        <v/>
      </c>
      <c r="K153" s="7">
        <f>IF($V153="","",J153*T153/100)</f>
        <v/>
      </c>
      <c r="L153">
        <f>IF($V153="","",Settings!$C$7)</f>
        <v/>
      </c>
      <c r="M153" s="7">
        <f>IF($V153="","",SUMIFS('Per Line'!$AC$2:$AC$1501,'Per Line'!$C$2:$C$1501,$C153,'Per Line'!$AK$2:$AK$1501,0))</f>
        <v/>
      </c>
      <c r="N153" s="7">
        <f>IF($V153="","",M153*L153)</f>
        <v/>
      </c>
      <c r="O153">
        <f>IF($V153="","",Settings!$C$6)</f>
        <v/>
      </c>
      <c r="P153" s="7">
        <f>IF($V153="","",SUMIFS('Per Line'!$AC$2:$AC$1501,'Per Line'!$C$2:$C$1501,$C153,'Per Line'!$AK$2:$AK$1501,1))</f>
        <v/>
      </c>
      <c r="Q153" s="7">
        <f>IF($V153="","",P153*O153)</f>
        <v/>
      </c>
      <c r="R153" s="7">
        <f>IF($V153="","",Q153+N153)</f>
        <v/>
      </c>
      <c r="S153" s="7">
        <f>IF($V153="","",T153-R153)</f>
        <v/>
      </c>
      <c r="T153" s="7">
        <f>IF($V153="","",M153+P153)</f>
        <v/>
      </c>
      <c r="U153" s="7">
        <f>IF($V153="","",T153-R153-K153)</f>
        <v/>
      </c>
      <c r="V153" s="13">
        <f>IF(ROWS($V$2:$V153)&lt;=MAX('Per Line'!$AJ$2:$AJ$1501),MATCH(ROWS($V$2:$V153),'Per Line'!$AJ$2:$AJ$1501,0),"")</f>
        <v/>
      </c>
    </row>
    <row r="154">
      <c r="A154" s="12" t="n"/>
      <c r="B154">
        <f>IF($V154="","",INDEX('Per Line'!$A$2:$A$1501,$V154)&amp;"")</f>
        <v/>
      </c>
      <c r="C154">
        <f>IF($V154="","",INDEX('Per Line'!$C$2:$C$1501,$V154)&amp;"")</f>
        <v/>
      </c>
      <c r="D154" s="11">
        <f>IF($V154="","",INDEX('Per Line'!$S$2:$S$1501,$V154))</f>
        <v/>
      </c>
      <c r="E154">
        <f>IF($V154="","",INDEX('Per Line'!$F$2:$F$1501,$V154)&amp;"")</f>
        <v/>
      </c>
      <c r="F154">
        <f>IF($V154="","",INDEX('Per Line'!$L$2:$L$1501,$V154)&amp;"")</f>
        <v/>
      </c>
      <c r="G154">
        <f>IF($V154="","",INDEX('Per Line'!$O$2:$O$1501,$V154)&amp;"")</f>
        <v/>
      </c>
      <c r="H154">
        <f>IF($V154="","",INDEX('Per Line'!$P$2:$P$1501,$V154)&amp;"")</f>
        <v/>
      </c>
      <c r="I154">
        <f>IF($V154="","",INDEX('Per Line'!$N$2:$N$1501,$V154)&amp;"")</f>
        <v/>
      </c>
      <c r="J154">
        <f>IF($V154="","",INDEX('Per Line'!$Q$2:$Q$1501,$V154))</f>
        <v/>
      </c>
      <c r="K154" s="7">
        <f>IF($V154="","",J154*T154/100)</f>
        <v/>
      </c>
      <c r="L154">
        <f>IF($V154="","",Settings!$C$7)</f>
        <v/>
      </c>
      <c r="M154" s="7">
        <f>IF($V154="","",SUMIFS('Per Line'!$AC$2:$AC$1501,'Per Line'!$C$2:$C$1501,$C154,'Per Line'!$AK$2:$AK$1501,0))</f>
        <v/>
      </c>
      <c r="N154" s="7">
        <f>IF($V154="","",M154*L154)</f>
        <v/>
      </c>
      <c r="O154">
        <f>IF($V154="","",Settings!$C$6)</f>
        <v/>
      </c>
      <c r="P154" s="7">
        <f>IF($V154="","",SUMIFS('Per Line'!$AC$2:$AC$1501,'Per Line'!$C$2:$C$1501,$C154,'Per Line'!$AK$2:$AK$1501,1))</f>
        <v/>
      </c>
      <c r="Q154" s="7">
        <f>IF($V154="","",P154*O154)</f>
        <v/>
      </c>
      <c r="R154" s="7">
        <f>IF($V154="","",Q154+N154)</f>
        <v/>
      </c>
      <c r="S154" s="7">
        <f>IF($V154="","",T154-R154)</f>
        <v/>
      </c>
      <c r="T154" s="7">
        <f>IF($V154="","",M154+P154)</f>
        <v/>
      </c>
      <c r="U154" s="7">
        <f>IF($V154="","",T154-R154-K154)</f>
        <v/>
      </c>
      <c r="V154" s="13">
        <f>IF(ROWS($V$2:$V154)&lt;=MAX('Per Line'!$AJ$2:$AJ$1501),MATCH(ROWS($V$2:$V154),'Per Line'!$AJ$2:$AJ$1501,0),"")</f>
        <v/>
      </c>
    </row>
    <row r="155">
      <c r="A155" s="12" t="n"/>
      <c r="B155">
        <f>IF($V155="","",INDEX('Per Line'!$A$2:$A$1501,$V155)&amp;"")</f>
        <v/>
      </c>
      <c r="C155">
        <f>IF($V155="","",INDEX('Per Line'!$C$2:$C$1501,$V155)&amp;"")</f>
        <v/>
      </c>
      <c r="D155" s="11">
        <f>IF($V155="","",INDEX('Per Line'!$S$2:$S$1501,$V155))</f>
        <v/>
      </c>
      <c r="E155">
        <f>IF($V155="","",INDEX('Per Line'!$F$2:$F$1501,$V155)&amp;"")</f>
        <v/>
      </c>
      <c r="F155">
        <f>IF($V155="","",INDEX('Per Line'!$L$2:$L$1501,$V155)&amp;"")</f>
        <v/>
      </c>
      <c r="G155">
        <f>IF($V155="","",INDEX('Per Line'!$O$2:$O$1501,$V155)&amp;"")</f>
        <v/>
      </c>
      <c r="H155">
        <f>IF($V155="","",INDEX('Per Line'!$P$2:$P$1501,$V155)&amp;"")</f>
        <v/>
      </c>
      <c r="I155">
        <f>IF($V155="","",INDEX('Per Line'!$N$2:$N$1501,$V155)&amp;"")</f>
        <v/>
      </c>
      <c r="J155">
        <f>IF($V155="","",INDEX('Per Line'!$Q$2:$Q$1501,$V155))</f>
        <v/>
      </c>
      <c r="K155" s="7">
        <f>IF($V155="","",J155*T155/100)</f>
        <v/>
      </c>
      <c r="L155">
        <f>IF($V155="","",Settings!$C$7)</f>
        <v/>
      </c>
      <c r="M155" s="7">
        <f>IF($V155="","",SUMIFS('Per Line'!$AC$2:$AC$1501,'Per Line'!$C$2:$C$1501,$C155,'Per Line'!$AK$2:$AK$1501,0))</f>
        <v/>
      </c>
      <c r="N155" s="7">
        <f>IF($V155="","",M155*L155)</f>
        <v/>
      </c>
      <c r="O155">
        <f>IF($V155="","",Settings!$C$6)</f>
        <v/>
      </c>
      <c r="P155" s="7">
        <f>IF($V155="","",SUMIFS('Per Line'!$AC$2:$AC$1501,'Per Line'!$C$2:$C$1501,$C155,'Per Line'!$AK$2:$AK$1501,1))</f>
        <v/>
      </c>
      <c r="Q155" s="7">
        <f>IF($V155="","",P155*O155)</f>
        <v/>
      </c>
      <c r="R155" s="7">
        <f>IF($V155="","",Q155+N155)</f>
        <v/>
      </c>
      <c r="S155" s="7">
        <f>IF($V155="","",T155-R155)</f>
        <v/>
      </c>
      <c r="T155" s="7">
        <f>IF($V155="","",M155+P155)</f>
        <v/>
      </c>
      <c r="U155" s="7">
        <f>IF($V155="","",T155-R155-K155)</f>
        <v/>
      </c>
      <c r="V155" s="13">
        <f>IF(ROWS($V$2:$V155)&lt;=MAX('Per Line'!$AJ$2:$AJ$1501),MATCH(ROWS($V$2:$V155),'Per Line'!$AJ$2:$AJ$1501,0),"")</f>
        <v/>
      </c>
    </row>
    <row r="156">
      <c r="A156" s="12" t="n"/>
      <c r="B156">
        <f>IF($V156="","",INDEX('Per Line'!$A$2:$A$1501,$V156)&amp;"")</f>
        <v/>
      </c>
      <c r="C156">
        <f>IF($V156="","",INDEX('Per Line'!$C$2:$C$1501,$V156)&amp;"")</f>
        <v/>
      </c>
      <c r="D156" s="11">
        <f>IF($V156="","",INDEX('Per Line'!$S$2:$S$1501,$V156))</f>
        <v/>
      </c>
      <c r="E156">
        <f>IF($V156="","",INDEX('Per Line'!$F$2:$F$1501,$V156)&amp;"")</f>
        <v/>
      </c>
      <c r="F156">
        <f>IF($V156="","",INDEX('Per Line'!$L$2:$L$1501,$V156)&amp;"")</f>
        <v/>
      </c>
      <c r="G156">
        <f>IF($V156="","",INDEX('Per Line'!$O$2:$O$1501,$V156)&amp;"")</f>
        <v/>
      </c>
      <c r="H156">
        <f>IF($V156="","",INDEX('Per Line'!$P$2:$P$1501,$V156)&amp;"")</f>
        <v/>
      </c>
      <c r="I156">
        <f>IF($V156="","",INDEX('Per Line'!$N$2:$N$1501,$V156)&amp;"")</f>
        <v/>
      </c>
      <c r="J156">
        <f>IF($V156="","",INDEX('Per Line'!$Q$2:$Q$1501,$V156))</f>
        <v/>
      </c>
      <c r="K156" s="7">
        <f>IF($V156="","",J156*T156/100)</f>
        <v/>
      </c>
      <c r="L156">
        <f>IF($V156="","",Settings!$C$7)</f>
        <v/>
      </c>
      <c r="M156" s="7">
        <f>IF($V156="","",SUMIFS('Per Line'!$AC$2:$AC$1501,'Per Line'!$C$2:$C$1501,$C156,'Per Line'!$AK$2:$AK$1501,0))</f>
        <v/>
      </c>
      <c r="N156" s="7">
        <f>IF($V156="","",M156*L156)</f>
        <v/>
      </c>
      <c r="O156">
        <f>IF($V156="","",Settings!$C$6)</f>
        <v/>
      </c>
      <c r="P156" s="7">
        <f>IF($V156="","",SUMIFS('Per Line'!$AC$2:$AC$1501,'Per Line'!$C$2:$C$1501,$C156,'Per Line'!$AK$2:$AK$1501,1))</f>
        <v/>
      </c>
      <c r="Q156" s="7">
        <f>IF($V156="","",P156*O156)</f>
        <v/>
      </c>
      <c r="R156" s="7">
        <f>IF($V156="","",Q156+N156)</f>
        <v/>
      </c>
      <c r="S156" s="7">
        <f>IF($V156="","",T156-R156)</f>
        <v/>
      </c>
      <c r="T156" s="7">
        <f>IF($V156="","",M156+P156)</f>
        <v/>
      </c>
      <c r="U156" s="7">
        <f>IF($V156="","",T156-R156-K156)</f>
        <v/>
      </c>
      <c r="V156" s="13">
        <f>IF(ROWS($V$2:$V156)&lt;=MAX('Per Line'!$AJ$2:$AJ$1501),MATCH(ROWS($V$2:$V156),'Per Line'!$AJ$2:$AJ$1501,0),"")</f>
        <v/>
      </c>
    </row>
    <row r="157">
      <c r="A157" s="12" t="n"/>
      <c r="B157">
        <f>IF($V157="","",INDEX('Per Line'!$A$2:$A$1501,$V157)&amp;"")</f>
        <v/>
      </c>
      <c r="C157">
        <f>IF($V157="","",INDEX('Per Line'!$C$2:$C$1501,$V157)&amp;"")</f>
        <v/>
      </c>
      <c r="D157" s="11">
        <f>IF($V157="","",INDEX('Per Line'!$S$2:$S$1501,$V157))</f>
        <v/>
      </c>
      <c r="E157">
        <f>IF($V157="","",INDEX('Per Line'!$F$2:$F$1501,$V157)&amp;"")</f>
        <v/>
      </c>
      <c r="F157">
        <f>IF($V157="","",INDEX('Per Line'!$L$2:$L$1501,$V157)&amp;"")</f>
        <v/>
      </c>
      <c r="G157">
        <f>IF($V157="","",INDEX('Per Line'!$O$2:$O$1501,$V157)&amp;"")</f>
        <v/>
      </c>
      <c r="H157">
        <f>IF($V157="","",INDEX('Per Line'!$P$2:$P$1501,$V157)&amp;"")</f>
        <v/>
      </c>
      <c r="I157">
        <f>IF($V157="","",INDEX('Per Line'!$N$2:$N$1501,$V157)&amp;"")</f>
        <v/>
      </c>
      <c r="J157">
        <f>IF($V157="","",INDEX('Per Line'!$Q$2:$Q$1501,$V157))</f>
        <v/>
      </c>
      <c r="K157" s="7">
        <f>IF($V157="","",J157*T157/100)</f>
        <v/>
      </c>
      <c r="L157">
        <f>IF($V157="","",Settings!$C$7)</f>
        <v/>
      </c>
      <c r="M157" s="7">
        <f>IF($V157="","",SUMIFS('Per Line'!$AC$2:$AC$1501,'Per Line'!$C$2:$C$1501,$C157,'Per Line'!$AK$2:$AK$1501,0))</f>
        <v/>
      </c>
      <c r="N157" s="7">
        <f>IF($V157="","",M157*L157)</f>
        <v/>
      </c>
      <c r="O157">
        <f>IF($V157="","",Settings!$C$6)</f>
        <v/>
      </c>
      <c r="P157" s="7">
        <f>IF($V157="","",SUMIFS('Per Line'!$AC$2:$AC$1501,'Per Line'!$C$2:$C$1501,$C157,'Per Line'!$AK$2:$AK$1501,1))</f>
        <v/>
      </c>
      <c r="Q157" s="7">
        <f>IF($V157="","",P157*O157)</f>
        <v/>
      </c>
      <c r="R157" s="7">
        <f>IF($V157="","",Q157+N157)</f>
        <v/>
      </c>
      <c r="S157" s="7">
        <f>IF($V157="","",T157-R157)</f>
        <v/>
      </c>
      <c r="T157" s="7">
        <f>IF($V157="","",M157+P157)</f>
        <v/>
      </c>
      <c r="U157" s="7">
        <f>IF($V157="","",T157-R157-K157)</f>
        <v/>
      </c>
      <c r="V157" s="13">
        <f>IF(ROWS($V$2:$V157)&lt;=MAX('Per Line'!$AJ$2:$AJ$1501),MATCH(ROWS($V$2:$V157),'Per Line'!$AJ$2:$AJ$1501,0),"")</f>
        <v/>
      </c>
    </row>
    <row r="158">
      <c r="A158" s="12" t="n"/>
      <c r="B158">
        <f>IF($V158="","",INDEX('Per Line'!$A$2:$A$1501,$V158)&amp;"")</f>
        <v/>
      </c>
      <c r="C158">
        <f>IF($V158="","",INDEX('Per Line'!$C$2:$C$1501,$V158)&amp;"")</f>
        <v/>
      </c>
      <c r="D158" s="11">
        <f>IF($V158="","",INDEX('Per Line'!$S$2:$S$1501,$V158))</f>
        <v/>
      </c>
      <c r="E158">
        <f>IF($V158="","",INDEX('Per Line'!$F$2:$F$1501,$V158)&amp;"")</f>
        <v/>
      </c>
      <c r="F158">
        <f>IF($V158="","",INDEX('Per Line'!$L$2:$L$1501,$V158)&amp;"")</f>
        <v/>
      </c>
      <c r="G158">
        <f>IF($V158="","",INDEX('Per Line'!$O$2:$O$1501,$V158)&amp;"")</f>
        <v/>
      </c>
      <c r="H158">
        <f>IF($V158="","",INDEX('Per Line'!$P$2:$P$1501,$V158)&amp;"")</f>
        <v/>
      </c>
      <c r="I158">
        <f>IF($V158="","",INDEX('Per Line'!$N$2:$N$1501,$V158)&amp;"")</f>
        <v/>
      </c>
      <c r="J158">
        <f>IF($V158="","",INDEX('Per Line'!$Q$2:$Q$1501,$V158))</f>
        <v/>
      </c>
      <c r="K158" s="7">
        <f>IF($V158="","",J158*T158/100)</f>
        <v/>
      </c>
      <c r="L158">
        <f>IF($V158="","",Settings!$C$7)</f>
        <v/>
      </c>
      <c r="M158" s="7">
        <f>IF($V158="","",SUMIFS('Per Line'!$AC$2:$AC$1501,'Per Line'!$C$2:$C$1501,$C158,'Per Line'!$AK$2:$AK$1501,0))</f>
        <v/>
      </c>
      <c r="N158" s="7">
        <f>IF($V158="","",M158*L158)</f>
        <v/>
      </c>
      <c r="O158">
        <f>IF($V158="","",Settings!$C$6)</f>
        <v/>
      </c>
      <c r="P158" s="7">
        <f>IF($V158="","",SUMIFS('Per Line'!$AC$2:$AC$1501,'Per Line'!$C$2:$C$1501,$C158,'Per Line'!$AK$2:$AK$1501,1))</f>
        <v/>
      </c>
      <c r="Q158" s="7">
        <f>IF($V158="","",P158*O158)</f>
        <v/>
      </c>
      <c r="R158" s="7">
        <f>IF($V158="","",Q158+N158)</f>
        <v/>
      </c>
      <c r="S158" s="7">
        <f>IF($V158="","",T158-R158)</f>
        <v/>
      </c>
      <c r="T158" s="7">
        <f>IF($V158="","",M158+P158)</f>
        <v/>
      </c>
      <c r="U158" s="7">
        <f>IF($V158="","",T158-R158-K158)</f>
        <v/>
      </c>
      <c r="V158" s="13">
        <f>IF(ROWS($V$2:$V158)&lt;=MAX('Per Line'!$AJ$2:$AJ$1501),MATCH(ROWS($V$2:$V158),'Per Line'!$AJ$2:$AJ$1501,0),"")</f>
        <v/>
      </c>
    </row>
    <row r="159">
      <c r="A159" s="12" t="n"/>
      <c r="B159">
        <f>IF($V159="","",INDEX('Per Line'!$A$2:$A$1501,$V159)&amp;"")</f>
        <v/>
      </c>
      <c r="C159">
        <f>IF($V159="","",INDEX('Per Line'!$C$2:$C$1501,$V159)&amp;"")</f>
        <v/>
      </c>
      <c r="D159" s="11">
        <f>IF($V159="","",INDEX('Per Line'!$S$2:$S$1501,$V159))</f>
        <v/>
      </c>
      <c r="E159">
        <f>IF($V159="","",INDEX('Per Line'!$F$2:$F$1501,$V159)&amp;"")</f>
        <v/>
      </c>
      <c r="F159">
        <f>IF($V159="","",INDEX('Per Line'!$L$2:$L$1501,$V159)&amp;"")</f>
        <v/>
      </c>
      <c r="G159">
        <f>IF($V159="","",INDEX('Per Line'!$O$2:$O$1501,$V159)&amp;"")</f>
        <v/>
      </c>
      <c r="H159">
        <f>IF($V159="","",INDEX('Per Line'!$P$2:$P$1501,$V159)&amp;"")</f>
        <v/>
      </c>
      <c r="I159">
        <f>IF($V159="","",INDEX('Per Line'!$N$2:$N$1501,$V159)&amp;"")</f>
        <v/>
      </c>
      <c r="J159">
        <f>IF($V159="","",INDEX('Per Line'!$Q$2:$Q$1501,$V159))</f>
        <v/>
      </c>
      <c r="K159" s="7">
        <f>IF($V159="","",J159*T159/100)</f>
        <v/>
      </c>
      <c r="L159">
        <f>IF($V159="","",Settings!$C$7)</f>
        <v/>
      </c>
      <c r="M159" s="7">
        <f>IF($V159="","",SUMIFS('Per Line'!$AC$2:$AC$1501,'Per Line'!$C$2:$C$1501,$C159,'Per Line'!$AK$2:$AK$1501,0))</f>
        <v/>
      </c>
      <c r="N159" s="7">
        <f>IF($V159="","",M159*L159)</f>
        <v/>
      </c>
      <c r="O159">
        <f>IF($V159="","",Settings!$C$6)</f>
        <v/>
      </c>
      <c r="P159" s="7">
        <f>IF($V159="","",SUMIFS('Per Line'!$AC$2:$AC$1501,'Per Line'!$C$2:$C$1501,$C159,'Per Line'!$AK$2:$AK$1501,1))</f>
        <v/>
      </c>
      <c r="Q159" s="7">
        <f>IF($V159="","",P159*O159)</f>
        <v/>
      </c>
      <c r="R159" s="7">
        <f>IF($V159="","",Q159+N159)</f>
        <v/>
      </c>
      <c r="S159" s="7">
        <f>IF($V159="","",T159-R159)</f>
        <v/>
      </c>
      <c r="T159" s="7">
        <f>IF($V159="","",M159+P159)</f>
        <v/>
      </c>
      <c r="U159" s="7">
        <f>IF($V159="","",T159-R159-K159)</f>
        <v/>
      </c>
      <c r="V159" s="13">
        <f>IF(ROWS($V$2:$V159)&lt;=MAX('Per Line'!$AJ$2:$AJ$1501),MATCH(ROWS($V$2:$V159),'Per Line'!$AJ$2:$AJ$1501,0),"")</f>
        <v/>
      </c>
    </row>
    <row r="160">
      <c r="A160" s="12" t="n"/>
      <c r="B160">
        <f>IF($V160="","",INDEX('Per Line'!$A$2:$A$1501,$V160)&amp;"")</f>
        <v/>
      </c>
      <c r="C160">
        <f>IF($V160="","",INDEX('Per Line'!$C$2:$C$1501,$V160)&amp;"")</f>
        <v/>
      </c>
      <c r="D160" s="11">
        <f>IF($V160="","",INDEX('Per Line'!$S$2:$S$1501,$V160))</f>
        <v/>
      </c>
      <c r="E160">
        <f>IF($V160="","",INDEX('Per Line'!$F$2:$F$1501,$V160)&amp;"")</f>
        <v/>
      </c>
      <c r="F160">
        <f>IF($V160="","",INDEX('Per Line'!$L$2:$L$1501,$V160)&amp;"")</f>
        <v/>
      </c>
      <c r="G160">
        <f>IF($V160="","",INDEX('Per Line'!$O$2:$O$1501,$V160)&amp;"")</f>
        <v/>
      </c>
      <c r="H160">
        <f>IF($V160="","",INDEX('Per Line'!$P$2:$P$1501,$V160)&amp;"")</f>
        <v/>
      </c>
      <c r="I160">
        <f>IF($V160="","",INDEX('Per Line'!$N$2:$N$1501,$V160)&amp;"")</f>
        <v/>
      </c>
      <c r="J160">
        <f>IF($V160="","",INDEX('Per Line'!$Q$2:$Q$1501,$V160))</f>
        <v/>
      </c>
      <c r="K160" s="7">
        <f>IF($V160="","",J160*T160/100)</f>
        <v/>
      </c>
      <c r="L160">
        <f>IF($V160="","",Settings!$C$7)</f>
        <v/>
      </c>
      <c r="M160" s="7">
        <f>IF($V160="","",SUMIFS('Per Line'!$AC$2:$AC$1501,'Per Line'!$C$2:$C$1501,$C160,'Per Line'!$AK$2:$AK$1501,0))</f>
        <v/>
      </c>
      <c r="N160" s="7">
        <f>IF($V160="","",M160*L160)</f>
        <v/>
      </c>
      <c r="O160">
        <f>IF($V160="","",Settings!$C$6)</f>
        <v/>
      </c>
      <c r="P160" s="7">
        <f>IF($V160="","",SUMIFS('Per Line'!$AC$2:$AC$1501,'Per Line'!$C$2:$C$1501,$C160,'Per Line'!$AK$2:$AK$1501,1))</f>
        <v/>
      </c>
      <c r="Q160" s="7">
        <f>IF($V160="","",P160*O160)</f>
        <v/>
      </c>
      <c r="R160" s="7">
        <f>IF($V160="","",Q160+N160)</f>
        <v/>
      </c>
      <c r="S160" s="7">
        <f>IF($V160="","",T160-R160)</f>
        <v/>
      </c>
      <c r="T160" s="7">
        <f>IF($V160="","",M160+P160)</f>
        <v/>
      </c>
      <c r="U160" s="7">
        <f>IF($V160="","",T160-R160-K160)</f>
        <v/>
      </c>
      <c r="V160" s="13">
        <f>IF(ROWS($V$2:$V160)&lt;=MAX('Per Line'!$AJ$2:$AJ$1501),MATCH(ROWS($V$2:$V160),'Per Line'!$AJ$2:$AJ$1501,0),"")</f>
        <v/>
      </c>
    </row>
    <row r="161">
      <c r="A161" s="12" t="n"/>
      <c r="B161">
        <f>IF($V161="","",INDEX('Per Line'!$A$2:$A$1501,$V161)&amp;"")</f>
        <v/>
      </c>
      <c r="C161">
        <f>IF($V161="","",INDEX('Per Line'!$C$2:$C$1501,$V161)&amp;"")</f>
        <v/>
      </c>
      <c r="D161" s="11">
        <f>IF($V161="","",INDEX('Per Line'!$S$2:$S$1501,$V161))</f>
        <v/>
      </c>
      <c r="E161">
        <f>IF($V161="","",INDEX('Per Line'!$F$2:$F$1501,$V161)&amp;"")</f>
        <v/>
      </c>
      <c r="F161">
        <f>IF($V161="","",INDEX('Per Line'!$L$2:$L$1501,$V161)&amp;"")</f>
        <v/>
      </c>
      <c r="G161">
        <f>IF($V161="","",INDEX('Per Line'!$O$2:$O$1501,$V161)&amp;"")</f>
        <v/>
      </c>
      <c r="H161">
        <f>IF($V161="","",INDEX('Per Line'!$P$2:$P$1501,$V161)&amp;"")</f>
        <v/>
      </c>
      <c r="I161">
        <f>IF($V161="","",INDEX('Per Line'!$N$2:$N$1501,$V161)&amp;"")</f>
        <v/>
      </c>
      <c r="J161">
        <f>IF($V161="","",INDEX('Per Line'!$Q$2:$Q$1501,$V161))</f>
        <v/>
      </c>
      <c r="K161" s="7">
        <f>IF($V161="","",J161*T161/100)</f>
        <v/>
      </c>
      <c r="L161">
        <f>IF($V161="","",Settings!$C$7)</f>
        <v/>
      </c>
      <c r="M161" s="7">
        <f>IF($V161="","",SUMIFS('Per Line'!$AC$2:$AC$1501,'Per Line'!$C$2:$C$1501,$C161,'Per Line'!$AK$2:$AK$1501,0))</f>
        <v/>
      </c>
      <c r="N161" s="7">
        <f>IF($V161="","",M161*L161)</f>
        <v/>
      </c>
      <c r="O161">
        <f>IF($V161="","",Settings!$C$6)</f>
        <v/>
      </c>
      <c r="P161" s="7">
        <f>IF($V161="","",SUMIFS('Per Line'!$AC$2:$AC$1501,'Per Line'!$C$2:$C$1501,$C161,'Per Line'!$AK$2:$AK$1501,1))</f>
        <v/>
      </c>
      <c r="Q161" s="7">
        <f>IF($V161="","",P161*O161)</f>
        <v/>
      </c>
      <c r="R161" s="7">
        <f>IF($V161="","",Q161+N161)</f>
        <v/>
      </c>
      <c r="S161" s="7">
        <f>IF($V161="","",T161-R161)</f>
        <v/>
      </c>
      <c r="T161" s="7">
        <f>IF($V161="","",M161+P161)</f>
        <v/>
      </c>
      <c r="U161" s="7">
        <f>IF($V161="","",T161-R161-K161)</f>
        <v/>
      </c>
      <c r="V161" s="13">
        <f>IF(ROWS($V$2:$V161)&lt;=MAX('Per Line'!$AJ$2:$AJ$1501),MATCH(ROWS($V$2:$V161),'Per Line'!$AJ$2:$AJ$1501,0),"")</f>
        <v/>
      </c>
    </row>
    <row r="162">
      <c r="A162" s="12" t="n"/>
      <c r="B162">
        <f>IF($V162="","",INDEX('Per Line'!$A$2:$A$1501,$V162)&amp;"")</f>
        <v/>
      </c>
      <c r="C162">
        <f>IF($V162="","",INDEX('Per Line'!$C$2:$C$1501,$V162)&amp;"")</f>
        <v/>
      </c>
      <c r="D162" s="11">
        <f>IF($V162="","",INDEX('Per Line'!$S$2:$S$1501,$V162))</f>
        <v/>
      </c>
      <c r="E162">
        <f>IF($V162="","",INDEX('Per Line'!$F$2:$F$1501,$V162)&amp;"")</f>
        <v/>
      </c>
      <c r="F162">
        <f>IF($V162="","",INDEX('Per Line'!$L$2:$L$1501,$V162)&amp;"")</f>
        <v/>
      </c>
      <c r="G162">
        <f>IF($V162="","",INDEX('Per Line'!$O$2:$O$1501,$V162)&amp;"")</f>
        <v/>
      </c>
      <c r="H162">
        <f>IF($V162="","",INDEX('Per Line'!$P$2:$P$1501,$V162)&amp;"")</f>
        <v/>
      </c>
      <c r="I162">
        <f>IF($V162="","",INDEX('Per Line'!$N$2:$N$1501,$V162)&amp;"")</f>
        <v/>
      </c>
      <c r="J162">
        <f>IF($V162="","",INDEX('Per Line'!$Q$2:$Q$1501,$V162))</f>
        <v/>
      </c>
      <c r="K162" s="7">
        <f>IF($V162="","",J162*T162/100)</f>
        <v/>
      </c>
      <c r="L162">
        <f>IF($V162="","",Settings!$C$7)</f>
        <v/>
      </c>
      <c r="M162" s="7">
        <f>IF($V162="","",SUMIFS('Per Line'!$AC$2:$AC$1501,'Per Line'!$C$2:$C$1501,$C162,'Per Line'!$AK$2:$AK$1501,0))</f>
        <v/>
      </c>
      <c r="N162" s="7">
        <f>IF($V162="","",M162*L162)</f>
        <v/>
      </c>
      <c r="O162">
        <f>IF($V162="","",Settings!$C$6)</f>
        <v/>
      </c>
      <c r="P162" s="7">
        <f>IF($V162="","",SUMIFS('Per Line'!$AC$2:$AC$1501,'Per Line'!$C$2:$C$1501,$C162,'Per Line'!$AK$2:$AK$1501,1))</f>
        <v/>
      </c>
      <c r="Q162" s="7">
        <f>IF($V162="","",P162*O162)</f>
        <v/>
      </c>
      <c r="R162" s="7">
        <f>IF($V162="","",Q162+N162)</f>
        <v/>
      </c>
      <c r="S162" s="7">
        <f>IF($V162="","",T162-R162)</f>
        <v/>
      </c>
      <c r="T162" s="7">
        <f>IF($V162="","",M162+P162)</f>
        <v/>
      </c>
      <c r="U162" s="7">
        <f>IF($V162="","",T162-R162-K162)</f>
        <v/>
      </c>
      <c r="V162" s="13">
        <f>IF(ROWS($V$2:$V162)&lt;=MAX('Per Line'!$AJ$2:$AJ$1501),MATCH(ROWS($V$2:$V162),'Per Line'!$AJ$2:$AJ$1501,0),"")</f>
        <v/>
      </c>
    </row>
    <row r="163">
      <c r="A163" s="12" t="n"/>
      <c r="B163">
        <f>IF($V163="","",INDEX('Per Line'!$A$2:$A$1501,$V163)&amp;"")</f>
        <v/>
      </c>
      <c r="C163">
        <f>IF($V163="","",INDEX('Per Line'!$C$2:$C$1501,$V163)&amp;"")</f>
        <v/>
      </c>
      <c r="D163" s="11">
        <f>IF($V163="","",INDEX('Per Line'!$S$2:$S$1501,$V163))</f>
        <v/>
      </c>
      <c r="E163">
        <f>IF($V163="","",INDEX('Per Line'!$F$2:$F$1501,$V163)&amp;"")</f>
        <v/>
      </c>
      <c r="F163">
        <f>IF($V163="","",INDEX('Per Line'!$L$2:$L$1501,$V163)&amp;"")</f>
        <v/>
      </c>
      <c r="G163">
        <f>IF($V163="","",INDEX('Per Line'!$O$2:$O$1501,$V163)&amp;"")</f>
        <v/>
      </c>
      <c r="H163">
        <f>IF($V163="","",INDEX('Per Line'!$P$2:$P$1501,$V163)&amp;"")</f>
        <v/>
      </c>
      <c r="I163">
        <f>IF($V163="","",INDEX('Per Line'!$N$2:$N$1501,$V163)&amp;"")</f>
        <v/>
      </c>
      <c r="J163">
        <f>IF($V163="","",INDEX('Per Line'!$Q$2:$Q$1501,$V163))</f>
        <v/>
      </c>
      <c r="K163" s="7">
        <f>IF($V163="","",J163*T163/100)</f>
        <v/>
      </c>
      <c r="L163">
        <f>IF($V163="","",Settings!$C$7)</f>
        <v/>
      </c>
      <c r="M163" s="7">
        <f>IF($V163="","",SUMIFS('Per Line'!$AC$2:$AC$1501,'Per Line'!$C$2:$C$1501,$C163,'Per Line'!$AK$2:$AK$1501,0))</f>
        <v/>
      </c>
      <c r="N163" s="7">
        <f>IF($V163="","",M163*L163)</f>
        <v/>
      </c>
      <c r="O163">
        <f>IF($V163="","",Settings!$C$6)</f>
        <v/>
      </c>
      <c r="P163" s="7">
        <f>IF($V163="","",SUMIFS('Per Line'!$AC$2:$AC$1501,'Per Line'!$C$2:$C$1501,$C163,'Per Line'!$AK$2:$AK$1501,1))</f>
        <v/>
      </c>
      <c r="Q163" s="7">
        <f>IF($V163="","",P163*O163)</f>
        <v/>
      </c>
      <c r="R163" s="7">
        <f>IF($V163="","",Q163+N163)</f>
        <v/>
      </c>
      <c r="S163" s="7">
        <f>IF($V163="","",T163-R163)</f>
        <v/>
      </c>
      <c r="T163" s="7">
        <f>IF($V163="","",M163+P163)</f>
        <v/>
      </c>
      <c r="U163" s="7">
        <f>IF($V163="","",T163-R163-K163)</f>
        <v/>
      </c>
      <c r="V163" s="13">
        <f>IF(ROWS($V$2:$V163)&lt;=MAX('Per Line'!$AJ$2:$AJ$1501),MATCH(ROWS($V$2:$V163),'Per Line'!$AJ$2:$AJ$1501,0),"")</f>
        <v/>
      </c>
    </row>
    <row r="164">
      <c r="A164" s="12" t="n"/>
      <c r="B164">
        <f>IF($V164="","",INDEX('Per Line'!$A$2:$A$1501,$V164)&amp;"")</f>
        <v/>
      </c>
      <c r="C164">
        <f>IF($V164="","",INDEX('Per Line'!$C$2:$C$1501,$V164)&amp;"")</f>
        <v/>
      </c>
      <c r="D164" s="11">
        <f>IF($V164="","",INDEX('Per Line'!$S$2:$S$1501,$V164))</f>
        <v/>
      </c>
      <c r="E164">
        <f>IF($V164="","",INDEX('Per Line'!$F$2:$F$1501,$V164)&amp;"")</f>
        <v/>
      </c>
      <c r="F164">
        <f>IF($V164="","",INDEX('Per Line'!$L$2:$L$1501,$V164)&amp;"")</f>
        <v/>
      </c>
      <c r="G164">
        <f>IF($V164="","",INDEX('Per Line'!$O$2:$O$1501,$V164)&amp;"")</f>
        <v/>
      </c>
      <c r="H164">
        <f>IF($V164="","",INDEX('Per Line'!$P$2:$P$1501,$V164)&amp;"")</f>
        <v/>
      </c>
      <c r="I164">
        <f>IF($V164="","",INDEX('Per Line'!$N$2:$N$1501,$V164)&amp;"")</f>
        <v/>
      </c>
      <c r="J164">
        <f>IF($V164="","",INDEX('Per Line'!$Q$2:$Q$1501,$V164))</f>
        <v/>
      </c>
      <c r="K164" s="7">
        <f>IF($V164="","",J164*T164/100)</f>
        <v/>
      </c>
      <c r="L164">
        <f>IF($V164="","",Settings!$C$7)</f>
        <v/>
      </c>
      <c r="M164" s="7">
        <f>IF($V164="","",SUMIFS('Per Line'!$AC$2:$AC$1501,'Per Line'!$C$2:$C$1501,$C164,'Per Line'!$AK$2:$AK$1501,0))</f>
        <v/>
      </c>
      <c r="N164" s="7">
        <f>IF($V164="","",M164*L164)</f>
        <v/>
      </c>
      <c r="O164">
        <f>IF($V164="","",Settings!$C$6)</f>
        <v/>
      </c>
      <c r="P164" s="7">
        <f>IF($V164="","",SUMIFS('Per Line'!$AC$2:$AC$1501,'Per Line'!$C$2:$C$1501,$C164,'Per Line'!$AK$2:$AK$1501,1))</f>
        <v/>
      </c>
      <c r="Q164" s="7">
        <f>IF($V164="","",P164*O164)</f>
        <v/>
      </c>
      <c r="R164" s="7">
        <f>IF($V164="","",Q164+N164)</f>
        <v/>
      </c>
      <c r="S164" s="7">
        <f>IF($V164="","",T164-R164)</f>
        <v/>
      </c>
      <c r="T164" s="7">
        <f>IF($V164="","",M164+P164)</f>
        <v/>
      </c>
      <c r="U164" s="7">
        <f>IF($V164="","",T164-R164-K164)</f>
        <v/>
      </c>
      <c r="V164" s="13">
        <f>IF(ROWS($V$2:$V164)&lt;=MAX('Per Line'!$AJ$2:$AJ$1501),MATCH(ROWS($V$2:$V164),'Per Line'!$AJ$2:$AJ$1501,0),"")</f>
        <v/>
      </c>
    </row>
    <row r="165">
      <c r="A165" s="12" t="n"/>
      <c r="B165">
        <f>IF($V165="","",INDEX('Per Line'!$A$2:$A$1501,$V165)&amp;"")</f>
        <v/>
      </c>
      <c r="C165">
        <f>IF($V165="","",INDEX('Per Line'!$C$2:$C$1501,$V165)&amp;"")</f>
        <v/>
      </c>
      <c r="D165" s="11">
        <f>IF($V165="","",INDEX('Per Line'!$S$2:$S$1501,$V165))</f>
        <v/>
      </c>
      <c r="E165">
        <f>IF($V165="","",INDEX('Per Line'!$F$2:$F$1501,$V165)&amp;"")</f>
        <v/>
      </c>
      <c r="F165">
        <f>IF($V165="","",INDEX('Per Line'!$L$2:$L$1501,$V165)&amp;"")</f>
        <v/>
      </c>
      <c r="G165">
        <f>IF($V165="","",INDEX('Per Line'!$O$2:$O$1501,$V165)&amp;"")</f>
        <v/>
      </c>
      <c r="H165">
        <f>IF($V165="","",INDEX('Per Line'!$P$2:$P$1501,$V165)&amp;"")</f>
        <v/>
      </c>
      <c r="I165">
        <f>IF($V165="","",INDEX('Per Line'!$N$2:$N$1501,$V165)&amp;"")</f>
        <v/>
      </c>
      <c r="J165">
        <f>IF($V165="","",INDEX('Per Line'!$Q$2:$Q$1501,$V165))</f>
        <v/>
      </c>
      <c r="K165" s="7">
        <f>IF($V165="","",J165*T165/100)</f>
        <v/>
      </c>
      <c r="L165">
        <f>IF($V165="","",Settings!$C$7)</f>
        <v/>
      </c>
      <c r="M165" s="7">
        <f>IF($V165="","",SUMIFS('Per Line'!$AC$2:$AC$1501,'Per Line'!$C$2:$C$1501,$C165,'Per Line'!$AK$2:$AK$1501,0))</f>
        <v/>
      </c>
      <c r="N165" s="7">
        <f>IF($V165="","",M165*L165)</f>
        <v/>
      </c>
      <c r="O165">
        <f>IF($V165="","",Settings!$C$6)</f>
        <v/>
      </c>
      <c r="P165" s="7">
        <f>IF($V165="","",SUMIFS('Per Line'!$AC$2:$AC$1501,'Per Line'!$C$2:$C$1501,$C165,'Per Line'!$AK$2:$AK$1501,1))</f>
        <v/>
      </c>
      <c r="Q165" s="7">
        <f>IF($V165="","",P165*O165)</f>
        <v/>
      </c>
      <c r="R165" s="7">
        <f>IF($V165="","",Q165+N165)</f>
        <v/>
      </c>
      <c r="S165" s="7">
        <f>IF($V165="","",T165-R165)</f>
        <v/>
      </c>
      <c r="T165" s="7">
        <f>IF($V165="","",M165+P165)</f>
        <v/>
      </c>
      <c r="U165" s="7">
        <f>IF($V165="","",T165-R165-K165)</f>
        <v/>
      </c>
      <c r="V165" s="13">
        <f>IF(ROWS($V$2:$V165)&lt;=MAX('Per Line'!$AJ$2:$AJ$1501),MATCH(ROWS($V$2:$V165),'Per Line'!$AJ$2:$AJ$1501,0),"")</f>
        <v/>
      </c>
    </row>
    <row r="166">
      <c r="A166" s="12" t="n"/>
      <c r="B166">
        <f>IF($V166="","",INDEX('Per Line'!$A$2:$A$1501,$V166)&amp;"")</f>
        <v/>
      </c>
      <c r="C166">
        <f>IF($V166="","",INDEX('Per Line'!$C$2:$C$1501,$V166)&amp;"")</f>
        <v/>
      </c>
      <c r="D166" s="11">
        <f>IF($V166="","",INDEX('Per Line'!$S$2:$S$1501,$V166))</f>
        <v/>
      </c>
      <c r="E166">
        <f>IF($V166="","",INDEX('Per Line'!$F$2:$F$1501,$V166)&amp;"")</f>
        <v/>
      </c>
      <c r="F166">
        <f>IF($V166="","",INDEX('Per Line'!$L$2:$L$1501,$V166)&amp;"")</f>
        <v/>
      </c>
      <c r="G166">
        <f>IF($V166="","",INDEX('Per Line'!$O$2:$O$1501,$V166)&amp;"")</f>
        <v/>
      </c>
      <c r="H166">
        <f>IF($V166="","",INDEX('Per Line'!$P$2:$P$1501,$V166)&amp;"")</f>
        <v/>
      </c>
      <c r="I166">
        <f>IF($V166="","",INDEX('Per Line'!$N$2:$N$1501,$V166)&amp;"")</f>
        <v/>
      </c>
      <c r="J166">
        <f>IF($V166="","",INDEX('Per Line'!$Q$2:$Q$1501,$V166))</f>
        <v/>
      </c>
      <c r="K166" s="7">
        <f>IF($V166="","",J166*T166/100)</f>
        <v/>
      </c>
      <c r="L166">
        <f>IF($V166="","",Settings!$C$7)</f>
        <v/>
      </c>
      <c r="M166" s="7">
        <f>IF($V166="","",SUMIFS('Per Line'!$AC$2:$AC$1501,'Per Line'!$C$2:$C$1501,$C166,'Per Line'!$AK$2:$AK$1501,0))</f>
        <v/>
      </c>
      <c r="N166" s="7">
        <f>IF($V166="","",M166*L166)</f>
        <v/>
      </c>
      <c r="O166">
        <f>IF($V166="","",Settings!$C$6)</f>
        <v/>
      </c>
      <c r="P166" s="7">
        <f>IF($V166="","",SUMIFS('Per Line'!$AC$2:$AC$1501,'Per Line'!$C$2:$C$1501,$C166,'Per Line'!$AK$2:$AK$1501,1))</f>
        <v/>
      </c>
      <c r="Q166" s="7">
        <f>IF($V166="","",P166*O166)</f>
        <v/>
      </c>
      <c r="R166" s="7">
        <f>IF($V166="","",Q166+N166)</f>
        <v/>
      </c>
      <c r="S166" s="7">
        <f>IF($V166="","",T166-R166)</f>
        <v/>
      </c>
      <c r="T166" s="7">
        <f>IF($V166="","",M166+P166)</f>
        <v/>
      </c>
      <c r="U166" s="7">
        <f>IF($V166="","",T166-R166-K166)</f>
        <v/>
      </c>
      <c r="V166" s="13">
        <f>IF(ROWS($V$2:$V166)&lt;=MAX('Per Line'!$AJ$2:$AJ$1501),MATCH(ROWS($V$2:$V166),'Per Line'!$AJ$2:$AJ$1501,0),"")</f>
        <v/>
      </c>
    </row>
    <row r="167">
      <c r="A167" s="12" t="n"/>
      <c r="B167">
        <f>IF($V167="","",INDEX('Per Line'!$A$2:$A$1501,$V167)&amp;"")</f>
        <v/>
      </c>
      <c r="C167">
        <f>IF($V167="","",INDEX('Per Line'!$C$2:$C$1501,$V167)&amp;"")</f>
        <v/>
      </c>
      <c r="D167" s="11">
        <f>IF($V167="","",INDEX('Per Line'!$S$2:$S$1501,$V167))</f>
        <v/>
      </c>
      <c r="E167">
        <f>IF($V167="","",INDEX('Per Line'!$F$2:$F$1501,$V167)&amp;"")</f>
        <v/>
      </c>
      <c r="F167">
        <f>IF($V167="","",INDEX('Per Line'!$L$2:$L$1501,$V167)&amp;"")</f>
        <v/>
      </c>
      <c r="G167">
        <f>IF($V167="","",INDEX('Per Line'!$O$2:$O$1501,$V167)&amp;"")</f>
        <v/>
      </c>
      <c r="H167">
        <f>IF($V167="","",INDEX('Per Line'!$P$2:$P$1501,$V167)&amp;"")</f>
        <v/>
      </c>
      <c r="I167">
        <f>IF($V167="","",INDEX('Per Line'!$N$2:$N$1501,$V167)&amp;"")</f>
        <v/>
      </c>
      <c r="J167">
        <f>IF($V167="","",INDEX('Per Line'!$Q$2:$Q$1501,$V167))</f>
        <v/>
      </c>
      <c r="K167" s="7">
        <f>IF($V167="","",J167*T167/100)</f>
        <v/>
      </c>
      <c r="L167">
        <f>IF($V167="","",Settings!$C$7)</f>
        <v/>
      </c>
      <c r="M167" s="7">
        <f>IF($V167="","",SUMIFS('Per Line'!$AC$2:$AC$1501,'Per Line'!$C$2:$C$1501,$C167,'Per Line'!$AK$2:$AK$1501,0))</f>
        <v/>
      </c>
      <c r="N167" s="7">
        <f>IF($V167="","",M167*L167)</f>
        <v/>
      </c>
      <c r="O167">
        <f>IF($V167="","",Settings!$C$6)</f>
        <v/>
      </c>
      <c r="P167" s="7">
        <f>IF($V167="","",SUMIFS('Per Line'!$AC$2:$AC$1501,'Per Line'!$C$2:$C$1501,$C167,'Per Line'!$AK$2:$AK$1501,1))</f>
        <v/>
      </c>
      <c r="Q167" s="7">
        <f>IF($V167="","",P167*O167)</f>
        <v/>
      </c>
      <c r="R167" s="7">
        <f>IF($V167="","",Q167+N167)</f>
        <v/>
      </c>
      <c r="S167" s="7">
        <f>IF($V167="","",T167-R167)</f>
        <v/>
      </c>
      <c r="T167" s="7">
        <f>IF($V167="","",M167+P167)</f>
        <v/>
      </c>
      <c r="U167" s="7">
        <f>IF($V167="","",T167-R167-K167)</f>
        <v/>
      </c>
      <c r="V167" s="13">
        <f>IF(ROWS($V$2:$V167)&lt;=MAX('Per Line'!$AJ$2:$AJ$1501),MATCH(ROWS($V$2:$V167),'Per Line'!$AJ$2:$AJ$1501,0),"")</f>
        <v/>
      </c>
    </row>
    <row r="168">
      <c r="A168" s="12" t="n"/>
      <c r="B168">
        <f>IF($V168="","",INDEX('Per Line'!$A$2:$A$1501,$V168)&amp;"")</f>
        <v/>
      </c>
      <c r="C168">
        <f>IF($V168="","",INDEX('Per Line'!$C$2:$C$1501,$V168)&amp;"")</f>
        <v/>
      </c>
      <c r="D168" s="11">
        <f>IF($V168="","",INDEX('Per Line'!$S$2:$S$1501,$V168))</f>
        <v/>
      </c>
      <c r="E168">
        <f>IF($V168="","",INDEX('Per Line'!$F$2:$F$1501,$V168)&amp;"")</f>
        <v/>
      </c>
      <c r="F168">
        <f>IF($V168="","",INDEX('Per Line'!$L$2:$L$1501,$V168)&amp;"")</f>
        <v/>
      </c>
      <c r="G168">
        <f>IF($V168="","",INDEX('Per Line'!$O$2:$O$1501,$V168)&amp;"")</f>
        <v/>
      </c>
      <c r="H168">
        <f>IF($V168="","",INDEX('Per Line'!$P$2:$P$1501,$V168)&amp;"")</f>
        <v/>
      </c>
      <c r="I168">
        <f>IF($V168="","",INDEX('Per Line'!$N$2:$N$1501,$V168)&amp;"")</f>
        <v/>
      </c>
      <c r="J168">
        <f>IF($V168="","",INDEX('Per Line'!$Q$2:$Q$1501,$V168))</f>
        <v/>
      </c>
      <c r="K168" s="7">
        <f>IF($V168="","",J168*T168/100)</f>
        <v/>
      </c>
      <c r="L168">
        <f>IF($V168="","",Settings!$C$7)</f>
        <v/>
      </c>
      <c r="M168" s="7">
        <f>IF($V168="","",SUMIFS('Per Line'!$AC$2:$AC$1501,'Per Line'!$C$2:$C$1501,$C168,'Per Line'!$AK$2:$AK$1501,0))</f>
        <v/>
      </c>
      <c r="N168" s="7">
        <f>IF($V168="","",M168*L168)</f>
        <v/>
      </c>
      <c r="O168">
        <f>IF($V168="","",Settings!$C$6)</f>
        <v/>
      </c>
      <c r="P168" s="7">
        <f>IF($V168="","",SUMIFS('Per Line'!$AC$2:$AC$1501,'Per Line'!$C$2:$C$1501,$C168,'Per Line'!$AK$2:$AK$1501,1))</f>
        <v/>
      </c>
      <c r="Q168" s="7">
        <f>IF($V168="","",P168*O168)</f>
        <v/>
      </c>
      <c r="R168" s="7">
        <f>IF($V168="","",Q168+N168)</f>
        <v/>
      </c>
      <c r="S168" s="7">
        <f>IF($V168="","",T168-R168)</f>
        <v/>
      </c>
      <c r="T168" s="7">
        <f>IF($V168="","",M168+P168)</f>
        <v/>
      </c>
      <c r="U168" s="7">
        <f>IF($V168="","",T168-R168-K168)</f>
        <v/>
      </c>
      <c r="V168" s="13">
        <f>IF(ROWS($V$2:$V168)&lt;=MAX('Per Line'!$AJ$2:$AJ$1501),MATCH(ROWS($V$2:$V168),'Per Line'!$AJ$2:$AJ$1501,0),"")</f>
        <v/>
      </c>
    </row>
    <row r="169">
      <c r="A169" s="12" t="n"/>
      <c r="B169">
        <f>IF($V169="","",INDEX('Per Line'!$A$2:$A$1501,$V169)&amp;"")</f>
        <v/>
      </c>
      <c r="C169">
        <f>IF($V169="","",INDEX('Per Line'!$C$2:$C$1501,$V169)&amp;"")</f>
        <v/>
      </c>
      <c r="D169" s="11">
        <f>IF($V169="","",INDEX('Per Line'!$S$2:$S$1501,$V169))</f>
        <v/>
      </c>
      <c r="E169">
        <f>IF($V169="","",INDEX('Per Line'!$F$2:$F$1501,$V169)&amp;"")</f>
        <v/>
      </c>
      <c r="F169">
        <f>IF($V169="","",INDEX('Per Line'!$L$2:$L$1501,$V169)&amp;"")</f>
        <v/>
      </c>
      <c r="G169">
        <f>IF($V169="","",INDEX('Per Line'!$O$2:$O$1501,$V169)&amp;"")</f>
        <v/>
      </c>
      <c r="H169">
        <f>IF($V169="","",INDEX('Per Line'!$P$2:$P$1501,$V169)&amp;"")</f>
        <v/>
      </c>
      <c r="I169">
        <f>IF($V169="","",INDEX('Per Line'!$N$2:$N$1501,$V169)&amp;"")</f>
        <v/>
      </c>
      <c r="J169">
        <f>IF($V169="","",INDEX('Per Line'!$Q$2:$Q$1501,$V169))</f>
        <v/>
      </c>
      <c r="K169" s="7">
        <f>IF($V169="","",J169*T169/100)</f>
        <v/>
      </c>
      <c r="L169">
        <f>IF($V169="","",Settings!$C$7)</f>
        <v/>
      </c>
      <c r="M169" s="7">
        <f>IF($V169="","",SUMIFS('Per Line'!$AC$2:$AC$1501,'Per Line'!$C$2:$C$1501,$C169,'Per Line'!$AK$2:$AK$1501,0))</f>
        <v/>
      </c>
      <c r="N169" s="7">
        <f>IF($V169="","",M169*L169)</f>
        <v/>
      </c>
      <c r="O169">
        <f>IF($V169="","",Settings!$C$6)</f>
        <v/>
      </c>
      <c r="P169" s="7">
        <f>IF($V169="","",SUMIFS('Per Line'!$AC$2:$AC$1501,'Per Line'!$C$2:$C$1501,$C169,'Per Line'!$AK$2:$AK$1501,1))</f>
        <v/>
      </c>
      <c r="Q169" s="7">
        <f>IF($V169="","",P169*O169)</f>
        <v/>
      </c>
      <c r="R169" s="7">
        <f>IF($V169="","",Q169+N169)</f>
        <v/>
      </c>
      <c r="S169" s="7">
        <f>IF($V169="","",T169-R169)</f>
        <v/>
      </c>
      <c r="T169" s="7">
        <f>IF($V169="","",M169+P169)</f>
        <v/>
      </c>
      <c r="U169" s="7">
        <f>IF($V169="","",T169-R169-K169)</f>
        <v/>
      </c>
      <c r="V169" s="13">
        <f>IF(ROWS($V$2:$V169)&lt;=MAX('Per Line'!$AJ$2:$AJ$1501),MATCH(ROWS($V$2:$V169),'Per Line'!$AJ$2:$AJ$1501,0),"")</f>
        <v/>
      </c>
    </row>
    <row r="170">
      <c r="A170" s="12" t="n"/>
      <c r="B170">
        <f>IF($V170="","",INDEX('Per Line'!$A$2:$A$1501,$V170)&amp;"")</f>
        <v/>
      </c>
      <c r="C170">
        <f>IF($V170="","",INDEX('Per Line'!$C$2:$C$1501,$V170)&amp;"")</f>
        <v/>
      </c>
      <c r="D170" s="11">
        <f>IF($V170="","",INDEX('Per Line'!$S$2:$S$1501,$V170))</f>
        <v/>
      </c>
      <c r="E170">
        <f>IF($V170="","",INDEX('Per Line'!$F$2:$F$1501,$V170)&amp;"")</f>
        <v/>
      </c>
      <c r="F170">
        <f>IF($V170="","",INDEX('Per Line'!$L$2:$L$1501,$V170)&amp;"")</f>
        <v/>
      </c>
      <c r="G170">
        <f>IF($V170="","",INDEX('Per Line'!$O$2:$O$1501,$V170)&amp;"")</f>
        <v/>
      </c>
      <c r="H170">
        <f>IF($V170="","",INDEX('Per Line'!$P$2:$P$1501,$V170)&amp;"")</f>
        <v/>
      </c>
      <c r="I170">
        <f>IF($V170="","",INDEX('Per Line'!$N$2:$N$1501,$V170)&amp;"")</f>
        <v/>
      </c>
      <c r="J170">
        <f>IF($V170="","",INDEX('Per Line'!$Q$2:$Q$1501,$V170))</f>
        <v/>
      </c>
      <c r="K170" s="7">
        <f>IF($V170="","",J170*T170/100)</f>
        <v/>
      </c>
      <c r="L170">
        <f>IF($V170="","",Settings!$C$7)</f>
        <v/>
      </c>
      <c r="M170" s="7">
        <f>IF($V170="","",SUMIFS('Per Line'!$AC$2:$AC$1501,'Per Line'!$C$2:$C$1501,$C170,'Per Line'!$AK$2:$AK$1501,0))</f>
        <v/>
      </c>
      <c r="N170" s="7">
        <f>IF($V170="","",M170*L170)</f>
        <v/>
      </c>
      <c r="O170">
        <f>IF($V170="","",Settings!$C$6)</f>
        <v/>
      </c>
      <c r="P170" s="7">
        <f>IF($V170="","",SUMIFS('Per Line'!$AC$2:$AC$1501,'Per Line'!$C$2:$C$1501,$C170,'Per Line'!$AK$2:$AK$1501,1))</f>
        <v/>
      </c>
      <c r="Q170" s="7">
        <f>IF($V170="","",P170*O170)</f>
        <v/>
      </c>
      <c r="R170" s="7">
        <f>IF($V170="","",Q170+N170)</f>
        <v/>
      </c>
      <c r="S170" s="7">
        <f>IF($V170="","",T170-R170)</f>
        <v/>
      </c>
      <c r="T170" s="7">
        <f>IF($V170="","",M170+P170)</f>
        <v/>
      </c>
      <c r="U170" s="7">
        <f>IF($V170="","",T170-R170-K170)</f>
        <v/>
      </c>
      <c r="V170" s="13">
        <f>IF(ROWS($V$2:$V170)&lt;=MAX('Per Line'!$AJ$2:$AJ$1501),MATCH(ROWS($V$2:$V170),'Per Line'!$AJ$2:$AJ$1501,0),"")</f>
        <v/>
      </c>
    </row>
    <row r="171">
      <c r="A171" s="12" t="n"/>
      <c r="B171">
        <f>IF($V171="","",INDEX('Per Line'!$A$2:$A$1501,$V171)&amp;"")</f>
        <v/>
      </c>
      <c r="C171">
        <f>IF($V171="","",INDEX('Per Line'!$C$2:$C$1501,$V171)&amp;"")</f>
        <v/>
      </c>
      <c r="D171" s="11">
        <f>IF($V171="","",INDEX('Per Line'!$S$2:$S$1501,$V171))</f>
        <v/>
      </c>
      <c r="E171">
        <f>IF($V171="","",INDEX('Per Line'!$F$2:$F$1501,$V171)&amp;"")</f>
        <v/>
      </c>
      <c r="F171">
        <f>IF($V171="","",INDEX('Per Line'!$L$2:$L$1501,$V171)&amp;"")</f>
        <v/>
      </c>
      <c r="G171">
        <f>IF($V171="","",INDEX('Per Line'!$O$2:$O$1501,$V171)&amp;"")</f>
        <v/>
      </c>
      <c r="H171">
        <f>IF($V171="","",INDEX('Per Line'!$P$2:$P$1501,$V171)&amp;"")</f>
        <v/>
      </c>
      <c r="I171">
        <f>IF($V171="","",INDEX('Per Line'!$N$2:$N$1501,$V171)&amp;"")</f>
        <v/>
      </c>
      <c r="J171">
        <f>IF($V171="","",INDEX('Per Line'!$Q$2:$Q$1501,$V171))</f>
        <v/>
      </c>
      <c r="K171" s="7">
        <f>IF($V171="","",J171*T171/100)</f>
        <v/>
      </c>
      <c r="L171">
        <f>IF($V171="","",Settings!$C$7)</f>
        <v/>
      </c>
      <c r="M171" s="7">
        <f>IF($V171="","",SUMIFS('Per Line'!$AC$2:$AC$1501,'Per Line'!$C$2:$C$1501,$C171,'Per Line'!$AK$2:$AK$1501,0))</f>
        <v/>
      </c>
      <c r="N171" s="7">
        <f>IF($V171="","",M171*L171)</f>
        <v/>
      </c>
      <c r="O171">
        <f>IF($V171="","",Settings!$C$6)</f>
        <v/>
      </c>
      <c r="P171" s="7">
        <f>IF($V171="","",SUMIFS('Per Line'!$AC$2:$AC$1501,'Per Line'!$C$2:$C$1501,$C171,'Per Line'!$AK$2:$AK$1501,1))</f>
        <v/>
      </c>
      <c r="Q171" s="7">
        <f>IF($V171="","",P171*O171)</f>
        <v/>
      </c>
      <c r="R171" s="7">
        <f>IF($V171="","",Q171+N171)</f>
        <v/>
      </c>
      <c r="S171" s="7">
        <f>IF($V171="","",T171-R171)</f>
        <v/>
      </c>
      <c r="T171" s="7">
        <f>IF($V171="","",M171+P171)</f>
        <v/>
      </c>
      <c r="U171" s="7">
        <f>IF($V171="","",T171-R171-K171)</f>
        <v/>
      </c>
      <c r="V171" s="13">
        <f>IF(ROWS($V$2:$V171)&lt;=MAX('Per Line'!$AJ$2:$AJ$1501),MATCH(ROWS($V$2:$V171),'Per Line'!$AJ$2:$AJ$1501,0),"")</f>
        <v/>
      </c>
    </row>
    <row r="172">
      <c r="A172" s="12" t="n"/>
      <c r="B172">
        <f>IF($V172="","",INDEX('Per Line'!$A$2:$A$1501,$V172)&amp;"")</f>
        <v/>
      </c>
      <c r="C172">
        <f>IF($V172="","",INDEX('Per Line'!$C$2:$C$1501,$V172)&amp;"")</f>
        <v/>
      </c>
      <c r="D172" s="11">
        <f>IF($V172="","",INDEX('Per Line'!$S$2:$S$1501,$V172))</f>
        <v/>
      </c>
      <c r="E172">
        <f>IF($V172="","",INDEX('Per Line'!$F$2:$F$1501,$V172)&amp;"")</f>
        <v/>
      </c>
      <c r="F172">
        <f>IF($V172="","",INDEX('Per Line'!$L$2:$L$1501,$V172)&amp;"")</f>
        <v/>
      </c>
      <c r="G172">
        <f>IF($V172="","",INDEX('Per Line'!$O$2:$O$1501,$V172)&amp;"")</f>
        <v/>
      </c>
      <c r="H172">
        <f>IF($V172="","",INDEX('Per Line'!$P$2:$P$1501,$V172)&amp;"")</f>
        <v/>
      </c>
      <c r="I172">
        <f>IF($V172="","",INDEX('Per Line'!$N$2:$N$1501,$V172)&amp;"")</f>
        <v/>
      </c>
      <c r="J172">
        <f>IF($V172="","",INDEX('Per Line'!$Q$2:$Q$1501,$V172))</f>
        <v/>
      </c>
      <c r="K172" s="7">
        <f>IF($V172="","",J172*T172/100)</f>
        <v/>
      </c>
      <c r="L172">
        <f>IF($V172="","",Settings!$C$7)</f>
        <v/>
      </c>
      <c r="M172" s="7">
        <f>IF($V172="","",SUMIFS('Per Line'!$AC$2:$AC$1501,'Per Line'!$C$2:$C$1501,$C172,'Per Line'!$AK$2:$AK$1501,0))</f>
        <v/>
      </c>
      <c r="N172" s="7">
        <f>IF($V172="","",M172*L172)</f>
        <v/>
      </c>
      <c r="O172">
        <f>IF($V172="","",Settings!$C$6)</f>
        <v/>
      </c>
      <c r="P172" s="7">
        <f>IF($V172="","",SUMIFS('Per Line'!$AC$2:$AC$1501,'Per Line'!$C$2:$C$1501,$C172,'Per Line'!$AK$2:$AK$1501,1))</f>
        <v/>
      </c>
      <c r="Q172" s="7">
        <f>IF($V172="","",P172*O172)</f>
        <v/>
      </c>
      <c r="R172" s="7">
        <f>IF($V172="","",Q172+N172)</f>
        <v/>
      </c>
      <c r="S172" s="7">
        <f>IF($V172="","",T172-R172)</f>
        <v/>
      </c>
      <c r="T172" s="7">
        <f>IF($V172="","",M172+P172)</f>
        <v/>
      </c>
      <c r="U172" s="7">
        <f>IF($V172="","",T172-R172-K172)</f>
        <v/>
      </c>
      <c r="V172" s="13">
        <f>IF(ROWS($V$2:$V172)&lt;=MAX('Per Line'!$AJ$2:$AJ$1501),MATCH(ROWS($V$2:$V172),'Per Line'!$AJ$2:$AJ$1501,0),"")</f>
        <v/>
      </c>
    </row>
    <row r="173">
      <c r="A173" s="12" t="n"/>
      <c r="B173">
        <f>IF($V173="","",INDEX('Per Line'!$A$2:$A$1501,$V173)&amp;"")</f>
        <v/>
      </c>
      <c r="C173">
        <f>IF($V173="","",INDEX('Per Line'!$C$2:$C$1501,$V173)&amp;"")</f>
        <v/>
      </c>
      <c r="D173" s="11">
        <f>IF($V173="","",INDEX('Per Line'!$S$2:$S$1501,$V173))</f>
        <v/>
      </c>
      <c r="E173">
        <f>IF($V173="","",INDEX('Per Line'!$F$2:$F$1501,$V173)&amp;"")</f>
        <v/>
      </c>
      <c r="F173">
        <f>IF($V173="","",INDEX('Per Line'!$L$2:$L$1501,$V173)&amp;"")</f>
        <v/>
      </c>
      <c r="G173">
        <f>IF($V173="","",INDEX('Per Line'!$O$2:$O$1501,$V173)&amp;"")</f>
        <v/>
      </c>
      <c r="H173">
        <f>IF($V173="","",INDEX('Per Line'!$P$2:$P$1501,$V173)&amp;"")</f>
        <v/>
      </c>
      <c r="I173">
        <f>IF($V173="","",INDEX('Per Line'!$N$2:$N$1501,$V173)&amp;"")</f>
        <v/>
      </c>
      <c r="J173">
        <f>IF($V173="","",INDEX('Per Line'!$Q$2:$Q$1501,$V173))</f>
        <v/>
      </c>
      <c r="K173" s="7">
        <f>IF($V173="","",J173*T173/100)</f>
        <v/>
      </c>
      <c r="L173">
        <f>IF($V173="","",Settings!$C$7)</f>
        <v/>
      </c>
      <c r="M173" s="7">
        <f>IF($V173="","",SUMIFS('Per Line'!$AC$2:$AC$1501,'Per Line'!$C$2:$C$1501,$C173,'Per Line'!$AK$2:$AK$1501,0))</f>
        <v/>
      </c>
      <c r="N173" s="7">
        <f>IF($V173="","",M173*L173)</f>
        <v/>
      </c>
      <c r="O173">
        <f>IF($V173="","",Settings!$C$6)</f>
        <v/>
      </c>
      <c r="P173" s="7">
        <f>IF($V173="","",SUMIFS('Per Line'!$AC$2:$AC$1501,'Per Line'!$C$2:$C$1501,$C173,'Per Line'!$AK$2:$AK$1501,1))</f>
        <v/>
      </c>
      <c r="Q173" s="7">
        <f>IF($V173="","",P173*O173)</f>
        <v/>
      </c>
      <c r="R173" s="7">
        <f>IF($V173="","",Q173+N173)</f>
        <v/>
      </c>
      <c r="S173" s="7">
        <f>IF($V173="","",T173-R173)</f>
        <v/>
      </c>
      <c r="T173" s="7">
        <f>IF($V173="","",M173+P173)</f>
        <v/>
      </c>
      <c r="U173" s="7">
        <f>IF($V173="","",T173-R173-K173)</f>
        <v/>
      </c>
      <c r="V173" s="13">
        <f>IF(ROWS($V$2:$V173)&lt;=MAX('Per Line'!$AJ$2:$AJ$1501),MATCH(ROWS($V$2:$V173),'Per Line'!$AJ$2:$AJ$1501,0),"")</f>
        <v/>
      </c>
    </row>
    <row r="174">
      <c r="A174" s="12" t="n"/>
      <c r="B174">
        <f>IF($V174="","",INDEX('Per Line'!$A$2:$A$1501,$V174)&amp;"")</f>
        <v/>
      </c>
      <c r="C174">
        <f>IF($V174="","",INDEX('Per Line'!$C$2:$C$1501,$V174)&amp;"")</f>
        <v/>
      </c>
      <c r="D174" s="11">
        <f>IF($V174="","",INDEX('Per Line'!$S$2:$S$1501,$V174))</f>
        <v/>
      </c>
      <c r="E174">
        <f>IF($V174="","",INDEX('Per Line'!$F$2:$F$1501,$V174)&amp;"")</f>
        <v/>
      </c>
      <c r="F174">
        <f>IF($V174="","",INDEX('Per Line'!$L$2:$L$1501,$V174)&amp;"")</f>
        <v/>
      </c>
      <c r="G174">
        <f>IF($V174="","",INDEX('Per Line'!$O$2:$O$1501,$V174)&amp;"")</f>
        <v/>
      </c>
      <c r="H174">
        <f>IF($V174="","",INDEX('Per Line'!$P$2:$P$1501,$V174)&amp;"")</f>
        <v/>
      </c>
      <c r="I174">
        <f>IF($V174="","",INDEX('Per Line'!$N$2:$N$1501,$V174)&amp;"")</f>
        <v/>
      </c>
      <c r="J174">
        <f>IF($V174="","",INDEX('Per Line'!$Q$2:$Q$1501,$V174))</f>
        <v/>
      </c>
      <c r="K174" s="7">
        <f>IF($V174="","",J174*T174/100)</f>
        <v/>
      </c>
      <c r="L174">
        <f>IF($V174="","",Settings!$C$7)</f>
        <v/>
      </c>
      <c r="M174" s="7">
        <f>IF($V174="","",SUMIFS('Per Line'!$AC$2:$AC$1501,'Per Line'!$C$2:$C$1501,$C174,'Per Line'!$AK$2:$AK$1501,0))</f>
        <v/>
      </c>
      <c r="N174" s="7">
        <f>IF($V174="","",M174*L174)</f>
        <v/>
      </c>
      <c r="O174">
        <f>IF($V174="","",Settings!$C$6)</f>
        <v/>
      </c>
      <c r="P174" s="7">
        <f>IF($V174="","",SUMIFS('Per Line'!$AC$2:$AC$1501,'Per Line'!$C$2:$C$1501,$C174,'Per Line'!$AK$2:$AK$1501,1))</f>
        <v/>
      </c>
      <c r="Q174" s="7">
        <f>IF($V174="","",P174*O174)</f>
        <v/>
      </c>
      <c r="R174" s="7">
        <f>IF($V174="","",Q174+N174)</f>
        <v/>
      </c>
      <c r="S174" s="7">
        <f>IF($V174="","",T174-R174)</f>
        <v/>
      </c>
      <c r="T174" s="7">
        <f>IF($V174="","",M174+P174)</f>
        <v/>
      </c>
      <c r="U174" s="7">
        <f>IF($V174="","",T174-R174-K174)</f>
        <v/>
      </c>
      <c r="V174" s="13">
        <f>IF(ROWS($V$2:$V174)&lt;=MAX('Per Line'!$AJ$2:$AJ$1501),MATCH(ROWS($V$2:$V174),'Per Line'!$AJ$2:$AJ$1501,0),"")</f>
        <v/>
      </c>
    </row>
    <row r="175">
      <c r="A175" s="12" t="n"/>
      <c r="B175">
        <f>IF($V175="","",INDEX('Per Line'!$A$2:$A$1501,$V175)&amp;"")</f>
        <v/>
      </c>
      <c r="C175">
        <f>IF($V175="","",INDEX('Per Line'!$C$2:$C$1501,$V175)&amp;"")</f>
        <v/>
      </c>
      <c r="D175" s="11">
        <f>IF($V175="","",INDEX('Per Line'!$S$2:$S$1501,$V175))</f>
        <v/>
      </c>
      <c r="E175">
        <f>IF($V175="","",INDEX('Per Line'!$F$2:$F$1501,$V175)&amp;"")</f>
        <v/>
      </c>
      <c r="F175">
        <f>IF($V175="","",INDEX('Per Line'!$L$2:$L$1501,$V175)&amp;"")</f>
        <v/>
      </c>
      <c r="G175">
        <f>IF($V175="","",INDEX('Per Line'!$O$2:$O$1501,$V175)&amp;"")</f>
        <v/>
      </c>
      <c r="H175">
        <f>IF($V175="","",INDEX('Per Line'!$P$2:$P$1501,$V175)&amp;"")</f>
        <v/>
      </c>
      <c r="I175">
        <f>IF($V175="","",INDEX('Per Line'!$N$2:$N$1501,$V175)&amp;"")</f>
        <v/>
      </c>
      <c r="J175">
        <f>IF($V175="","",INDEX('Per Line'!$Q$2:$Q$1501,$V175))</f>
        <v/>
      </c>
      <c r="K175" s="7">
        <f>IF($V175="","",J175*T175/100)</f>
        <v/>
      </c>
      <c r="L175">
        <f>IF($V175="","",Settings!$C$7)</f>
        <v/>
      </c>
      <c r="M175" s="7">
        <f>IF($V175="","",SUMIFS('Per Line'!$AC$2:$AC$1501,'Per Line'!$C$2:$C$1501,$C175,'Per Line'!$AK$2:$AK$1501,0))</f>
        <v/>
      </c>
      <c r="N175" s="7">
        <f>IF($V175="","",M175*L175)</f>
        <v/>
      </c>
      <c r="O175">
        <f>IF($V175="","",Settings!$C$6)</f>
        <v/>
      </c>
      <c r="P175" s="7">
        <f>IF($V175="","",SUMIFS('Per Line'!$AC$2:$AC$1501,'Per Line'!$C$2:$C$1501,$C175,'Per Line'!$AK$2:$AK$1501,1))</f>
        <v/>
      </c>
      <c r="Q175" s="7">
        <f>IF($V175="","",P175*O175)</f>
        <v/>
      </c>
      <c r="R175" s="7">
        <f>IF($V175="","",Q175+N175)</f>
        <v/>
      </c>
      <c r="S175" s="7">
        <f>IF($V175="","",T175-R175)</f>
        <v/>
      </c>
      <c r="T175" s="7">
        <f>IF($V175="","",M175+P175)</f>
        <v/>
      </c>
      <c r="U175" s="7">
        <f>IF($V175="","",T175-R175-K175)</f>
        <v/>
      </c>
      <c r="V175" s="13">
        <f>IF(ROWS($V$2:$V175)&lt;=MAX('Per Line'!$AJ$2:$AJ$1501),MATCH(ROWS($V$2:$V175),'Per Line'!$AJ$2:$AJ$1501,0),"")</f>
        <v/>
      </c>
    </row>
    <row r="176">
      <c r="A176" s="12" t="n"/>
      <c r="B176">
        <f>IF($V176="","",INDEX('Per Line'!$A$2:$A$1501,$V176)&amp;"")</f>
        <v/>
      </c>
      <c r="C176">
        <f>IF($V176="","",INDEX('Per Line'!$C$2:$C$1501,$V176)&amp;"")</f>
        <v/>
      </c>
      <c r="D176" s="11">
        <f>IF($V176="","",INDEX('Per Line'!$S$2:$S$1501,$V176))</f>
        <v/>
      </c>
      <c r="E176">
        <f>IF($V176="","",INDEX('Per Line'!$F$2:$F$1501,$V176)&amp;"")</f>
        <v/>
      </c>
      <c r="F176">
        <f>IF($V176="","",INDEX('Per Line'!$L$2:$L$1501,$V176)&amp;"")</f>
        <v/>
      </c>
      <c r="G176">
        <f>IF($V176="","",INDEX('Per Line'!$O$2:$O$1501,$V176)&amp;"")</f>
        <v/>
      </c>
      <c r="H176">
        <f>IF($V176="","",INDEX('Per Line'!$P$2:$P$1501,$V176)&amp;"")</f>
        <v/>
      </c>
      <c r="I176">
        <f>IF($V176="","",INDEX('Per Line'!$N$2:$N$1501,$V176)&amp;"")</f>
        <v/>
      </c>
      <c r="J176">
        <f>IF($V176="","",INDEX('Per Line'!$Q$2:$Q$1501,$V176))</f>
        <v/>
      </c>
      <c r="K176" s="7">
        <f>IF($V176="","",J176*T176/100)</f>
        <v/>
      </c>
      <c r="L176">
        <f>IF($V176="","",Settings!$C$7)</f>
        <v/>
      </c>
      <c r="M176" s="7">
        <f>IF($V176="","",SUMIFS('Per Line'!$AC$2:$AC$1501,'Per Line'!$C$2:$C$1501,$C176,'Per Line'!$AK$2:$AK$1501,0))</f>
        <v/>
      </c>
      <c r="N176" s="7">
        <f>IF($V176="","",M176*L176)</f>
        <v/>
      </c>
      <c r="O176">
        <f>IF($V176="","",Settings!$C$6)</f>
        <v/>
      </c>
      <c r="P176" s="7">
        <f>IF($V176="","",SUMIFS('Per Line'!$AC$2:$AC$1501,'Per Line'!$C$2:$C$1501,$C176,'Per Line'!$AK$2:$AK$1501,1))</f>
        <v/>
      </c>
      <c r="Q176" s="7">
        <f>IF($V176="","",P176*O176)</f>
        <v/>
      </c>
      <c r="R176" s="7">
        <f>IF($V176="","",Q176+N176)</f>
        <v/>
      </c>
      <c r="S176" s="7">
        <f>IF($V176="","",T176-R176)</f>
        <v/>
      </c>
      <c r="T176" s="7">
        <f>IF($V176="","",M176+P176)</f>
        <v/>
      </c>
      <c r="U176" s="7">
        <f>IF($V176="","",T176-R176-K176)</f>
        <v/>
      </c>
      <c r="V176" s="13">
        <f>IF(ROWS($V$2:$V176)&lt;=MAX('Per Line'!$AJ$2:$AJ$1501),MATCH(ROWS($V$2:$V176),'Per Line'!$AJ$2:$AJ$1501,0),"")</f>
        <v/>
      </c>
    </row>
    <row r="177">
      <c r="A177" s="12" t="n"/>
      <c r="B177">
        <f>IF($V177="","",INDEX('Per Line'!$A$2:$A$1501,$V177)&amp;"")</f>
        <v/>
      </c>
      <c r="C177">
        <f>IF($V177="","",INDEX('Per Line'!$C$2:$C$1501,$V177)&amp;"")</f>
        <v/>
      </c>
      <c r="D177" s="11">
        <f>IF($V177="","",INDEX('Per Line'!$S$2:$S$1501,$V177))</f>
        <v/>
      </c>
      <c r="E177">
        <f>IF($V177="","",INDEX('Per Line'!$F$2:$F$1501,$V177)&amp;"")</f>
        <v/>
      </c>
      <c r="F177">
        <f>IF($V177="","",INDEX('Per Line'!$L$2:$L$1501,$V177)&amp;"")</f>
        <v/>
      </c>
      <c r="G177">
        <f>IF($V177="","",INDEX('Per Line'!$O$2:$O$1501,$V177)&amp;"")</f>
        <v/>
      </c>
      <c r="H177">
        <f>IF($V177="","",INDEX('Per Line'!$P$2:$P$1501,$V177)&amp;"")</f>
        <v/>
      </c>
      <c r="I177">
        <f>IF($V177="","",INDEX('Per Line'!$N$2:$N$1501,$V177)&amp;"")</f>
        <v/>
      </c>
      <c r="J177">
        <f>IF($V177="","",INDEX('Per Line'!$Q$2:$Q$1501,$V177))</f>
        <v/>
      </c>
      <c r="K177" s="7">
        <f>IF($V177="","",J177*T177/100)</f>
        <v/>
      </c>
      <c r="L177">
        <f>IF($V177="","",Settings!$C$7)</f>
        <v/>
      </c>
      <c r="M177" s="7">
        <f>IF($V177="","",SUMIFS('Per Line'!$AC$2:$AC$1501,'Per Line'!$C$2:$C$1501,$C177,'Per Line'!$AK$2:$AK$1501,0))</f>
        <v/>
      </c>
      <c r="N177" s="7">
        <f>IF($V177="","",M177*L177)</f>
        <v/>
      </c>
      <c r="O177">
        <f>IF($V177="","",Settings!$C$6)</f>
        <v/>
      </c>
      <c r="P177" s="7">
        <f>IF($V177="","",SUMIFS('Per Line'!$AC$2:$AC$1501,'Per Line'!$C$2:$C$1501,$C177,'Per Line'!$AK$2:$AK$1501,1))</f>
        <v/>
      </c>
      <c r="Q177" s="7">
        <f>IF($V177="","",P177*O177)</f>
        <v/>
      </c>
      <c r="R177" s="7">
        <f>IF($V177="","",Q177+N177)</f>
        <v/>
      </c>
      <c r="S177" s="7">
        <f>IF($V177="","",T177-R177)</f>
        <v/>
      </c>
      <c r="T177" s="7">
        <f>IF($V177="","",M177+P177)</f>
        <v/>
      </c>
      <c r="U177" s="7">
        <f>IF($V177="","",T177-R177-K177)</f>
        <v/>
      </c>
      <c r="V177" s="13">
        <f>IF(ROWS($V$2:$V177)&lt;=MAX('Per Line'!$AJ$2:$AJ$1501),MATCH(ROWS($V$2:$V177),'Per Line'!$AJ$2:$AJ$1501,0),"")</f>
        <v/>
      </c>
    </row>
    <row r="178">
      <c r="A178" s="12" t="n"/>
      <c r="B178">
        <f>IF($V178="","",INDEX('Per Line'!$A$2:$A$1501,$V178)&amp;"")</f>
        <v/>
      </c>
      <c r="C178">
        <f>IF($V178="","",INDEX('Per Line'!$C$2:$C$1501,$V178)&amp;"")</f>
        <v/>
      </c>
      <c r="D178" s="11">
        <f>IF($V178="","",INDEX('Per Line'!$S$2:$S$1501,$V178))</f>
        <v/>
      </c>
      <c r="E178">
        <f>IF($V178="","",INDEX('Per Line'!$F$2:$F$1501,$V178)&amp;"")</f>
        <v/>
      </c>
      <c r="F178">
        <f>IF($V178="","",INDEX('Per Line'!$L$2:$L$1501,$V178)&amp;"")</f>
        <v/>
      </c>
      <c r="G178">
        <f>IF($V178="","",INDEX('Per Line'!$O$2:$O$1501,$V178)&amp;"")</f>
        <v/>
      </c>
      <c r="H178">
        <f>IF($V178="","",INDEX('Per Line'!$P$2:$P$1501,$V178)&amp;"")</f>
        <v/>
      </c>
      <c r="I178">
        <f>IF($V178="","",INDEX('Per Line'!$N$2:$N$1501,$V178)&amp;"")</f>
        <v/>
      </c>
      <c r="J178">
        <f>IF($V178="","",INDEX('Per Line'!$Q$2:$Q$1501,$V178))</f>
        <v/>
      </c>
      <c r="K178" s="7">
        <f>IF($V178="","",J178*T178/100)</f>
        <v/>
      </c>
      <c r="L178">
        <f>IF($V178="","",Settings!$C$7)</f>
        <v/>
      </c>
      <c r="M178" s="7">
        <f>IF($V178="","",SUMIFS('Per Line'!$AC$2:$AC$1501,'Per Line'!$C$2:$C$1501,$C178,'Per Line'!$AK$2:$AK$1501,0))</f>
        <v/>
      </c>
      <c r="N178" s="7">
        <f>IF($V178="","",M178*L178)</f>
        <v/>
      </c>
      <c r="O178">
        <f>IF($V178="","",Settings!$C$6)</f>
        <v/>
      </c>
      <c r="P178" s="7">
        <f>IF($V178="","",SUMIFS('Per Line'!$AC$2:$AC$1501,'Per Line'!$C$2:$C$1501,$C178,'Per Line'!$AK$2:$AK$1501,1))</f>
        <v/>
      </c>
      <c r="Q178" s="7">
        <f>IF($V178="","",P178*O178)</f>
        <v/>
      </c>
      <c r="R178" s="7">
        <f>IF($V178="","",Q178+N178)</f>
        <v/>
      </c>
      <c r="S178" s="7">
        <f>IF($V178="","",T178-R178)</f>
        <v/>
      </c>
      <c r="T178" s="7">
        <f>IF($V178="","",M178+P178)</f>
        <v/>
      </c>
      <c r="U178" s="7">
        <f>IF($V178="","",T178-R178-K178)</f>
        <v/>
      </c>
      <c r="V178" s="13">
        <f>IF(ROWS($V$2:$V178)&lt;=MAX('Per Line'!$AJ$2:$AJ$1501),MATCH(ROWS($V$2:$V178),'Per Line'!$AJ$2:$AJ$1501,0),"")</f>
        <v/>
      </c>
    </row>
    <row r="179">
      <c r="A179" s="12" t="n"/>
      <c r="B179">
        <f>IF($V179="","",INDEX('Per Line'!$A$2:$A$1501,$V179)&amp;"")</f>
        <v/>
      </c>
      <c r="C179">
        <f>IF($V179="","",INDEX('Per Line'!$C$2:$C$1501,$V179)&amp;"")</f>
        <v/>
      </c>
      <c r="D179" s="11">
        <f>IF($V179="","",INDEX('Per Line'!$S$2:$S$1501,$V179))</f>
        <v/>
      </c>
      <c r="E179">
        <f>IF($V179="","",INDEX('Per Line'!$F$2:$F$1501,$V179)&amp;"")</f>
        <v/>
      </c>
      <c r="F179">
        <f>IF($V179="","",INDEX('Per Line'!$L$2:$L$1501,$V179)&amp;"")</f>
        <v/>
      </c>
      <c r="G179">
        <f>IF($V179="","",INDEX('Per Line'!$O$2:$O$1501,$V179)&amp;"")</f>
        <v/>
      </c>
      <c r="H179">
        <f>IF($V179="","",INDEX('Per Line'!$P$2:$P$1501,$V179)&amp;"")</f>
        <v/>
      </c>
      <c r="I179">
        <f>IF($V179="","",INDEX('Per Line'!$N$2:$N$1501,$V179)&amp;"")</f>
        <v/>
      </c>
      <c r="J179">
        <f>IF($V179="","",INDEX('Per Line'!$Q$2:$Q$1501,$V179))</f>
        <v/>
      </c>
      <c r="K179" s="7">
        <f>IF($V179="","",J179*T179/100)</f>
        <v/>
      </c>
      <c r="L179">
        <f>IF($V179="","",Settings!$C$7)</f>
        <v/>
      </c>
      <c r="M179" s="7">
        <f>IF($V179="","",SUMIFS('Per Line'!$AC$2:$AC$1501,'Per Line'!$C$2:$C$1501,$C179,'Per Line'!$AK$2:$AK$1501,0))</f>
        <v/>
      </c>
      <c r="N179" s="7">
        <f>IF($V179="","",M179*L179)</f>
        <v/>
      </c>
      <c r="O179">
        <f>IF($V179="","",Settings!$C$6)</f>
        <v/>
      </c>
      <c r="P179" s="7">
        <f>IF($V179="","",SUMIFS('Per Line'!$AC$2:$AC$1501,'Per Line'!$C$2:$C$1501,$C179,'Per Line'!$AK$2:$AK$1501,1))</f>
        <v/>
      </c>
      <c r="Q179" s="7">
        <f>IF($V179="","",P179*O179)</f>
        <v/>
      </c>
      <c r="R179" s="7">
        <f>IF($V179="","",Q179+N179)</f>
        <v/>
      </c>
      <c r="S179" s="7">
        <f>IF($V179="","",T179-R179)</f>
        <v/>
      </c>
      <c r="T179" s="7">
        <f>IF($V179="","",M179+P179)</f>
        <v/>
      </c>
      <c r="U179" s="7">
        <f>IF($V179="","",T179-R179-K179)</f>
        <v/>
      </c>
      <c r="V179" s="13">
        <f>IF(ROWS($V$2:$V179)&lt;=MAX('Per Line'!$AJ$2:$AJ$1501),MATCH(ROWS($V$2:$V179),'Per Line'!$AJ$2:$AJ$1501,0),"")</f>
        <v/>
      </c>
    </row>
    <row r="180">
      <c r="A180" s="12" t="n"/>
      <c r="B180">
        <f>IF($V180="","",INDEX('Per Line'!$A$2:$A$1501,$V180)&amp;"")</f>
        <v/>
      </c>
      <c r="C180">
        <f>IF($V180="","",INDEX('Per Line'!$C$2:$C$1501,$V180)&amp;"")</f>
        <v/>
      </c>
      <c r="D180" s="11">
        <f>IF($V180="","",INDEX('Per Line'!$S$2:$S$1501,$V180))</f>
        <v/>
      </c>
      <c r="E180">
        <f>IF($V180="","",INDEX('Per Line'!$F$2:$F$1501,$V180)&amp;"")</f>
        <v/>
      </c>
      <c r="F180">
        <f>IF($V180="","",INDEX('Per Line'!$L$2:$L$1501,$V180)&amp;"")</f>
        <v/>
      </c>
      <c r="G180">
        <f>IF($V180="","",INDEX('Per Line'!$O$2:$O$1501,$V180)&amp;"")</f>
        <v/>
      </c>
      <c r="H180">
        <f>IF($V180="","",INDEX('Per Line'!$P$2:$P$1501,$V180)&amp;"")</f>
        <v/>
      </c>
      <c r="I180">
        <f>IF($V180="","",INDEX('Per Line'!$N$2:$N$1501,$V180)&amp;"")</f>
        <v/>
      </c>
      <c r="J180">
        <f>IF($V180="","",INDEX('Per Line'!$Q$2:$Q$1501,$V180))</f>
        <v/>
      </c>
      <c r="K180" s="7">
        <f>IF($V180="","",J180*T180/100)</f>
        <v/>
      </c>
      <c r="L180">
        <f>IF($V180="","",Settings!$C$7)</f>
        <v/>
      </c>
      <c r="M180" s="7">
        <f>IF($V180="","",SUMIFS('Per Line'!$AC$2:$AC$1501,'Per Line'!$C$2:$C$1501,$C180,'Per Line'!$AK$2:$AK$1501,0))</f>
        <v/>
      </c>
      <c r="N180" s="7">
        <f>IF($V180="","",M180*L180)</f>
        <v/>
      </c>
      <c r="O180">
        <f>IF($V180="","",Settings!$C$6)</f>
        <v/>
      </c>
      <c r="P180" s="7">
        <f>IF($V180="","",SUMIFS('Per Line'!$AC$2:$AC$1501,'Per Line'!$C$2:$C$1501,$C180,'Per Line'!$AK$2:$AK$1501,1))</f>
        <v/>
      </c>
      <c r="Q180" s="7">
        <f>IF($V180="","",P180*O180)</f>
        <v/>
      </c>
      <c r="R180" s="7">
        <f>IF($V180="","",Q180+N180)</f>
        <v/>
      </c>
      <c r="S180" s="7">
        <f>IF($V180="","",T180-R180)</f>
        <v/>
      </c>
      <c r="T180" s="7">
        <f>IF($V180="","",M180+P180)</f>
        <v/>
      </c>
      <c r="U180" s="7">
        <f>IF($V180="","",T180-R180-K180)</f>
        <v/>
      </c>
      <c r="V180" s="13">
        <f>IF(ROWS($V$2:$V180)&lt;=MAX('Per Line'!$AJ$2:$AJ$1501),MATCH(ROWS($V$2:$V180),'Per Line'!$AJ$2:$AJ$1501,0),"")</f>
        <v/>
      </c>
    </row>
    <row r="181">
      <c r="A181" s="12" t="n"/>
      <c r="B181">
        <f>IF($V181="","",INDEX('Per Line'!$A$2:$A$1501,$V181)&amp;"")</f>
        <v/>
      </c>
      <c r="C181">
        <f>IF($V181="","",INDEX('Per Line'!$C$2:$C$1501,$V181)&amp;"")</f>
        <v/>
      </c>
      <c r="D181" s="11">
        <f>IF($V181="","",INDEX('Per Line'!$S$2:$S$1501,$V181))</f>
        <v/>
      </c>
      <c r="E181">
        <f>IF($V181="","",INDEX('Per Line'!$F$2:$F$1501,$V181)&amp;"")</f>
        <v/>
      </c>
      <c r="F181">
        <f>IF($V181="","",INDEX('Per Line'!$L$2:$L$1501,$V181)&amp;"")</f>
        <v/>
      </c>
      <c r="G181">
        <f>IF($V181="","",INDEX('Per Line'!$O$2:$O$1501,$V181)&amp;"")</f>
        <v/>
      </c>
      <c r="H181">
        <f>IF($V181="","",INDEX('Per Line'!$P$2:$P$1501,$V181)&amp;"")</f>
        <v/>
      </c>
      <c r="I181">
        <f>IF($V181="","",INDEX('Per Line'!$N$2:$N$1501,$V181)&amp;"")</f>
        <v/>
      </c>
      <c r="J181">
        <f>IF($V181="","",INDEX('Per Line'!$Q$2:$Q$1501,$V181))</f>
        <v/>
      </c>
      <c r="K181" s="7">
        <f>IF($V181="","",J181*T181/100)</f>
        <v/>
      </c>
      <c r="L181">
        <f>IF($V181="","",Settings!$C$7)</f>
        <v/>
      </c>
      <c r="M181" s="7">
        <f>IF($V181="","",SUMIFS('Per Line'!$AC$2:$AC$1501,'Per Line'!$C$2:$C$1501,$C181,'Per Line'!$AK$2:$AK$1501,0))</f>
        <v/>
      </c>
      <c r="N181" s="7">
        <f>IF($V181="","",M181*L181)</f>
        <v/>
      </c>
      <c r="O181">
        <f>IF($V181="","",Settings!$C$6)</f>
        <v/>
      </c>
      <c r="P181" s="7">
        <f>IF($V181="","",SUMIFS('Per Line'!$AC$2:$AC$1501,'Per Line'!$C$2:$C$1501,$C181,'Per Line'!$AK$2:$AK$1501,1))</f>
        <v/>
      </c>
      <c r="Q181" s="7">
        <f>IF($V181="","",P181*O181)</f>
        <v/>
      </c>
      <c r="R181" s="7">
        <f>IF($V181="","",Q181+N181)</f>
        <v/>
      </c>
      <c r="S181" s="7">
        <f>IF($V181="","",T181-R181)</f>
        <v/>
      </c>
      <c r="T181" s="7">
        <f>IF($V181="","",M181+P181)</f>
        <v/>
      </c>
      <c r="U181" s="7">
        <f>IF($V181="","",T181-R181-K181)</f>
        <v/>
      </c>
      <c r="V181" s="13">
        <f>IF(ROWS($V$2:$V181)&lt;=MAX('Per Line'!$AJ$2:$AJ$1501),MATCH(ROWS($V$2:$V181),'Per Line'!$AJ$2:$AJ$1501,0),"")</f>
        <v/>
      </c>
    </row>
    <row r="182">
      <c r="A182" s="12" t="n"/>
      <c r="B182">
        <f>IF($V182="","",INDEX('Per Line'!$A$2:$A$1501,$V182)&amp;"")</f>
        <v/>
      </c>
      <c r="C182">
        <f>IF($V182="","",INDEX('Per Line'!$C$2:$C$1501,$V182)&amp;"")</f>
        <v/>
      </c>
      <c r="D182" s="11">
        <f>IF($V182="","",INDEX('Per Line'!$S$2:$S$1501,$V182))</f>
        <v/>
      </c>
      <c r="E182">
        <f>IF($V182="","",INDEX('Per Line'!$F$2:$F$1501,$V182)&amp;"")</f>
        <v/>
      </c>
      <c r="F182">
        <f>IF($V182="","",INDEX('Per Line'!$L$2:$L$1501,$V182)&amp;"")</f>
        <v/>
      </c>
      <c r="G182">
        <f>IF($V182="","",INDEX('Per Line'!$O$2:$O$1501,$V182)&amp;"")</f>
        <v/>
      </c>
      <c r="H182">
        <f>IF($V182="","",INDEX('Per Line'!$P$2:$P$1501,$V182)&amp;"")</f>
        <v/>
      </c>
      <c r="I182">
        <f>IF($V182="","",INDEX('Per Line'!$N$2:$N$1501,$V182)&amp;"")</f>
        <v/>
      </c>
      <c r="J182">
        <f>IF($V182="","",INDEX('Per Line'!$Q$2:$Q$1501,$V182))</f>
        <v/>
      </c>
      <c r="K182" s="7">
        <f>IF($V182="","",J182*T182/100)</f>
        <v/>
      </c>
      <c r="L182">
        <f>IF($V182="","",Settings!$C$7)</f>
        <v/>
      </c>
      <c r="M182" s="7">
        <f>IF($V182="","",SUMIFS('Per Line'!$AC$2:$AC$1501,'Per Line'!$C$2:$C$1501,$C182,'Per Line'!$AK$2:$AK$1501,0))</f>
        <v/>
      </c>
      <c r="N182" s="7">
        <f>IF($V182="","",M182*L182)</f>
        <v/>
      </c>
      <c r="O182">
        <f>IF($V182="","",Settings!$C$6)</f>
        <v/>
      </c>
      <c r="P182" s="7">
        <f>IF($V182="","",SUMIFS('Per Line'!$AC$2:$AC$1501,'Per Line'!$C$2:$C$1501,$C182,'Per Line'!$AK$2:$AK$1501,1))</f>
        <v/>
      </c>
      <c r="Q182" s="7">
        <f>IF($V182="","",P182*O182)</f>
        <v/>
      </c>
      <c r="R182" s="7">
        <f>IF($V182="","",Q182+N182)</f>
        <v/>
      </c>
      <c r="S182" s="7">
        <f>IF($V182="","",T182-R182)</f>
        <v/>
      </c>
      <c r="T182" s="7">
        <f>IF($V182="","",M182+P182)</f>
        <v/>
      </c>
      <c r="U182" s="7">
        <f>IF($V182="","",T182-R182-K182)</f>
        <v/>
      </c>
      <c r="V182" s="13">
        <f>IF(ROWS($V$2:$V182)&lt;=MAX('Per Line'!$AJ$2:$AJ$1501),MATCH(ROWS($V$2:$V182),'Per Line'!$AJ$2:$AJ$1501,0),"")</f>
        <v/>
      </c>
    </row>
    <row r="183">
      <c r="A183" s="12" t="n"/>
      <c r="B183">
        <f>IF($V183="","",INDEX('Per Line'!$A$2:$A$1501,$V183)&amp;"")</f>
        <v/>
      </c>
      <c r="C183">
        <f>IF($V183="","",INDEX('Per Line'!$C$2:$C$1501,$V183)&amp;"")</f>
        <v/>
      </c>
      <c r="D183" s="11">
        <f>IF($V183="","",INDEX('Per Line'!$S$2:$S$1501,$V183))</f>
        <v/>
      </c>
      <c r="E183">
        <f>IF($V183="","",INDEX('Per Line'!$F$2:$F$1501,$V183)&amp;"")</f>
        <v/>
      </c>
      <c r="F183">
        <f>IF($V183="","",INDEX('Per Line'!$L$2:$L$1501,$V183)&amp;"")</f>
        <v/>
      </c>
      <c r="G183">
        <f>IF($V183="","",INDEX('Per Line'!$O$2:$O$1501,$V183)&amp;"")</f>
        <v/>
      </c>
      <c r="H183">
        <f>IF($V183="","",INDEX('Per Line'!$P$2:$P$1501,$V183)&amp;"")</f>
        <v/>
      </c>
      <c r="I183">
        <f>IF($V183="","",INDEX('Per Line'!$N$2:$N$1501,$V183)&amp;"")</f>
        <v/>
      </c>
      <c r="J183">
        <f>IF($V183="","",INDEX('Per Line'!$Q$2:$Q$1501,$V183))</f>
        <v/>
      </c>
      <c r="K183" s="7">
        <f>IF($V183="","",J183*T183/100)</f>
        <v/>
      </c>
      <c r="L183">
        <f>IF($V183="","",Settings!$C$7)</f>
        <v/>
      </c>
      <c r="M183" s="7">
        <f>IF($V183="","",SUMIFS('Per Line'!$AC$2:$AC$1501,'Per Line'!$C$2:$C$1501,$C183,'Per Line'!$AK$2:$AK$1501,0))</f>
        <v/>
      </c>
      <c r="N183" s="7">
        <f>IF($V183="","",M183*L183)</f>
        <v/>
      </c>
      <c r="O183">
        <f>IF($V183="","",Settings!$C$6)</f>
        <v/>
      </c>
      <c r="P183" s="7">
        <f>IF($V183="","",SUMIFS('Per Line'!$AC$2:$AC$1501,'Per Line'!$C$2:$C$1501,$C183,'Per Line'!$AK$2:$AK$1501,1))</f>
        <v/>
      </c>
      <c r="Q183" s="7">
        <f>IF($V183="","",P183*O183)</f>
        <v/>
      </c>
      <c r="R183" s="7">
        <f>IF($V183="","",Q183+N183)</f>
        <v/>
      </c>
      <c r="S183" s="7">
        <f>IF($V183="","",T183-R183)</f>
        <v/>
      </c>
      <c r="T183" s="7">
        <f>IF($V183="","",M183+P183)</f>
        <v/>
      </c>
      <c r="U183" s="7">
        <f>IF($V183="","",T183-R183-K183)</f>
        <v/>
      </c>
      <c r="V183" s="13">
        <f>IF(ROWS($V$2:$V183)&lt;=MAX('Per Line'!$AJ$2:$AJ$1501),MATCH(ROWS($V$2:$V183),'Per Line'!$AJ$2:$AJ$1501,0),"")</f>
        <v/>
      </c>
    </row>
    <row r="184">
      <c r="A184" s="12" t="n"/>
      <c r="B184">
        <f>IF($V184="","",INDEX('Per Line'!$A$2:$A$1501,$V184)&amp;"")</f>
        <v/>
      </c>
      <c r="C184">
        <f>IF($V184="","",INDEX('Per Line'!$C$2:$C$1501,$V184)&amp;"")</f>
        <v/>
      </c>
      <c r="D184" s="11">
        <f>IF($V184="","",INDEX('Per Line'!$S$2:$S$1501,$V184))</f>
        <v/>
      </c>
      <c r="E184">
        <f>IF($V184="","",INDEX('Per Line'!$F$2:$F$1501,$V184)&amp;"")</f>
        <v/>
      </c>
      <c r="F184">
        <f>IF($V184="","",INDEX('Per Line'!$L$2:$L$1501,$V184)&amp;"")</f>
        <v/>
      </c>
      <c r="G184">
        <f>IF($V184="","",INDEX('Per Line'!$O$2:$O$1501,$V184)&amp;"")</f>
        <v/>
      </c>
      <c r="H184">
        <f>IF($V184="","",INDEX('Per Line'!$P$2:$P$1501,$V184)&amp;"")</f>
        <v/>
      </c>
      <c r="I184">
        <f>IF($V184="","",INDEX('Per Line'!$N$2:$N$1501,$V184)&amp;"")</f>
        <v/>
      </c>
      <c r="J184">
        <f>IF($V184="","",INDEX('Per Line'!$Q$2:$Q$1501,$V184))</f>
        <v/>
      </c>
      <c r="K184" s="7">
        <f>IF($V184="","",J184*T184/100)</f>
        <v/>
      </c>
      <c r="L184">
        <f>IF($V184="","",Settings!$C$7)</f>
        <v/>
      </c>
      <c r="M184" s="7">
        <f>IF($V184="","",SUMIFS('Per Line'!$AC$2:$AC$1501,'Per Line'!$C$2:$C$1501,$C184,'Per Line'!$AK$2:$AK$1501,0))</f>
        <v/>
      </c>
      <c r="N184" s="7">
        <f>IF($V184="","",M184*L184)</f>
        <v/>
      </c>
      <c r="O184">
        <f>IF($V184="","",Settings!$C$6)</f>
        <v/>
      </c>
      <c r="P184" s="7">
        <f>IF($V184="","",SUMIFS('Per Line'!$AC$2:$AC$1501,'Per Line'!$C$2:$C$1501,$C184,'Per Line'!$AK$2:$AK$1501,1))</f>
        <v/>
      </c>
      <c r="Q184" s="7">
        <f>IF($V184="","",P184*O184)</f>
        <v/>
      </c>
      <c r="R184" s="7">
        <f>IF($V184="","",Q184+N184)</f>
        <v/>
      </c>
      <c r="S184" s="7">
        <f>IF($V184="","",T184-R184)</f>
        <v/>
      </c>
      <c r="T184" s="7">
        <f>IF($V184="","",M184+P184)</f>
        <v/>
      </c>
      <c r="U184" s="7">
        <f>IF($V184="","",T184-R184-K184)</f>
        <v/>
      </c>
      <c r="V184" s="13">
        <f>IF(ROWS($V$2:$V184)&lt;=MAX('Per Line'!$AJ$2:$AJ$1501),MATCH(ROWS($V$2:$V184),'Per Line'!$AJ$2:$AJ$1501,0),"")</f>
        <v/>
      </c>
    </row>
    <row r="185">
      <c r="A185" s="12" t="n"/>
      <c r="B185">
        <f>IF($V185="","",INDEX('Per Line'!$A$2:$A$1501,$V185)&amp;"")</f>
        <v/>
      </c>
      <c r="C185">
        <f>IF($V185="","",INDEX('Per Line'!$C$2:$C$1501,$V185)&amp;"")</f>
        <v/>
      </c>
      <c r="D185" s="11">
        <f>IF($V185="","",INDEX('Per Line'!$S$2:$S$1501,$V185))</f>
        <v/>
      </c>
      <c r="E185">
        <f>IF($V185="","",INDEX('Per Line'!$F$2:$F$1501,$V185)&amp;"")</f>
        <v/>
      </c>
      <c r="F185">
        <f>IF($V185="","",INDEX('Per Line'!$L$2:$L$1501,$V185)&amp;"")</f>
        <v/>
      </c>
      <c r="G185">
        <f>IF($V185="","",INDEX('Per Line'!$O$2:$O$1501,$V185)&amp;"")</f>
        <v/>
      </c>
      <c r="H185">
        <f>IF($V185="","",INDEX('Per Line'!$P$2:$P$1501,$V185)&amp;"")</f>
        <v/>
      </c>
      <c r="I185">
        <f>IF($V185="","",INDEX('Per Line'!$N$2:$N$1501,$V185)&amp;"")</f>
        <v/>
      </c>
      <c r="J185">
        <f>IF($V185="","",INDEX('Per Line'!$Q$2:$Q$1501,$V185))</f>
        <v/>
      </c>
      <c r="K185" s="7">
        <f>IF($V185="","",J185*T185/100)</f>
        <v/>
      </c>
      <c r="L185">
        <f>IF($V185="","",Settings!$C$7)</f>
        <v/>
      </c>
      <c r="M185" s="7">
        <f>IF($V185="","",SUMIFS('Per Line'!$AC$2:$AC$1501,'Per Line'!$C$2:$C$1501,$C185,'Per Line'!$AK$2:$AK$1501,0))</f>
        <v/>
      </c>
      <c r="N185" s="7">
        <f>IF($V185="","",M185*L185)</f>
        <v/>
      </c>
      <c r="O185">
        <f>IF($V185="","",Settings!$C$6)</f>
        <v/>
      </c>
      <c r="P185" s="7">
        <f>IF($V185="","",SUMIFS('Per Line'!$AC$2:$AC$1501,'Per Line'!$C$2:$C$1501,$C185,'Per Line'!$AK$2:$AK$1501,1))</f>
        <v/>
      </c>
      <c r="Q185" s="7">
        <f>IF($V185="","",P185*O185)</f>
        <v/>
      </c>
      <c r="R185" s="7">
        <f>IF($V185="","",Q185+N185)</f>
        <v/>
      </c>
      <c r="S185" s="7">
        <f>IF($V185="","",T185-R185)</f>
        <v/>
      </c>
      <c r="T185" s="7">
        <f>IF($V185="","",M185+P185)</f>
        <v/>
      </c>
      <c r="U185" s="7">
        <f>IF($V185="","",T185-R185-K185)</f>
        <v/>
      </c>
      <c r="V185" s="13">
        <f>IF(ROWS($V$2:$V185)&lt;=MAX('Per Line'!$AJ$2:$AJ$1501),MATCH(ROWS($V$2:$V185),'Per Line'!$AJ$2:$AJ$1501,0),"")</f>
        <v/>
      </c>
    </row>
    <row r="186">
      <c r="A186" s="12" t="n"/>
      <c r="B186">
        <f>IF($V186="","",INDEX('Per Line'!$A$2:$A$1501,$V186)&amp;"")</f>
        <v/>
      </c>
      <c r="C186">
        <f>IF($V186="","",INDEX('Per Line'!$C$2:$C$1501,$V186)&amp;"")</f>
        <v/>
      </c>
      <c r="D186" s="11">
        <f>IF($V186="","",INDEX('Per Line'!$S$2:$S$1501,$V186))</f>
        <v/>
      </c>
      <c r="E186">
        <f>IF($V186="","",INDEX('Per Line'!$F$2:$F$1501,$V186)&amp;"")</f>
        <v/>
      </c>
      <c r="F186">
        <f>IF($V186="","",INDEX('Per Line'!$L$2:$L$1501,$V186)&amp;"")</f>
        <v/>
      </c>
      <c r="G186">
        <f>IF($V186="","",INDEX('Per Line'!$O$2:$O$1501,$V186)&amp;"")</f>
        <v/>
      </c>
      <c r="H186">
        <f>IF($V186="","",INDEX('Per Line'!$P$2:$P$1501,$V186)&amp;"")</f>
        <v/>
      </c>
      <c r="I186">
        <f>IF($V186="","",INDEX('Per Line'!$N$2:$N$1501,$V186)&amp;"")</f>
        <v/>
      </c>
      <c r="J186">
        <f>IF($V186="","",INDEX('Per Line'!$Q$2:$Q$1501,$V186))</f>
        <v/>
      </c>
      <c r="K186" s="7">
        <f>IF($V186="","",J186*T186/100)</f>
        <v/>
      </c>
      <c r="L186">
        <f>IF($V186="","",Settings!$C$7)</f>
        <v/>
      </c>
      <c r="M186" s="7">
        <f>IF($V186="","",SUMIFS('Per Line'!$AC$2:$AC$1501,'Per Line'!$C$2:$C$1501,$C186,'Per Line'!$AK$2:$AK$1501,0))</f>
        <v/>
      </c>
      <c r="N186" s="7">
        <f>IF($V186="","",M186*L186)</f>
        <v/>
      </c>
      <c r="O186">
        <f>IF($V186="","",Settings!$C$6)</f>
        <v/>
      </c>
      <c r="P186" s="7">
        <f>IF($V186="","",SUMIFS('Per Line'!$AC$2:$AC$1501,'Per Line'!$C$2:$C$1501,$C186,'Per Line'!$AK$2:$AK$1501,1))</f>
        <v/>
      </c>
      <c r="Q186" s="7">
        <f>IF($V186="","",P186*O186)</f>
        <v/>
      </c>
      <c r="R186" s="7">
        <f>IF($V186="","",Q186+N186)</f>
        <v/>
      </c>
      <c r="S186" s="7">
        <f>IF($V186="","",T186-R186)</f>
        <v/>
      </c>
      <c r="T186" s="7">
        <f>IF($V186="","",M186+P186)</f>
        <v/>
      </c>
      <c r="U186" s="7">
        <f>IF($V186="","",T186-R186-K186)</f>
        <v/>
      </c>
      <c r="V186" s="13">
        <f>IF(ROWS($V$2:$V186)&lt;=MAX('Per Line'!$AJ$2:$AJ$1501),MATCH(ROWS($V$2:$V186),'Per Line'!$AJ$2:$AJ$1501,0),"")</f>
        <v/>
      </c>
    </row>
    <row r="187">
      <c r="A187" s="12" t="n"/>
      <c r="B187">
        <f>IF($V187="","",INDEX('Per Line'!$A$2:$A$1501,$V187)&amp;"")</f>
        <v/>
      </c>
      <c r="C187">
        <f>IF($V187="","",INDEX('Per Line'!$C$2:$C$1501,$V187)&amp;"")</f>
        <v/>
      </c>
      <c r="D187" s="11">
        <f>IF($V187="","",INDEX('Per Line'!$S$2:$S$1501,$V187))</f>
        <v/>
      </c>
      <c r="E187">
        <f>IF($V187="","",INDEX('Per Line'!$F$2:$F$1501,$V187)&amp;"")</f>
        <v/>
      </c>
      <c r="F187">
        <f>IF($V187="","",INDEX('Per Line'!$L$2:$L$1501,$V187)&amp;"")</f>
        <v/>
      </c>
      <c r="G187">
        <f>IF($V187="","",INDEX('Per Line'!$O$2:$O$1501,$V187)&amp;"")</f>
        <v/>
      </c>
      <c r="H187">
        <f>IF($V187="","",INDEX('Per Line'!$P$2:$P$1501,$V187)&amp;"")</f>
        <v/>
      </c>
      <c r="I187">
        <f>IF($V187="","",INDEX('Per Line'!$N$2:$N$1501,$V187)&amp;"")</f>
        <v/>
      </c>
      <c r="J187">
        <f>IF($V187="","",INDEX('Per Line'!$Q$2:$Q$1501,$V187))</f>
        <v/>
      </c>
      <c r="K187" s="7">
        <f>IF($V187="","",J187*T187/100)</f>
        <v/>
      </c>
      <c r="L187">
        <f>IF($V187="","",Settings!$C$7)</f>
        <v/>
      </c>
      <c r="M187" s="7">
        <f>IF($V187="","",SUMIFS('Per Line'!$AC$2:$AC$1501,'Per Line'!$C$2:$C$1501,$C187,'Per Line'!$AK$2:$AK$1501,0))</f>
        <v/>
      </c>
      <c r="N187" s="7">
        <f>IF($V187="","",M187*L187)</f>
        <v/>
      </c>
      <c r="O187">
        <f>IF($V187="","",Settings!$C$6)</f>
        <v/>
      </c>
      <c r="P187" s="7">
        <f>IF($V187="","",SUMIFS('Per Line'!$AC$2:$AC$1501,'Per Line'!$C$2:$C$1501,$C187,'Per Line'!$AK$2:$AK$1501,1))</f>
        <v/>
      </c>
      <c r="Q187" s="7">
        <f>IF($V187="","",P187*O187)</f>
        <v/>
      </c>
      <c r="R187" s="7">
        <f>IF($V187="","",Q187+N187)</f>
        <v/>
      </c>
      <c r="S187" s="7">
        <f>IF($V187="","",T187-R187)</f>
        <v/>
      </c>
      <c r="T187" s="7">
        <f>IF($V187="","",M187+P187)</f>
        <v/>
      </c>
      <c r="U187" s="7">
        <f>IF($V187="","",T187-R187-K187)</f>
        <v/>
      </c>
      <c r="V187" s="13">
        <f>IF(ROWS($V$2:$V187)&lt;=MAX('Per Line'!$AJ$2:$AJ$1501),MATCH(ROWS($V$2:$V187),'Per Line'!$AJ$2:$AJ$1501,0),"")</f>
        <v/>
      </c>
    </row>
    <row r="188">
      <c r="A188" s="12" t="n"/>
      <c r="B188">
        <f>IF($V188="","",INDEX('Per Line'!$A$2:$A$1501,$V188)&amp;"")</f>
        <v/>
      </c>
      <c r="C188">
        <f>IF($V188="","",INDEX('Per Line'!$C$2:$C$1501,$V188)&amp;"")</f>
        <v/>
      </c>
      <c r="D188" s="11">
        <f>IF($V188="","",INDEX('Per Line'!$S$2:$S$1501,$V188))</f>
        <v/>
      </c>
      <c r="E188">
        <f>IF($V188="","",INDEX('Per Line'!$F$2:$F$1501,$V188)&amp;"")</f>
        <v/>
      </c>
      <c r="F188">
        <f>IF($V188="","",INDEX('Per Line'!$L$2:$L$1501,$V188)&amp;"")</f>
        <v/>
      </c>
      <c r="G188">
        <f>IF($V188="","",INDEX('Per Line'!$O$2:$O$1501,$V188)&amp;"")</f>
        <v/>
      </c>
      <c r="H188">
        <f>IF($V188="","",INDEX('Per Line'!$P$2:$P$1501,$V188)&amp;"")</f>
        <v/>
      </c>
      <c r="I188">
        <f>IF($V188="","",INDEX('Per Line'!$N$2:$N$1501,$V188)&amp;"")</f>
        <v/>
      </c>
      <c r="J188">
        <f>IF($V188="","",INDEX('Per Line'!$Q$2:$Q$1501,$V188))</f>
        <v/>
      </c>
      <c r="K188" s="7">
        <f>IF($V188="","",J188*T188/100)</f>
        <v/>
      </c>
      <c r="L188">
        <f>IF($V188="","",Settings!$C$7)</f>
        <v/>
      </c>
      <c r="M188" s="7">
        <f>IF($V188="","",SUMIFS('Per Line'!$AC$2:$AC$1501,'Per Line'!$C$2:$C$1501,$C188,'Per Line'!$AK$2:$AK$1501,0))</f>
        <v/>
      </c>
      <c r="N188" s="7">
        <f>IF($V188="","",M188*L188)</f>
        <v/>
      </c>
      <c r="O188">
        <f>IF($V188="","",Settings!$C$6)</f>
        <v/>
      </c>
      <c r="P188" s="7">
        <f>IF($V188="","",SUMIFS('Per Line'!$AC$2:$AC$1501,'Per Line'!$C$2:$C$1501,$C188,'Per Line'!$AK$2:$AK$1501,1))</f>
        <v/>
      </c>
      <c r="Q188" s="7">
        <f>IF($V188="","",P188*O188)</f>
        <v/>
      </c>
      <c r="R188" s="7">
        <f>IF($V188="","",Q188+N188)</f>
        <v/>
      </c>
      <c r="S188" s="7">
        <f>IF($V188="","",T188-R188)</f>
        <v/>
      </c>
      <c r="T188" s="7">
        <f>IF($V188="","",M188+P188)</f>
        <v/>
      </c>
      <c r="U188" s="7">
        <f>IF($V188="","",T188-R188-K188)</f>
        <v/>
      </c>
      <c r="V188" s="13">
        <f>IF(ROWS($V$2:$V188)&lt;=MAX('Per Line'!$AJ$2:$AJ$1501),MATCH(ROWS($V$2:$V188),'Per Line'!$AJ$2:$AJ$1501,0),"")</f>
        <v/>
      </c>
    </row>
    <row r="189">
      <c r="A189" s="12" t="n"/>
      <c r="B189">
        <f>IF($V189="","",INDEX('Per Line'!$A$2:$A$1501,$V189)&amp;"")</f>
        <v/>
      </c>
      <c r="C189">
        <f>IF($V189="","",INDEX('Per Line'!$C$2:$C$1501,$V189)&amp;"")</f>
        <v/>
      </c>
      <c r="D189" s="11">
        <f>IF($V189="","",INDEX('Per Line'!$S$2:$S$1501,$V189))</f>
        <v/>
      </c>
      <c r="E189">
        <f>IF($V189="","",INDEX('Per Line'!$F$2:$F$1501,$V189)&amp;"")</f>
        <v/>
      </c>
      <c r="F189">
        <f>IF($V189="","",INDEX('Per Line'!$L$2:$L$1501,$V189)&amp;"")</f>
        <v/>
      </c>
      <c r="G189">
        <f>IF($V189="","",INDEX('Per Line'!$O$2:$O$1501,$V189)&amp;"")</f>
        <v/>
      </c>
      <c r="H189">
        <f>IF($V189="","",INDEX('Per Line'!$P$2:$P$1501,$V189)&amp;"")</f>
        <v/>
      </c>
      <c r="I189">
        <f>IF($V189="","",INDEX('Per Line'!$N$2:$N$1501,$V189)&amp;"")</f>
        <v/>
      </c>
      <c r="J189">
        <f>IF($V189="","",INDEX('Per Line'!$Q$2:$Q$1501,$V189))</f>
        <v/>
      </c>
      <c r="K189" s="7">
        <f>IF($V189="","",J189*T189/100)</f>
        <v/>
      </c>
      <c r="L189">
        <f>IF($V189="","",Settings!$C$7)</f>
        <v/>
      </c>
      <c r="M189" s="7">
        <f>IF($V189="","",SUMIFS('Per Line'!$AC$2:$AC$1501,'Per Line'!$C$2:$C$1501,$C189,'Per Line'!$AK$2:$AK$1501,0))</f>
        <v/>
      </c>
      <c r="N189" s="7">
        <f>IF($V189="","",M189*L189)</f>
        <v/>
      </c>
      <c r="O189">
        <f>IF($V189="","",Settings!$C$6)</f>
        <v/>
      </c>
      <c r="P189" s="7">
        <f>IF($V189="","",SUMIFS('Per Line'!$AC$2:$AC$1501,'Per Line'!$C$2:$C$1501,$C189,'Per Line'!$AK$2:$AK$1501,1))</f>
        <v/>
      </c>
      <c r="Q189" s="7">
        <f>IF($V189="","",P189*O189)</f>
        <v/>
      </c>
      <c r="R189" s="7">
        <f>IF($V189="","",Q189+N189)</f>
        <v/>
      </c>
      <c r="S189" s="7">
        <f>IF($V189="","",T189-R189)</f>
        <v/>
      </c>
      <c r="T189" s="7">
        <f>IF($V189="","",M189+P189)</f>
        <v/>
      </c>
      <c r="U189" s="7">
        <f>IF($V189="","",T189-R189-K189)</f>
        <v/>
      </c>
      <c r="V189" s="13">
        <f>IF(ROWS($V$2:$V189)&lt;=MAX('Per Line'!$AJ$2:$AJ$1501),MATCH(ROWS($V$2:$V189),'Per Line'!$AJ$2:$AJ$1501,0),"")</f>
        <v/>
      </c>
    </row>
    <row r="190">
      <c r="A190" s="12" t="n"/>
      <c r="B190">
        <f>IF($V190="","",INDEX('Per Line'!$A$2:$A$1501,$V190)&amp;"")</f>
        <v/>
      </c>
      <c r="C190">
        <f>IF($V190="","",INDEX('Per Line'!$C$2:$C$1501,$V190)&amp;"")</f>
        <v/>
      </c>
      <c r="D190" s="11">
        <f>IF($V190="","",INDEX('Per Line'!$S$2:$S$1501,$V190))</f>
        <v/>
      </c>
      <c r="E190">
        <f>IF($V190="","",INDEX('Per Line'!$F$2:$F$1501,$V190)&amp;"")</f>
        <v/>
      </c>
      <c r="F190">
        <f>IF($V190="","",INDEX('Per Line'!$L$2:$L$1501,$V190)&amp;"")</f>
        <v/>
      </c>
      <c r="G190">
        <f>IF($V190="","",INDEX('Per Line'!$O$2:$O$1501,$V190)&amp;"")</f>
        <v/>
      </c>
      <c r="H190">
        <f>IF($V190="","",INDEX('Per Line'!$P$2:$P$1501,$V190)&amp;"")</f>
        <v/>
      </c>
      <c r="I190">
        <f>IF($V190="","",INDEX('Per Line'!$N$2:$N$1501,$V190)&amp;"")</f>
        <v/>
      </c>
      <c r="J190">
        <f>IF($V190="","",INDEX('Per Line'!$Q$2:$Q$1501,$V190))</f>
        <v/>
      </c>
      <c r="K190" s="7">
        <f>IF($V190="","",J190*T190/100)</f>
        <v/>
      </c>
      <c r="L190">
        <f>IF($V190="","",Settings!$C$7)</f>
        <v/>
      </c>
      <c r="M190" s="7">
        <f>IF($V190="","",SUMIFS('Per Line'!$AC$2:$AC$1501,'Per Line'!$C$2:$C$1501,$C190,'Per Line'!$AK$2:$AK$1501,0))</f>
        <v/>
      </c>
      <c r="N190" s="7">
        <f>IF($V190="","",M190*L190)</f>
        <v/>
      </c>
      <c r="O190">
        <f>IF($V190="","",Settings!$C$6)</f>
        <v/>
      </c>
      <c r="P190" s="7">
        <f>IF($V190="","",SUMIFS('Per Line'!$AC$2:$AC$1501,'Per Line'!$C$2:$C$1501,$C190,'Per Line'!$AK$2:$AK$1501,1))</f>
        <v/>
      </c>
      <c r="Q190" s="7">
        <f>IF($V190="","",P190*O190)</f>
        <v/>
      </c>
      <c r="R190" s="7">
        <f>IF($V190="","",Q190+N190)</f>
        <v/>
      </c>
      <c r="S190" s="7">
        <f>IF($V190="","",T190-R190)</f>
        <v/>
      </c>
      <c r="T190" s="7">
        <f>IF($V190="","",M190+P190)</f>
        <v/>
      </c>
      <c r="U190" s="7">
        <f>IF($V190="","",T190-R190-K190)</f>
        <v/>
      </c>
      <c r="V190" s="13">
        <f>IF(ROWS($V$2:$V190)&lt;=MAX('Per Line'!$AJ$2:$AJ$1501),MATCH(ROWS($V$2:$V190),'Per Line'!$AJ$2:$AJ$1501,0),"")</f>
        <v/>
      </c>
    </row>
    <row r="191">
      <c r="A191" s="12" t="n"/>
      <c r="B191">
        <f>IF($V191="","",INDEX('Per Line'!$A$2:$A$1501,$V191)&amp;"")</f>
        <v/>
      </c>
      <c r="C191">
        <f>IF($V191="","",INDEX('Per Line'!$C$2:$C$1501,$V191)&amp;"")</f>
        <v/>
      </c>
      <c r="D191" s="11">
        <f>IF($V191="","",INDEX('Per Line'!$S$2:$S$1501,$V191))</f>
        <v/>
      </c>
      <c r="E191">
        <f>IF($V191="","",INDEX('Per Line'!$F$2:$F$1501,$V191)&amp;"")</f>
        <v/>
      </c>
      <c r="F191">
        <f>IF($V191="","",INDEX('Per Line'!$L$2:$L$1501,$V191)&amp;"")</f>
        <v/>
      </c>
      <c r="G191">
        <f>IF($V191="","",INDEX('Per Line'!$O$2:$O$1501,$V191)&amp;"")</f>
        <v/>
      </c>
      <c r="H191">
        <f>IF($V191="","",INDEX('Per Line'!$P$2:$P$1501,$V191)&amp;"")</f>
        <v/>
      </c>
      <c r="I191">
        <f>IF($V191="","",INDEX('Per Line'!$N$2:$N$1501,$V191)&amp;"")</f>
        <v/>
      </c>
      <c r="J191">
        <f>IF($V191="","",INDEX('Per Line'!$Q$2:$Q$1501,$V191))</f>
        <v/>
      </c>
      <c r="K191" s="7">
        <f>IF($V191="","",J191*T191/100)</f>
        <v/>
      </c>
      <c r="L191">
        <f>IF($V191="","",Settings!$C$7)</f>
        <v/>
      </c>
      <c r="M191" s="7">
        <f>IF($V191="","",SUMIFS('Per Line'!$AC$2:$AC$1501,'Per Line'!$C$2:$C$1501,$C191,'Per Line'!$AK$2:$AK$1501,0))</f>
        <v/>
      </c>
      <c r="N191" s="7">
        <f>IF($V191="","",M191*L191)</f>
        <v/>
      </c>
      <c r="O191">
        <f>IF($V191="","",Settings!$C$6)</f>
        <v/>
      </c>
      <c r="P191" s="7">
        <f>IF($V191="","",SUMIFS('Per Line'!$AC$2:$AC$1501,'Per Line'!$C$2:$C$1501,$C191,'Per Line'!$AK$2:$AK$1501,1))</f>
        <v/>
      </c>
      <c r="Q191" s="7">
        <f>IF($V191="","",P191*O191)</f>
        <v/>
      </c>
      <c r="R191" s="7">
        <f>IF($V191="","",Q191+N191)</f>
        <v/>
      </c>
      <c r="S191" s="7">
        <f>IF($V191="","",T191-R191)</f>
        <v/>
      </c>
      <c r="T191" s="7">
        <f>IF($V191="","",M191+P191)</f>
        <v/>
      </c>
      <c r="U191" s="7">
        <f>IF($V191="","",T191-R191-K191)</f>
        <v/>
      </c>
      <c r="V191" s="13">
        <f>IF(ROWS($V$2:$V191)&lt;=MAX('Per Line'!$AJ$2:$AJ$1501),MATCH(ROWS($V$2:$V191),'Per Line'!$AJ$2:$AJ$1501,0),"")</f>
        <v/>
      </c>
    </row>
    <row r="192">
      <c r="A192" s="12" t="n"/>
      <c r="B192">
        <f>IF($V192="","",INDEX('Per Line'!$A$2:$A$1501,$V192)&amp;"")</f>
        <v/>
      </c>
      <c r="C192">
        <f>IF($V192="","",INDEX('Per Line'!$C$2:$C$1501,$V192)&amp;"")</f>
        <v/>
      </c>
      <c r="D192" s="11">
        <f>IF($V192="","",INDEX('Per Line'!$S$2:$S$1501,$V192))</f>
        <v/>
      </c>
      <c r="E192">
        <f>IF($V192="","",INDEX('Per Line'!$F$2:$F$1501,$V192)&amp;"")</f>
        <v/>
      </c>
      <c r="F192">
        <f>IF($V192="","",INDEX('Per Line'!$L$2:$L$1501,$V192)&amp;"")</f>
        <v/>
      </c>
      <c r="G192">
        <f>IF($V192="","",INDEX('Per Line'!$O$2:$O$1501,$V192)&amp;"")</f>
        <v/>
      </c>
      <c r="H192">
        <f>IF($V192="","",INDEX('Per Line'!$P$2:$P$1501,$V192)&amp;"")</f>
        <v/>
      </c>
      <c r="I192">
        <f>IF($V192="","",INDEX('Per Line'!$N$2:$N$1501,$V192)&amp;"")</f>
        <v/>
      </c>
      <c r="J192">
        <f>IF($V192="","",INDEX('Per Line'!$Q$2:$Q$1501,$V192))</f>
        <v/>
      </c>
      <c r="K192" s="7">
        <f>IF($V192="","",J192*T192/100)</f>
        <v/>
      </c>
      <c r="L192">
        <f>IF($V192="","",Settings!$C$7)</f>
        <v/>
      </c>
      <c r="M192" s="7">
        <f>IF($V192="","",SUMIFS('Per Line'!$AC$2:$AC$1501,'Per Line'!$C$2:$C$1501,$C192,'Per Line'!$AK$2:$AK$1501,0))</f>
        <v/>
      </c>
      <c r="N192" s="7">
        <f>IF($V192="","",M192*L192)</f>
        <v/>
      </c>
      <c r="O192">
        <f>IF($V192="","",Settings!$C$6)</f>
        <v/>
      </c>
      <c r="P192" s="7">
        <f>IF($V192="","",SUMIFS('Per Line'!$AC$2:$AC$1501,'Per Line'!$C$2:$C$1501,$C192,'Per Line'!$AK$2:$AK$1501,1))</f>
        <v/>
      </c>
      <c r="Q192" s="7">
        <f>IF($V192="","",P192*O192)</f>
        <v/>
      </c>
      <c r="R192" s="7">
        <f>IF($V192="","",Q192+N192)</f>
        <v/>
      </c>
      <c r="S192" s="7">
        <f>IF($V192="","",T192-R192)</f>
        <v/>
      </c>
      <c r="T192" s="7">
        <f>IF($V192="","",M192+P192)</f>
        <v/>
      </c>
      <c r="U192" s="7">
        <f>IF($V192="","",T192-R192-K192)</f>
        <v/>
      </c>
      <c r="V192" s="13">
        <f>IF(ROWS($V$2:$V192)&lt;=MAX('Per Line'!$AJ$2:$AJ$1501),MATCH(ROWS($V$2:$V192),'Per Line'!$AJ$2:$AJ$1501,0),"")</f>
        <v/>
      </c>
    </row>
    <row r="193">
      <c r="A193" s="12" t="n"/>
      <c r="B193">
        <f>IF($V193="","",INDEX('Per Line'!$A$2:$A$1501,$V193)&amp;"")</f>
        <v/>
      </c>
      <c r="C193">
        <f>IF($V193="","",INDEX('Per Line'!$C$2:$C$1501,$V193)&amp;"")</f>
        <v/>
      </c>
      <c r="D193" s="11">
        <f>IF($V193="","",INDEX('Per Line'!$S$2:$S$1501,$V193))</f>
        <v/>
      </c>
      <c r="E193">
        <f>IF($V193="","",INDEX('Per Line'!$F$2:$F$1501,$V193)&amp;"")</f>
        <v/>
      </c>
      <c r="F193">
        <f>IF($V193="","",INDEX('Per Line'!$L$2:$L$1501,$V193)&amp;"")</f>
        <v/>
      </c>
      <c r="G193">
        <f>IF($V193="","",INDEX('Per Line'!$O$2:$O$1501,$V193)&amp;"")</f>
        <v/>
      </c>
      <c r="H193">
        <f>IF($V193="","",INDEX('Per Line'!$P$2:$P$1501,$V193)&amp;"")</f>
        <v/>
      </c>
      <c r="I193">
        <f>IF($V193="","",INDEX('Per Line'!$N$2:$N$1501,$V193)&amp;"")</f>
        <v/>
      </c>
      <c r="J193">
        <f>IF($V193="","",INDEX('Per Line'!$Q$2:$Q$1501,$V193))</f>
        <v/>
      </c>
      <c r="K193" s="7">
        <f>IF($V193="","",J193*T193/100)</f>
        <v/>
      </c>
      <c r="L193">
        <f>IF($V193="","",Settings!$C$7)</f>
        <v/>
      </c>
      <c r="M193" s="7">
        <f>IF($V193="","",SUMIFS('Per Line'!$AC$2:$AC$1501,'Per Line'!$C$2:$C$1501,$C193,'Per Line'!$AK$2:$AK$1501,0))</f>
        <v/>
      </c>
      <c r="N193" s="7">
        <f>IF($V193="","",M193*L193)</f>
        <v/>
      </c>
      <c r="O193">
        <f>IF($V193="","",Settings!$C$6)</f>
        <v/>
      </c>
      <c r="P193" s="7">
        <f>IF($V193="","",SUMIFS('Per Line'!$AC$2:$AC$1501,'Per Line'!$C$2:$C$1501,$C193,'Per Line'!$AK$2:$AK$1501,1))</f>
        <v/>
      </c>
      <c r="Q193" s="7">
        <f>IF($V193="","",P193*O193)</f>
        <v/>
      </c>
      <c r="R193" s="7">
        <f>IF($V193="","",Q193+N193)</f>
        <v/>
      </c>
      <c r="S193" s="7">
        <f>IF($V193="","",T193-R193)</f>
        <v/>
      </c>
      <c r="T193" s="7">
        <f>IF($V193="","",M193+P193)</f>
        <v/>
      </c>
      <c r="U193" s="7">
        <f>IF($V193="","",T193-R193-K193)</f>
        <v/>
      </c>
      <c r="V193" s="13">
        <f>IF(ROWS($V$2:$V193)&lt;=MAX('Per Line'!$AJ$2:$AJ$1501),MATCH(ROWS($V$2:$V193),'Per Line'!$AJ$2:$AJ$1501,0),"")</f>
        <v/>
      </c>
    </row>
    <row r="194">
      <c r="A194" s="12" t="n"/>
      <c r="B194">
        <f>IF($V194="","",INDEX('Per Line'!$A$2:$A$1501,$V194)&amp;"")</f>
        <v/>
      </c>
      <c r="C194">
        <f>IF($V194="","",INDEX('Per Line'!$C$2:$C$1501,$V194)&amp;"")</f>
        <v/>
      </c>
      <c r="D194" s="11">
        <f>IF($V194="","",INDEX('Per Line'!$S$2:$S$1501,$V194))</f>
        <v/>
      </c>
      <c r="E194">
        <f>IF($V194="","",INDEX('Per Line'!$F$2:$F$1501,$V194)&amp;"")</f>
        <v/>
      </c>
      <c r="F194">
        <f>IF($V194="","",INDEX('Per Line'!$L$2:$L$1501,$V194)&amp;"")</f>
        <v/>
      </c>
      <c r="G194">
        <f>IF($V194="","",INDEX('Per Line'!$O$2:$O$1501,$V194)&amp;"")</f>
        <v/>
      </c>
      <c r="H194">
        <f>IF($V194="","",INDEX('Per Line'!$P$2:$P$1501,$V194)&amp;"")</f>
        <v/>
      </c>
      <c r="I194">
        <f>IF($V194="","",INDEX('Per Line'!$N$2:$N$1501,$V194)&amp;"")</f>
        <v/>
      </c>
      <c r="J194">
        <f>IF($V194="","",INDEX('Per Line'!$Q$2:$Q$1501,$V194))</f>
        <v/>
      </c>
      <c r="K194" s="7">
        <f>IF($V194="","",J194*T194/100)</f>
        <v/>
      </c>
      <c r="L194">
        <f>IF($V194="","",Settings!$C$7)</f>
        <v/>
      </c>
      <c r="M194" s="7">
        <f>IF($V194="","",SUMIFS('Per Line'!$AC$2:$AC$1501,'Per Line'!$C$2:$C$1501,$C194,'Per Line'!$AK$2:$AK$1501,0))</f>
        <v/>
      </c>
      <c r="N194" s="7">
        <f>IF($V194="","",M194*L194)</f>
        <v/>
      </c>
      <c r="O194">
        <f>IF($V194="","",Settings!$C$6)</f>
        <v/>
      </c>
      <c r="P194" s="7">
        <f>IF($V194="","",SUMIFS('Per Line'!$AC$2:$AC$1501,'Per Line'!$C$2:$C$1501,$C194,'Per Line'!$AK$2:$AK$1501,1))</f>
        <v/>
      </c>
      <c r="Q194" s="7">
        <f>IF($V194="","",P194*O194)</f>
        <v/>
      </c>
      <c r="R194" s="7">
        <f>IF($V194="","",Q194+N194)</f>
        <v/>
      </c>
      <c r="S194" s="7">
        <f>IF($V194="","",T194-R194)</f>
        <v/>
      </c>
      <c r="T194" s="7">
        <f>IF($V194="","",M194+P194)</f>
        <v/>
      </c>
      <c r="U194" s="7">
        <f>IF($V194="","",T194-R194-K194)</f>
        <v/>
      </c>
      <c r="V194" s="13">
        <f>IF(ROWS($V$2:$V194)&lt;=MAX('Per Line'!$AJ$2:$AJ$1501),MATCH(ROWS($V$2:$V194),'Per Line'!$AJ$2:$AJ$1501,0),"")</f>
        <v/>
      </c>
    </row>
    <row r="195">
      <c r="A195" s="12" t="n"/>
      <c r="B195">
        <f>IF($V195="","",INDEX('Per Line'!$A$2:$A$1501,$V195)&amp;"")</f>
        <v/>
      </c>
      <c r="C195">
        <f>IF($V195="","",INDEX('Per Line'!$C$2:$C$1501,$V195)&amp;"")</f>
        <v/>
      </c>
      <c r="D195" s="11">
        <f>IF($V195="","",INDEX('Per Line'!$S$2:$S$1501,$V195))</f>
        <v/>
      </c>
      <c r="E195">
        <f>IF($V195="","",INDEX('Per Line'!$F$2:$F$1501,$V195)&amp;"")</f>
        <v/>
      </c>
      <c r="F195">
        <f>IF($V195="","",INDEX('Per Line'!$L$2:$L$1501,$V195)&amp;"")</f>
        <v/>
      </c>
      <c r="G195">
        <f>IF($V195="","",INDEX('Per Line'!$O$2:$O$1501,$V195)&amp;"")</f>
        <v/>
      </c>
      <c r="H195">
        <f>IF($V195="","",INDEX('Per Line'!$P$2:$P$1501,$V195)&amp;"")</f>
        <v/>
      </c>
      <c r="I195">
        <f>IF($V195="","",INDEX('Per Line'!$N$2:$N$1501,$V195)&amp;"")</f>
        <v/>
      </c>
      <c r="J195">
        <f>IF($V195="","",INDEX('Per Line'!$Q$2:$Q$1501,$V195))</f>
        <v/>
      </c>
      <c r="K195" s="7">
        <f>IF($V195="","",J195*T195/100)</f>
        <v/>
      </c>
      <c r="L195">
        <f>IF($V195="","",Settings!$C$7)</f>
        <v/>
      </c>
      <c r="M195" s="7">
        <f>IF($V195="","",SUMIFS('Per Line'!$AC$2:$AC$1501,'Per Line'!$C$2:$C$1501,$C195,'Per Line'!$AK$2:$AK$1501,0))</f>
        <v/>
      </c>
      <c r="N195" s="7">
        <f>IF($V195="","",M195*L195)</f>
        <v/>
      </c>
      <c r="O195">
        <f>IF($V195="","",Settings!$C$6)</f>
        <v/>
      </c>
      <c r="P195" s="7">
        <f>IF($V195="","",SUMIFS('Per Line'!$AC$2:$AC$1501,'Per Line'!$C$2:$C$1501,$C195,'Per Line'!$AK$2:$AK$1501,1))</f>
        <v/>
      </c>
      <c r="Q195" s="7">
        <f>IF($V195="","",P195*O195)</f>
        <v/>
      </c>
      <c r="R195" s="7">
        <f>IF($V195="","",Q195+N195)</f>
        <v/>
      </c>
      <c r="S195" s="7">
        <f>IF($V195="","",T195-R195)</f>
        <v/>
      </c>
      <c r="T195" s="7">
        <f>IF($V195="","",M195+P195)</f>
        <v/>
      </c>
      <c r="U195" s="7">
        <f>IF($V195="","",T195-R195-K195)</f>
        <v/>
      </c>
      <c r="V195" s="13">
        <f>IF(ROWS($V$2:$V195)&lt;=MAX('Per Line'!$AJ$2:$AJ$1501),MATCH(ROWS($V$2:$V195),'Per Line'!$AJ$2:$AJ$1501,0),"")</f>
        <v/>
      </c>
    </row>
    <row r="196">
      <c r="A196" s="12" t="n"/>
      <c r="B196">
        <f>IF($V196="","",INDEX('Per Line'!$A$2:$A$1501,$V196)&amp;"")</f>
        <v/>
      </c>
      <c r="C196">
        <f>IF($V196="","",INDEX('Per Line'!$C$2:$C$1501,$V196)&amp;"")</f>
        <v/>
      </c>
      <c r="D196" s="11">
        <f>IF($V196="","",INDEX('Per Line'!$S$2:$S$1501,$V196))</f>
        <v/>
      </c>
      <c r="E196">
        <f>IF($V196="","",INDEX('Per Line'!$F$2:$F$1501,$V196)&amp;"")</f>
        <v/>
      </c>
      <c r="F196">
        <f>IF($V196="","",INDEX('Per Line'!$L$2:$L$1501,$V196)&amp;"")</f>
        <v/>
      </c>
      <c r="G196">
        <f>IF($V196="","",INDEX('Per Line'!$O$2:$O$1501,$V196)&amp;"")</f>
        <v/>
      </c>
      <c r="H196">
        <f>IF($V196="","",INDEX('Per Line'!$P$2:$P$1501,$V196)&amp;"")</f>
        <v/>
      </c>
      <c r="I196">
        <f>IF($V196="","",INDEX('Per Line'!$N$2:$N$1501,$V196)&amp;"")</f>
        <v/>
      </c>
      <c r="J196">
        <f>IF($V196="","",INDEX('Per Line'!$Q$2:$Q$1501,$V196))</f>
        <v/>
      </c>
      <c r="K196" s="7">
        <f>IF($V196="","",J196*T196/100)</f>
        <v/>
      </c>
      <c r="L196">
        <f>IF($V196="","",Settings!$C$7)</f>
        <v/>
      </c>
      <c r="M196" s="7">
        <f>IF($V196="","",SUMIFS('Per Line'!$AC$2:$AC$1501,'Per Line'!$C$2:$C$1501,$C196,'Per Line'!$AK$2:$AK$1501,0))</f>
        <v/>
      </c>
      <c r="N196" s="7">
        <f>IF($V196="","",M196*L196)</f>
        <v/>
      </c>
      <c r="O196">
        <f>IF($V196="","",Settings!$C$6)</f>
        <v/>
      </c>
      <c r="P196" s="7">
        <f>IF($V196="","",SUMIFS('Per Line'!$AC$2:$AC$1501,'Per Line'!$C$2:$C$1501,$C196,'Per Line'!$AK$2:$AK$1501,1))</f>
        <v/>
      </c>
      <c r="Q196" s="7">
        <f>IF($V196="","",P196*O196)</f>
        <v/>
      </c>
      <c r="R196" s="7">
        <f>IF($V196="","",Q196+N196)</f>
        <v/>
      </c>
      <c r="S196" s="7">
        <f>IF($V196="","",T196-R196)</f>
        <v/>
      </c>
      <c r="T196" s="7">
        <f>IF($V196="","",M196+P196)</f>
        <v/>
      </c>
      <c r="U196" s="7">
        <f>IF($V196="","",T196-R196-K196)</f>
        <v/>
      </c>
      <c r="V196" s="13">
        <f>IF(ROWS($V$2:$V196)&lt;=MAX('Per Line'!$AJ$2:$AJ$1501),MATCH(ROWS($V$2:$V196),'Per Line'!$AJ$2:$AJ$1501,0),"")</f>
        <v/>
      </c>
    </row>
    <row r="197">
      <c r="A197" s="12" t="n"/>
      <c r="B197">
        <f>IF($V197="","",INDEX('Per Line'!$A$2:$A$1501,$V197)&amp;"")</f>
        <v/>
      </c>
      <c r="C197">
        <f>IF($V197="","",INDEX('Per Line'!$C$2:$C$1501,$V197)&amp;"")</f>
        <v/>
      </c>
      <c r="D197" s="11">
        <f>IF($V197="","",INDEX('Per Line'!$S$2:$S$1501,$V197))</f>
        <v/>
      </c>
      <c r="E197">
        <f>IF($V197="","",INDEX('Per Line'!$F$2:$F$1501,$V197)&amp;"")</f>
        <v/>
      </c>
      <c r="F197">
        <f>IF($V197="","",INDEX('Per Line'!$L$2:$L$1501,$V197)&amp;"")</f>
        <v/>
      </c>
      <c r="G197">
        <f>IF($V197="","",INDEX('Per Line'!$O$2:$O$1501,$V197)&amp;"")</f>
        <v/>
      </c>
      <c r="H197">
        <f>IF($V197="","",INDEX('Per Line'!$P$2:$P$1501,$V197)&amp;"")</f>
        <v/>
      </c>
      <c r="I197">
        <f>IF($V197="","",INDEX('Per Line'!$N$2:$N$1501,$V197)&amp;"")</f>
        <v/>
      </c>
      <c r="J197">
        <f>IF($V197="","",INDEX('Per Line'!$Q$2:$Q$1501,$V197))</f>
        <v/>
      </c>
      <c r="K197" s="7">
        <f>IF($V197="","",J197*T197/100)</f>
        <v/>
      </c>
      <c r="L197">
        <f>IF($V197="","",Settings!$C$7)</f>
        <v/>
      </c>
      <c r="M197" s="7">
        <f>IF($V197="","",SUMIFS('Per Line'!$AC$2:$AC$1501,'Per Line'!$C$2:$C$1501,$C197,'Per Line'!$AK$2:$AK$1501,0))</f>
        <v/>
      </c>
      <c r="N197" s="7">
        <f>IF($V197="","",M197*L197)</f>
        <v/>
      </c>
      <c r="O197">
        <f>IF($V197="","",Settings!$C$6)</f>
        <v/>
      </c>
      <c r="P197" s="7">
        <f>IF($V197="","",SUMIFS('Per Line'!$AC$2:$AC$1501,'Per Line'!$C$2:$C$1501,$C197,'Per Line'!$AK$2:$AK$1501,1))</f>
        <v/>
      </c>
      <c r="Q197" s="7">
        <f>IF($V197="","",P197*O197)</f>
        <v/>
      </c>
      <c r="R197" s="7">
        <f>IF($V197="","",Q197+N197)</f>
        <v/>
      </c>
      <c r="S197" s="7">
        <f>IF($V197="","",T197-R197)</f>
        <v/>
      </c>
      <c r="T197" s="7">
        <f>IF($V197="","",M197+P197)</f>
        <v/>
      </c>
      <c r="U197" s="7">
        <f>IF($V197="","",T197-R197-K197)</f>
        <v/>
      </c>
      <c r="V197" s="13">
        <f>IF(ROWS($V$2:$V197)&lt;=MAX('Per Line'!$AJ$2:$AJ$1501),MATCH(ROWS($V$2:$V197),'Per Line'!$AJ$2:$AJ$1501,0),"")</f>
        <v/>
      </c>
    </row>
    <row r="198">
      <c r="A198" s="12" t="n"/>
      <c r="B198">
        <f>IF($V198="","",INDEX('Per Line'!$A$2:$A$1501,$V198)&amp;"")</f>
        <v/>
      </c>
      <c r="C198">
        <f>IF($V198="","",INDEX('Per Line'!$C$2:$C$1501,$V198)&amp;"")</f>
        <v/>
      </c>
      <c r="D198" s="11">
        <f>IF($V198="","",INDEX('Per Line'!$S$2:$S$1501,$V198))</f>
        <v/>
      </c>
      <c r="E198">
        <f>IF($V198="","",INDEX('Per Line'!$F$2:$F$1501,$V198)&amp;"")</f>
        <v/>
      </c>
      <c r="F198">
        <f>IF($V198="","",INDEX('Per Line'!$L$2:$L$1501,$V198)&amp;"")</f>
        <v/>
      </c>
      <c r="G198">
        <f>IF($V198="","",INDEX('Per Line'!$O$2:$O$1501,$V198)&amp;"")</f>
        <v/>
      </c>
      <c r="H198">
        <f>IF($V198="","",INDEX('Per Line'!$P$2:$P$1501,$V198)&amp;"")</f>
        <v/>
      </c>
      <c r="I198">
        <f>IF($V198="","",INDEX('Per Line'!$N$2:$N$1501,$V198)&amp;"")</f>
        <v/>
      </c>
      <c r="J198">
        <f>IF($V198="","",INDEX('Per Line'!$Q$2:$Q$1501,$V198))</f>
        <v/>
      </c>
      <c r="K198" s="7">
        <f>IF($V198="","",J198*T198/100)</f>
        <v/>
      </c>
      <c r="L198">
        <f>IF($V198="","",Settings!$C$7)</f>
        <v/>
      </c>
      <c r="M198" s="7">
        <f>IF($V198="","",SUMIFS('Per Line'!$AC$2:$AC$1501,'Per Line'!$C$2:$C$1501,$C198,'Per Line'!$AK$2:$AK$1501,0))</f>
        <v/>
      </c>
      <c r="N198" s="7">
        <f>IF($V198="","",M198*L198)</f>
        <v/>
      </c>
      <c r="O198">
        <f>IF($V198="","",Settings!$C$6)</f>
        <v/>
      </c>
      <c r="P198" s="7">
        <f>IF($V198="","",SUMIFS('Per Line'!$AC$2:$AC$1501,'Per Line'!$C$2:$C$1501,$C198,'Per Line'!$AK$2:$AK$1501,1))</f>
        <v/>
      </c>
      <c r="Q198" s="7">
        <f>IF($V198="","",P198*O198)</f>
        <v/>
      </c>
      <c r="R198" s="7">
        <f>IF($V198="","",Q198+N198)</f>
        <v/>
      </c>
      <c r="S198" s="7">
        <f>IF($V198="","",T198-R198)</f>
        <v/>
      </c>
      <c r="T198" s="7">
        <f>IF($V198="","",M198+P198)</f>
        <v/>
      </c>
      <c r="U198" s="7">
        <f>IF($V198="","",T198-R198-K198)</f>
        <v/>
      </c>
      <c r="V198" s="13">
        <f>IF(ROWS($V$2:$V198)&lt;=MAX('Per Line'!$AJ$2:$AJ$1501),MATCH(ROWS($V$2:$V198),'Per Line'!$AJ$2:$AJ$1501,0),"")</f>
        <v/>
      </c>
    </row>
    <row r="199">
      <c r="A199" s="12" t="n"/>
      <c r="B199">
        <f>IF($V199="","",INDEX('Per Line'!$A$2:$A$1501,$V199)&amp;"")</f>
        <v/>
      </c>
      <c r="C199">
        <f>IF($V199="","",INDEX('Per Line'!$C$2:$C$1501,$V199)&amp;"")</f>
        <v/>
      </c>
      <c r="D199" s="11">
        <f>IF($V199="","",INDEX('Per Line'!$S$2:$S$1501,$V199))</f>
        <v/>
      </c>
      <c r="E199">
        <f>IF($V199="","",INDEX('Per Line'!$F$2:$F$1501,$V199)&amp;"")</f>
        <v/>
      </c>
      <c r="F199">
        <f>IF($V199="","",INDEX('Per Line'!$L$2:$L$1501,$V199)&amp;"")</f>
        <v/>
      </c>
      <c r="G199">
        <f>IF($V199="","",INDEX('Per Line'!$O$2:$O$1501,$V199)&amp;"")</f>
        <v/>
      </c>
      <c r="H199">
        <f>IF($V199="","",INDEX('Per Line'!$P$2:$P$1501,$V199)&amp;"")</f>
        <v/>
      </c>
      <c r="I199">
        <f>IF($V199="","",INDEX('Per Line'!$N$2:$N$1501,$V199)&amp;"")</f>
        <v/>
      </c>
      <c r="J199">
        <f>IF($V199="","",INDEX('Per Line'!$Q$2:$Q$1501,$V199))</f>
        <v/>
      </c>
      <c r="K199" s="7">
        <f>IF($V199="","",J199*T199/100)</f>
        <v/>
      </c>
      <c r="L199">
        <f>IF($V199="","",Settings!$C$7)</f>
        <v/>
      </c>
      <c r="M199" s="7">
        <f>IF($V199="","",SUMIFS('Per Line'!$AC$2:$AC$1501,'Per Line'!$C$2:$C$1501,$C199,'Per Line'!$AK$2:$AK$1501,0))</f>
        <v/>
      </c>
      <c r="N199" s="7">
        <f>IF($V199="","",M199*L199)</f>
        <v/>
      </c>
      <c r="O199">
        <f>IF($V199="","",Settings!$C$6)</f>
        <v/>
      </c>
      <c r="P199" s="7">
        <f>IF($V199="","",SUMIFS('Per Line'!$AC$2:$AC$1501,'Per Line'!$C$2:$C$1501,$C199,'Per Line'!$AK$2:$AK$1501,1))</f>
        <v/>
      </c>
      <c r="Q199" s="7">
        <f>IF($V199="","",P199*O199)</f>
        <v/>
      </c>
      <c r="R199" s="7">
        <f>IF($V199="","",Q199+N199)</f>
        <v/>
      </c>
      <c r="S199" s="7">
        <f>IF($V199="","",T199-R199)</f>
        <v/>
      </c>
      <c r="T199" s="7">
        <f>IF($V199="","",M199+P199)</f>
        <v/>
      </c>
      <c r="U199" s="7">
        <f>IF($V199="","",T199-R199-K199)</f>
        <v/>
      </c>
      <c r="V199" s="13">
        <f>IF(ROWS($V$2:$V199)&lt;=MAX('Per Line'!$AJ$2:$AJ$1501),MATCH(ROWS($V$2:$V199),'Per Line'!$AJ$2:$AJ$1501,0),"")</f>
        <v/>
      </c>
    </row>
    <row r="200">
      <c r="A200" s="12" t="n"/>
      <c r="B200">
        <f>IF($V200="","",INDEX('Per Line'!$A$2:$A$1501,$V200)&amp;"")</f>
        <v/>
      </c>
      <c r="C200">
        <f>IF($V200="","",INDEX('Per Line'!$C$2:$C$1501,$V200)&amp;"")</f>
        <v/>
      </c>
      <c r="D200" s="11">
        <f>IF($V200="","",INDEX('Per Line'!$S$2:$S$1501,$V200))</f>
        <v/>
      </c>
      <c r="E200">
        <f>IF($V200="","",INDEX('Per Line'!$F$2:$F$1501,$V200)&amp;"")</f>
        <v/>
      </c>
      <c r="F200">
        <f>IF($V200="","",INDEX('Per Line'!$L$2:$L$1501,$V200)&amp;"")</f>
        <v/>
      </c>
      <c r="G200">
        <f>IF($V200="","",INDEX('Per Line'!$O$2:$O$1501,$V200)&amp;"")</f>
        <v/>
      </c>
      <c r="H200">
        <f>IF($V200="","",INDEX('Per Line'!$P$2:$P$1501,$V200)&amp;"")</f>
        <v/>
      </c>
      <c r="I200">
        <f>IF($V200="","",INDEX('Per Line'!$N$2:$N$1501,$V200)&amp;"")</f>
        <v/>
      </c>
      <c r="J200">
        <f>IF($V200="","",INDEX('Per Line'!$Q$2:$Q$1501,$V200))</f>
        <v/>
      </c>
      <c r="K200" s="7">
        <f>IF($V200="","",J200*T200/100)</f>
        <v/>
      </c>
      <c r="L200">
        <f>IF($V200="","",Settings!$C$7)</f>
        <v/>
      </c>
      <c r="M200" s="7">
        <f>IF($V200="","",SUMIFS('Per Line'!$AC$2:$AC$1501,'Per Line'!$C$2:$C$1501,$C200,'Per Line'!$AK$2:$AK$1501,0))</f>
        <v/>
      </c>
      <c r="N200" s="7">
        <f>IF($V200="","",M200*L200)</f>
        <v/>
      </c>
      <c r="O200">
        <f>IF($V200="","",Settings!$C$6)</f>
        <v/>
      </c>
      <c r="P200" s="7">
        <f>IF($V200="","",SUMIFS('Per Line'!$AC$2:$AC$1501,'Per Line'!$C$2:$C$1501,$C200,'Per Line'!$AK$2:$AK$1501,1))</f>
        <v/>
      </c>
      <c r="Q200" s="7">
        <f>IF($V200="","",P200*O200)</f>
        <v/>
      </c>
      <c r="R200" s="7">
        <f>IF($V200="","",Q200+N200)</f>
        <v/>
      </c>
      <c r="S200" s="7">
        <f>IF($V200="","",T200-R200)</f>
        <v/>
      </c>
      <c r="T200" s="7">
        <f>IF($V200="","",M200+P200)</f>
        <v/>
      </c>
      <c r="U200" s="7">
        <f>IF($V200="","",T200-R200-K200)</f>
        <v/>
      </c>
      <c r="V200" s="13">
        <f>IF(ROWS($V$2:$V200)&lt;=MAX('Per Line'!$AJ$2:$AJ$1501),MATCH(ROWS($V$2:$V200),'Per Line'!$AJ$2:$AJ$1501,0),"")</f>
        <v/>
      </c>
    </row>
    <row r="201">
      <c r="A201" s="12" t="n"/>
      <c r="B201">
        <f>IF($V201="","",INDEX('Per Line'!$A$2:$A$1501,$V201)&amp;"")</f>
        <v/>
      </c>
      <c r="C201">
        <f>IF($V201="","",INDEX('Per Line'!$C$2:$C$1501,$V201)&amp;"")</f>
        <v/>
      </c>
      <c r="D201" s="11">
        <f>IF($V201="","",INDEX('Per Line'!$S$2:$S$1501,$V201))</f>
        <v/>
      </c>
      <c r="E201">
        <f>IF($V201="","",INDEX('Per Line'!$F$2:$F$1501,$V201)&amp;"")</f>
        <v/>
      </c>
      <c r="F201">
        <f>IF($V201="","",INDEX('Per Line'!$L$2:$L$1501,$V201)&amp;"")</f>
        <v/>
      </c>
      <c r="G201">
        <f>IF($V201="","",INDEX('Per Line'!$O$2:$O$1501,$V201)&amp;"")</f>
        <v/>
      </c>
      <c r="H201">
        <f>IF($V201="","",INDEX('Per Line'!$P$2:$P$1501,$V201)&amp;"")</f>
        <v/>
      </c>
      <c r="I201">
        <f>IF($V201="","",INDEX('Per Line'!$N$2:$N$1501,$V201)&amp;"")</f>
        <v/>
      </c>
      <c r="J201">
        <f>IF($V201="","",INDEX('Per Line'!$Q$2:$Q$1501,$V201))</f>
        <v/>
      </c>
      <c r="K201" s="7">
        <f>IF($V201="","",J201*T201/100)</f>
        <v/>
      </c>
      <c r="L201">
        <f>IF($V201="","",Settings!$C$7)</f>
        <v/>
      </c>
      <c r="M201" s="7">
        <f>IF($V201="","",SUMIFS('Per Line'!$AC$2:$AC$1501,'Per Line'!$C$2:$C$1501,$C201,'Per Line'!$AK$2:$AK$1501,0))</f>
        <v/>
      </c>
      <c r="N201" s="7">
        <f>IF($V201="","",M201*L201)</f>
        <v/>
      </c>
      <c r="O201">
        <f>IF($V201="","",Settings!$C$6)</f>
        <v/>
      </c>
      <c r="P201" s="7">
        <f>IF($V201="","",SUMIFS('Per Line'!$AC$2:$AC$1501,'Per Line'!$C$2:$C$1501,$C201,'Per Line'!$AK$2:$AK$1501,1))</f>
        <v/>
      </c>
      <c r="Q201" s="7">
        <f>IF($V201="","",P201*O201)</f>
        <v/>
      </c>
      <c r="R201" s="7">
        <f>IF($V201="","",Q201+N201)</f>
        <v/>
      </c>
      <c r="S201" s="7">
        <f>IF($V201="","",T201-R201)</f>
        <v/>
      </c>
      <c r="T201" s="7">
        <f>IF($V201="","",M201+P201)</f>
        <v/>
      </c>
      <c r="U201" s="7">
        <f>IF($V201="","",T201-R201-K201)</f>
        <v/>
      </c>
      <c r="V201" s="13">
        <f>IF(ROWS($V$2:$V201)&lt;=MAX('Per Line'!$AJ$2:$AJ$1501),MATCH(ROWS($V$2:$V201),'Per Line'!$AJ$2:$AJ$1501,0),"")</f>
        <v/>
      </c>
    </row>
    <row r="202">
      <c r="A202" s="12" t="n"/>
      <c r="B202">
        <f>IF($V202="","",INDEX('Per Line'!$A$2:$A$1501,$V202)&amp;"")</f>
        <v/>
      </c>
      <c r="C202">
        <f>IF($V202="","",INDEX('Per Line'!$C$2:$C$1501,$V202)&amp;"")</f>
        <v/>
      </c>
      <c r="D202" s="11">
        <f>IF($V202="","",INDEX('Per Line'!$S$2:$S$1501,$V202))</f>
        <v/>
      </c>
      <c r="E202">
        <f>IF($V202="","",INDEX('Per Line'!$F$2:$F$1501,$V202)&amp;"")</f>
        <v/>
      </c>
      <c r="F202">
        <f>IF($V202="","",INDEX('Per Line'!$L$2:$L$1501,$V202)&amp;"")</f>
        <v/>
      </c>
      <c r="G202">
        <f>IF($V202="","",INDEX('Per Line'!$O$2:$O$1501,$V202)&amp;"")</f>
        <v/>
      </c>
      <c r="H202">
        <f>IF($V202="","",INDEX('Per Line'!$P$2:$P$1501,$V202)&amp;"")</f>
        <v/>
      </c>
      <c r="I202">
        <f>IF($V202="","",INDEX('Per Line'!$N$2:$N$1501,$V202)&amp;"")</f>
        <v/>
      </c>
      <c r="J202">
        <f>IF($V202="","",INDEX('Per Line'!$Q$2:$Q$1501,$V202))</f>
        <v/>
      </c>
      <c r="K202" s="7">
        <f>IF($V202="","",J202*T202/100)</f>
        <v/>
      </c>
      <c r="L202">
        <f>IF($V202="","",Settings!$C$7)</f>
        <v/>
      </c>
      <c r="M202" s="7">
        <f>IF($V202="","",SUMIFS('Per Line'!$AC$2:$AC$1501,'Per Line'!$C$2:$C$1501,$C202,'Per Line'!$AK$2:$AK$1501,0))</f>
        <v/>
      </c>
      <c r="N202" s="7">
        <f>IF($V202="","",M202*L202)</f>
        <v/>
      </c>
      <c r="O202">
        <f>IF($V202="","",Settings!$C$6)</f>
        <v/>
      </c>
      <c r="P202" s="7">
        <f>IF($V202="","",SUMIFS('Per Line'!$AC$2:$AC$1501,'Per Line'!$C$2:$C$1501,$C202,'Per Line'!$AK$2:$AK$1501,1))</f>
        <v/>
      </c>
      <c r="Q202" s="7">
        <f>IF($V202="","",P202*O202)</f>
        <v/>
      </c>
      <c r="R202" s="7">
        <f>IF($V202="","",Q202+N202)</f>
        <v/>
      </c>
      <c r="S202" s="7">
        <f>IF($V202="","",T202-R202)</f>
        <v/>
      </c>
      <c r="T202" s="7">
        <f>IF($V202="","",M202+P202)</f>
        <v/>
      </c>
      <c r="U202" s="7">
        <f>IF($V202="","",T202-R202-K202)</f>
        <v/>
      </c>
      <c r="V202" s="13">
        <f>IF(ROWS($V$2:$V202)&lt;=MAX('Per Line'!$AJ$2:$AJ$1501),MATCH(ROWS($V$2:$V202),'Per Line'!$AJ$2:$AJ$1501,0),"")</f>
        <v/>
      </c>
    </row>
    <row r="203">
      <c r="A203" s="12" t="n"/>
      <c r="B203">
        <f>IF($V203="","",INDEX('Per Line'!$A$2:$A$1501,$V203)&amp;"")</f>
        <v/>
      </c>
      <c r="C203">
        <f>IF($V203="","",INDEX('Per Line'!$C$2:$C$1501,$V203)&amp;"")</f>
        <v/>
      </c>
      <c r="D203" s="11">
        <f>IF($V203="","",INDEX('Per Line'!$S$2:$S$1501,$V203))</f>
        <v/>
      </c>
      <c r="E203">
        <f>IF($V203="","",INDEX('Per Line'!$F$2:$F$1501,$V203)&amp;"")</f>
        <v/>
      </c>
      <c r="F203">
        <f>IF($V203="","",INDEX('Per Line'!$L$2:$L$1501,$V203)&amp;"")</f>
        <v/>
      </c>
      <c r="G203">
        <f>IF($V203="","",INDEX('Per Line'!$O$2:$O$1501,$V203)&amp;"")</f>
        <v/>
      </c>
      <c r="H203">
        <f>IF($V203="","",INDEX('Per Line'!$P$2:$P$1501,$V203)&amp;"")</f>
        <v/>
      </c>
      <c r="I203">
        <f>IF($V203="","",INDEX('Per Line'!$N$2:$N$1501,$V203)&amp;"")</f>
        <v/>
      </c>
      <c r="J203">
        <f>IF($V203="","",INDEX('Per Line'!$Q$2:$Q$1501,$V203))</f>
        <v/>
      </c>
      <c r="K203" s="7">
        <f>IF($V203="","",J203*T203/100)</f>
        <v/>
      </c>
      <c r="L203">
        <f>IF($V203="","",Settings!$C$7)</f>
        <v/>
      </c>
      <c r="M203" s="7">
        <f>IF($V203="","",SUMIFS('Per Line'!$AC$2:$AC$1501,'Per Line'!$C$2:$C$1501,$C203,'Per Line'!$AK$2:$AK$1501,0))</f>
        <v/>
      </c>
      <c r="N203" s="7">
        <f>IF($V203="","",M203*L203)</f>
        <v/>
      </c>
      <c r="O203">
        <f>IF($V203="","",Settings!$C$6)</f>
        <v/>
      </c>
      <c r="P203" s="7">
        <f>IF($V203="","",SUMIFS('Per Line'!$AC$2:$AC$1501,'Per Line'!$C$2:$C$1501,$C203,'Per Line'!$AK$2:$AK$1501,1))</f>
        <v/>
      </c>
      <c r="Q203" s="7">
        <f>IF($V203="","",P203*O203)</f>
        <v/>
      </c>
      <c r="R203" s="7">
        <f>IF($V203="","",Q203+N203)</f>
        <v/>
      </c>
      <c r="S203" s="7">
        <f>IF($V203="","",T203-R203)</f>
        <v/>
      </c>
      <c r="T203" s="7">
        <f>IF($V203="","",M203+P203)</f>
        <v/>
      </c>
      <c r="U203" s="7">
        <f>IF($V203="","",T203-R203-K203)</f>
        <v/>
      </c>
      <c r="V203" s="13">
        <f>IF(ROWS($V$2:$V203)&lt;=MAX('Per Line'!$AJ$2:$AJ$1501),MATCH(ROWS($V$2:$V203),'Per Line'!$AJ$2:$AJ$1501,0),"")</f>
        <v/>
      </c>
    </row>
    <row r="204">
      <c r="A204" s="12" t="n"/>
      <c r="B204">
        <f>IF($V204="","",INDEX('Per Line'!$A$2:$A$1501,$V204)&amp;"")</f>
        <v/>
      </c>
      <c r="C204">
        <f>IF($V204="","",INDEX('Per Line'!$C$2:$C$1501,$V204)&amp;"")</f>
        <v/>
      </c>
      <c r="D204" s="11">
        <f>IF($V204="","",INDEX('Per Line'!$S$2:$S$1501,$V204))</f>
        <v/>
      </c>
      <c r="E204">
        <f>IF($V204="","",INDEX('Per Line'!$F$2:$F$1501,$V204)&amp;"")</f>
        <v/>
      </c>
      <c r="F204">
        <f>IF($V204="","",INDEX('Per Line'!$L$2:$L$1501,$V204)&amp;"")</f>
        <v/>
      </c>
      <c r="G204">
        <f>IF($V204="","",INDEX('Per Line'!$O$2:$O$1501,$V204)&amp;"")</f>
        <v/>
      </c>
      <c r="H204">
        <f>IF($V204="","",INDEX('Per Line'!$P$2:$P$1501,$V204)&amp;"")</f>
        <v/>
      </c>
      <c r="I204">
        <f>IF($V204="","",INDEX('Per Line'!$N$2:$N$1501,$V204)&amp;"")</f>
        <v/>
      </c>
      <c r="J204">
        <f>IF($V204="","",INDEX('Per Line'!$Q$2:$Q$1501,$V204))</f>
        <v/>
      </c>
      <c r="K204" s="7">
        <f>IF($V204="","",J204*T204/100)</f>
        <v/>
      </c>
      <c r="L204">
        <f>IF($V204="","",Settings!$C$7)</f>
        <v/>
      </c>
      <c r="M204" s="7">
        <f>IF($V204="","",SUMIFS('Per Line'!$AC$2:$AC$1501,'Per Line'!$C$2:$C$1501,$C204,'Per Line'!$AK$2:$AK$1501,0))</f>
        <v/>
      </c>
      <c r="N204" s="7">
        <f>IF($V204="","",M204*L204)</f>
        <v/>
      </c>
      <c r="O204">
        <f>IF($V204="","",Settings!$C$6)</f>
        <v/>
      </c>
      <c r="P204" s="7">
        <f>IF($V204="","",SUMIFS('Per Line'!$AC$2:$AC$1501,'Per Line'!$C$2:$C$1501,$C204,'Per Line'!$AK$2:$AK$1501,1))</f>
        <v/>
      </c>
      <c r="Q204" s="7">
        <f>IF($V204="","",P204*O204)</f>
        <v/>
      </c>
      <c r="R204" s="7">
        <f>IF($V204="","",Q204+N204)</f>
        <v/>
      </c>
      <c r="S204" s="7">
        <f>IF($V204="","",T204-R204)</f>
        <v/>
      </c>
      <c r="T204" s="7">
        <f>IF($V204="","",M204+P204)</f>
        <v/>
      </c>
      <c r="U204" s="7">
        <f>IF($V204="","",T204-R204-K204)</f>
        <v/>
      </c>
      <c r="V204" s="13">
        <f>IF(ROWS($V$2:$V204)&lt;=MAX('Per Line'!$AJ$2:$AJ$1501),MATCH(ROWS($V$2:$V204),'Per Line'!$AJ$2:$AJ$1501,0),"")</f>
        <v/>
      </c>
    </row>
    <row r="205">
      <c r="A205" s="12" t="n"/>
      <c r="B205">
        <f>IF($V205="","",INDEX('Per Line'!$A$2:$A$1501,$V205)&amp;"")</f>
        <v/>
      </c>
      <c r="C205">
        <f>IF($V205="","",INDEX('Per Line'!$C$2:$C$1501,$V205)&amp;"")</f>
        <v/>
      </c>
      <c r="D205" s="11">
        <f>IF($V205="","",INDEX('Per Line'!$S$2:$S$1501,$V205))</f>
        <v/>
      </c>
      <c r="E205">
        <f>IF($V205="","",INDEX('Per Line'!$F$2:$F$1501,$V205)&amp;"")</f>
        <v/>
      </c>
      <c r="F205">
        <f>IF($V205="","",INDEX('Per Line'!$L$2:$L$1501,$V205)&amp;"")</f>
        <v/>
      </c>
      <c r="G205">
        <f>IF($V205="","",INDEX('Per Line'!$O$2:$O$1501,$V205)&amp;"")</f>
        <v/>
      </c>
      <c r="H205">
        <f>IF($V205="","",INDEX('Per Line'!$P$2:$P$1501,$V205)&amp;"")</f>
        <v/>
      </c>
      <c r="I205">
        <f>IF($V205="","",INDEX('Per Line'!$N$2:$N$1501,$V205)&amp;"")</f>
        <v/>
      </c>
      <c r="J205">
        <f>IF($V205="","",INDEX('Per Line'!$Q$2:$Q$1501,$V205))</f>
        <v/>
      </c>
      <c r="K205" s="7">
        <f>IF($V205="","",J205*T205/100)</f>
        <v/>
      </c>
      <c r="L205">
        <f>IF($V205="","",Settings!$C$7)</f>
        <v/>
      </c>
      <c r="M205" s="7">
        <f>IF($V205="","",SUMIFS('Per Line'!$AC$2:$AC$1501,'Per Line'!$C$2:$C$1501,$C205,'Per Line'!$AK$2:$AK$1501,0))</f>
        <v/>
      </c>
      <c r="N205" s="7">
        <f>IF($V205="","",M205*L205)</f>
        <v/>
      </c>
      <c r="O205">
        <f>IF($V205="","",Settings!$C$6)</f>
        <v/>
      </c>
      <c r="P205" s="7">
        <f>IF($V205="","",SUMIFS('Per Line'!$AC$2:$AC$1501,'Per Line'!$C$2:$C$1501,$C205,'Per Line'!$AK$2:$AK$1501,1))</f>
        <v/>
      </c>
      <c r="Q205" s="7">
        <f>IF($V205="","",P205*O205)</f>
        <v/>
      </c>
      <c r="R205" s="7">
        <f>IF($V205="","",Q205+N205)</f>
        <v/>
      </c>
      <c r="S205" s="7">
        <f>IF($V205="","",T205-R205)</f>
        <v/>
      </c>
      <c r="T205" s="7">
        <f>IF($V205="","",M205+P205)</f>
        <v/>
      </c>
      <c r="U205" s="7">
        <f>IF($V205="","",T205-R205-K205)</f>
        <v/>
      </c>
      <c r="V205" s="13">
        <f>IF(ROWS($V$2:$V205)&lt;=MAX('Per Line'!$AJ$2:$AJ$1501),MATCH(ROWS($V$2:$V205),'Per Line'!$AJ$2:$AJ$1501,0),"")</f>
        <v/>
      </c>
    </row>
    <row r="206">
      <c r="A206" s="12" t="n"/>
      <c r="B206">
        <f>IF($V206="","",INDEX('Per Line'!$A$2:$A$1501,$V206)&amp;"")</f>
        <v/>
      </c>
      <c r="C206">
        <f>IF($V206="","",INDEX('Per Line'!$C$2:$C$1501,$V206)&amp;"")</f>
        <v/>
      </c>
      <c r="D206" s="11">
        <f>IF($V206="","",INDEX('Per Line'!$S$2:$S$1501,$V206))</f>
        <v/>
      </c>
      <c r="E206">
        <f>IF($V206="","",INDEX('Per Line'!$F$2:$F$1501,$V206)&amp;"")</f>
        <v/>
      </c>
      <c r="F206">
        <f>IF($V206="","",INDEX('Per Line'!$L$2:$L$1501,$V206)&amp;"")</f>
        <v/>
      </c>
      <c r="G206">
        <f>IF($V206="","",INDEX('Per Line'!$O$2:$O$1501,$V206)&amp;"")</f>
        <v/>
      </c>
      <c r="H206">
        <f>IF($V206="","",INDEX('Per Line'!$P$2:$P$1501,$V206)&amp;"")</f>
        <v/>
      </c>
      <c r="I206">
        <f>IF($V206="","",INDEX('Per Line'!$N$2:$N$1501,$V206)&amp;"")</f>
        <v/>
      </c>
      <c r="J206">
        <f>IF($V206="","",INDEX('Per Line'!$Q$2:$Q$1501,$V206))</f>
        <v/>
      </c>
      <c r="K206" s="7">
        <f>IF($V206="","",J206*T206/100)</f>
        <v/>
      </c>
      <c r="L206">
        <f>IF($V206="","",Settings!$C$7)</f>
        <v/>
      </c>
      <c r="M206" s="7">
        <f>IF($V206="","",SUMIFS('Per Line'!$AC$2:$AC$1501,'Per Line'!$C$2:$C$1501,$C206,'Per Line'!$AK$2:$AK$1501,0))</f>
        <v/>
      </c>
      <c r="N206" s="7">
        <f>IF($V206="","",M206*L206)</f>
        <v/>
      </c>
      <c r="O206">
        <f>IF($V206="","",Settings!$C$6)</f>
        <v/>
      </c>
      <c r="P206" s="7">
        <f>IF($V206="","",SUMIFS('Per Line'!$AC$2:$AC$1501,'Per Line'!$C$2:$C$1501,$C206,'Per Line'!$AK$2:$AK$1501,1))</f>
        <v/>
      </c>
      <c r="Q206" s="7">
        <f>IF($V206="","",P206*O206)</f>
        <v/>
      </c>
      <c r="R206" s="7">
        <f>IF($V206="","",Q206+N206)</f>
        <v/>
      </c>
      <c r="S206" s="7">
        <f>IF($V206="","",T206-R206)</f>
        <v/>
      </c>
      <c r="T206" s="7">
        <f>IF($V206="","",M206+P206)</f>
        <v/>
      </c>
      <c r="U206" s="7">
        <f>IF($V206="","",T206-R206-K206)</f>
        <v/>
      </c>
      <c r="V206" s="13">
        <f>IF(ROWS($V$2:$V206)&lt;=MAX('Per Line'!$AJ$2:$AJ$1501),MATCH(ROWS($V$2:$V206),'Per Line'!$AJ$2:$AJ$1501,0),"")</f>
        <v/>
      </c>
    </row>
    <row r="207">
      <c r="A207" s="12" t="n"/>
      <c r="B207">
        <f>IF($V207="","",INDEX('Per Line'!$A$2:$A$1501,$V207)&amp;"")</f>
        <v/>
      </c>
      <c r="C207">
        <f>IF($V207="","",INDEX('Per Line'!$C$2:$C$1501,$V207)&amp;"")</f>
        <v/>
      </c>
      <c r="D207" s="11">
        <f>IF($V207="","",INDEX('Per Line'!$S$2:$S$1501,$V207))</f>
        <v/>
      </c>
      <c r="E207">
        <f>IF($V207="","",INDEX('Per Line'!$F$2:$F$1501,$V207)&amp;"")</f>
        <v/>
      </c>
      <c r="F207">
        <f>IF($V207="","",INDEX('Per Line'!$L$2:$L$1501,$V207)&amp;"")</f>
        <v/>
      </c>
      <c r="G207">
        <f>IF($V207="","",INDEX('Per Line'!$O$2:$O$1501,$V207)&amp;"")</f>
        <v/>
      </c>
      <c r="H207">
        <f>IF($V207="","",INDEX('Per Line'!$P$2:$P$1501,$V207)&amp;"")</f>
        <v/>
      </c>
      <c r="I207">
        <f>IF($V207="","",INDEX('Per Line'!$N$2:$N$1501,$V207)&amp;"")</f>
        <v/>
      </c>
      <c r="J207">
        <f>IF($V207="","",INDEX('Per Line'!$Q$2:$Q$1501,$V207))</f>
        <v/>
      </c>
      <c r="K207" s="7">
        <f>IF($V207="","",J207*T207/100)</f>
        <v/>
      </c>
      <c r="L207">
        <f>IF($V207="","",Settings!$C$7)</f>
        <v/>
      </c>
      <c r="M207" s="7">
        <f>IF($V207="","",SUMIFS('Per Line'!$AC$2:$AC$1501,'Per Line'!$C$2:$C$1501,$C207,'Per Line'!$AK$2:$AK$1501,0))</f>
        <v/>
      </c>
      <c r="N207" s="7">
        <f>IF($V207="","",M207*L207)</f>
        <v/>
      </c>
      <c r="O207">
        <f>IF($V207="","",Settings!$C$6)</f>
        <v/>
      </c>
      <c r="P207" s="7">
        <f>IF($V207="","",SUMIFS('Per Line'!$AC$2:$AC$1501,'Per Line'!$C$2:$C$1501,$C207,'Per Line'!$AK$2:$AK$1501,1))</f>
        <v/>
      </c>
      <c r="Q207" s="7">
        <f>IF($V207="","",P207*O207)</f>
        <v/>
      </c>
      <c r="R207" s="7">
        <f>IF($V207="","",Q207+N207)</f>
        <v/>
      </c>
      <c r="S207" s="7">
        <f>IF($V207="","",T207-R207)</f>
        <v/>
      </c>
      <c r="T207" s="7">
        <f>IF($V207="","",M207+P207)</f>
        <v/>
      </c>
      <c r="U207" s="7">
        <f>IF($V207="","",T207-R207-K207)</f>
        <v/>
      </c>
      <c r="V207" s="13">
        <f>IF(ROWS($V$2:$V207)&lt;=MAX('Per Line'!$AJ$2:$AJ$1501),MATCH(ROWS($V$2:$V207),'Per Line'!$AJ$2:$AJ$1501,0),"")</f>
        <v/>
      </c>
    </row>
    <row r="208">
      <c r="A208" s="12" t="n"/>
      <c r="B208">
        <f>IF($V208="","",INDEX('Per Line'!$A$2:$A$1501,$V208)&amp;"")</f>
        <v/>
      </c>
      <c r="C208">
        <f>IF($V208="","",INDEX('Per Line'!$C$2:$C$1501,$V208)&amp;"")</f>
        <v/>
      </c>
      <c r="D208" s="11">
        <f>IF($V208="","",INDEX('Per Line'!$S$2:$S$1501,$V208))</f>
        <v/>
      </c>
      <c r="E208">
        <f>IF($V208="","",INDEX('Per Line'!$F$2:$F$1501,$V208)&amp;"")</f>
        <v/>
      </c>
      <c r="F208">
        <f>IF($V208="","",INDEX('Per Line'!$L$2:$L$1501,$V208)&amp;"")</f>
        <v/>
      </c>
      <c r="G208">
        <f>IF($V208="","",INDEX('Per Line'!$O$2:$O$1501,$V208)&amp;"")</f>
        <v/>
      </c>
      <c r="H208">
        <f>IF($V208="","",INDEX('Per Line'!$P$2:$P$1501,$V208)&amp;"")</f>
        <v/>
      </c>
      <c r="I208">
        <f>IF($V208="","",INDEX('Per Line'!$N$2:$N$1501,$V208)&amp;"")</f>
        <v/>
      </c>
      <c r="J208">
        <f>IF($V208="","",INDEX('Per Line'!$Q$2:$Q$1501,$V208))</f>
        <v/>
      </c>
      <c r="K208" s="7">
        <f>IF($V208="","",J208*T208/100)</f>
        <v/>
      </c>
      <c r="L208">
        <f>IF($V208="","",Settings!$C$7)</f>
        <v/>
      </c>
      <c r="M208" s="7">
        <f>IF($V208="","",SUMIFS('Per Line'!$AC$2:$AC$1501,'Per Line'!$C$2:$C$1501,$C208,'Per Line'!$AK$2:$AK$1501,0))</f>
        <v/>
      </c>
      <c r="N208" s="7">
        <f>IF($V208="","",M208*L208)</f>
        <v/>
      </c>
      <c r="O208">
        <f>IF($V208="","",Settings!$C$6)</f>
        <v/>
      </c>
      <c r="P208" s="7">
        <f>IF($V208="","",SUMIFS('Per Line'!$AC$2:$AC$1501,'Per Line'!$C$2:$C$1501,$C208,'Per Line'!$AK$2:$AK$1501,1))</f>
        <v/>
      </c>
      <c r="Q208" s="7">
        <f>IF($V208="","",P208*O208)</f>
        <v/>
      </c>
      <c r="R208" s="7">
        <f>IF($V208="","",Q208+N208)</f>
        <v/>
      </c>
      <c r="S208" s="7">
        <f>IF($V208="","",T208-R208)</f>
        <v/>
      </c>
      <c r="T208" s="7">
        <f>IF($V208="","",M208+P208)</f>
        <v/>
      </c>
      <c r="U208" s="7">
        <f>IF($V208="","",T208-R208-K208)</f>
        <v/>
      </c>
      <c r="V208" s="13">
        <f>IF(ROWS($V$2:$V208)&lt;=MAX('Per Line'!$AJ$2:$AJ$1501),MATCH(ROWS($V$2:$V208),'Per Line'!$AJ$2:$AJ$1501,0),"")</f>
        <v/>
      </c>
    </row>
    <row r="209">
      <c r="A209" s="12" t="n"/>
      <c r="B209">
        <f>IF($V209="","",INDEX('Per Line'!$A$2:$A$1501,$V209)&amp;"")</f>
        <v/>
      </c>
      <c r="C209">
        <f>IF($V209="","",INDEX('Per Line'!$C$2:$C$1501,$V209)&amp;"")</f>
        <v/>
      </c>
      <c r="D209" s="11">
        <f>IF($V209="","",INDEX('Per Line'!$S$2:$S$1501,$V209))</f>
        <v/>
      </c>
      <c r="E209">
        <f>IF($V209="","",INDEX('Per Line'!$F$2:$F$1501,$V209)&amp;"")</f>
        <v/>
      </c>
      <c r="F209">
        <f>IF($V209="","",INDEX('Per Line'!$L$2:$L$1501,$V209)&amp;"")</f>
        <v/>
      </c>
      <c r="G209">
        <f>IF($V209="","",INDEX('Per Line'!$O$2:$O$1501,$V209)&amp;"")</f>
        <v/>
      </c>
      <c r="H209">
        <f>IF($V209="","",INDEX('Per Line'!$P$2:$P$1501,$V209)&amp;"")</f>
        <v/>
      </c>
      <c r="I209">
        <f>IF($V209="","",INDEX('Per Line'!$N$2:$N$1501,$V209)&amp;"")</f>
        <v/>
      </c>
      <c r="J209">
        <f>IF($V209="","",INDEX('Per Line'!$Q$2:$Q$1501,$V209))</f>
        <v/>
      </c>
      <c r="K209" s="7">
        <f>IF($V209="","",J209*T209/100)</f>
        <v/>
      </c>
      <c r="L209">
        <f>IF($V209="","",Settings!$C$7)</f>
        <v/>
      </c>
      <c r="M209" s="7">
        <f>IF($V209="","",SUMIFS('Per Line'!$AC$2:$AC$1501,'Per Line'!$C$2:$C$1501,$C209,'Per Line'!$AK$2:$AK$1501,0))</f>
        <v/>
      </c>
      <c r="N209" s="7">
        <f>IF($V209="","",M209*L209)</f>
        <v/>
      </c>
      <c r="O209">
        <f>IF($V209="","",Settings!$C$6)</f>
        <v/>
      </c>
      <c r="P209" s="7">
        <f>IF($V209="","",SUMIFS('Per Line'!$AC$2:$AC$1501,'Per Line'!$C$2:$C$1501,$C209,'Per Line'!$AK$2:$AK$1501,1))</f>
        <v/>
      </c>
      <c r="Q209" s="7">
        <f>IF($V209="","",P209*O209)</f>
        <v/>
      </c>
      <c r="R209" s="7">
        <f>IF($V209="","",Q209+N209)</f>
        <v/>
      </c>
      <c r="S209" s="7">
        <f>IF($V209="","",T209-R209)</f>
        <v/>
      </c>
      <c r="T209" s="7">
        <f>IF($V209="","",M209+P209)</f>
        <v/>
      </c>
      <c r="U209" s="7">
        <f>IF($V209="","",T209-R209-K209)</f>
        <v/>
      </c>
      <c r="V209" s="13">
        <f>IF(ROWS($V$2:$V209)&lt;=MAX('Per Line'!$AJ$2:$AJ$1501),MATCH(ROWS($V$2:$V209),'Per Line'!$AJ$2:$AJ$1501,0),"")</f>
        <v/>
      </c>
    </row>
    <row r="210">
      <c r="A210" s="12" t="n"/>
      <c r="B210">
        <f>IF($V210="","",INDEX('Per Line'!$A$2:$A$1501,$V210)&amp;"")</f>
        <v/>
      </c>
      <c r="C210">
        <f>IF($V210="","",INDEX('Per Line'!$C$2:$C$1501,$V210)&amp;"")</f>
        <v/>
      </c>
      <c r="D210" s="11">
        <f>IF($V210="","",INDEX('Per Line'!$S$2:$S$1501,$V210))</f>
        <v/>
      </c>
      <c r="E210">
        <f>IF($V210="","",INDEX('Per Line'!$F$2:$F$1501,$V210)&amp;"")</f>
        <v/>
      </c>
      <c r="F210">
        <f>IF($V210="","",INDEX('Per Line'!$L$2:$L$1501,$V210)&amp;"")</f>
        <v/>
      </c>
      <c r="G210">
        <f>IF($V210="","",INDEX('Per Line'!$O$2:$O$1501,$V210)&amp;"")</f>
        <v/>
      </c>
      <c r="H210">
        <f>IF($V210="","",INDEX('Per Line'!$P$2:$P$1501,$V210)&amp;"")</f>
        <v/>
      </c>
      <c r="I210">
        <f>IF($V210="","",INDEX('Per Line'!$N$2:$N$1501,$V210)&amp;"")</f>
        <v/>
      </c>
      <c r="J210">
        <f>IF($V210="","",INDEX('Per Line'!$Q$2:$Q$1501,$V210))</f>
        <v/>
      </c>
      <c r="K210" s="7">
        <f>IF($V210="","",J210*T210/100)</f>
        <v/>
      </c>
      <c r="L210">
        <f>IF($V210="","",Settings!$C$7)</f>
        <v/>
      </c>
      <c r="M210" s="7">
        <f>IF($V210="","",SUMIFS('Per Line'!$AC$2:$AC$1501,'Per Line'!$C$2:$C$1501,$C210,'Per Line'!$AK$2:$AK$1501,0))</f>
        <v/>
      </c>
      <c r="N210" s="7">
        <f>IF($V210="","",M210*L210)</f>
        <v/>
      </c>
      <c r="O210">
        <f>IF($V210="","",Settings!$C$6)</f>
        <v/>
      </c>
      <c r="P210" s="7">
        <f>IF($V210="","",SUMIFS('Per Line'!$AC$2:$AC$1501,'Per Line'!$C$2:$C$1501,$C210,'Per Line'!$AK$2:$AK$1501,1))</f>
        <v/>
      </c>
      <c r="Q210" s="7">
        <f>IF($V210="","",P210*O210)</f>
        <v/>
      </c>
      <c r="R210" s="7">
        <f>IF($V210="","",Q210+N210)</f>
        <v/>
      </c>
      <c r="S210" s="7">
        <f>IF($V210="","",T210-R210)</f>
        <v/>
      </c>
      <c r="T210" s="7">
        <f>IF($V210="","",M210+P210)</f>
        <v/>
      </c>
      <c r="U210" s="7">
        <f>IF($V210="","",T210-R210-K210)</f>
        <v/>
      </c>
      <c r="V210" s="13">
        <f>IF(ROWS($V$2:$V210)&lt;=MAX('Per Line'!$AJ$2:$AJ$1501),MATCH(ROWS($V$2:$V210),'Per Line'!$AJ$2:$AJ$1501,0),"")</f>
        <v/>
      </c>
    </row>
    <row r="211">
      <c r="A211" s="12" t="n"/>
      <c r="B211">
        <f>IF($V211="","",INDEX('Per Line'!$A$2:$A$1501,$V211)&amp;"")</f>
        <v/>
      </c>
      <c r="C211">
        <f>IF($V211="","",INDEX('Per Line'!$C$2:$C$1501,$V211)&amp;"")</f>
        <v/>
      </c>
      <c r="D211" s="11">
        <f>IF($V211="","",INDEX('Per Line'!$S$2:$S$1501,$V211))</f>
        <v/>
      </c>
      <c r="E211">
        <f>IF($V211="","",INDEX('Per Line'!$F$2:$F$1501,$V211)&amp;"")</f>
        <v/>
      </c>
      <c r="F211">
        <f>IF($V211="","",INDEX('Per Line'!$L$2:$L$1501,$V211)&amp;"")</f>
        <v/>
      </c>
      <c r="G211">
        <f>IF($V211="","",INDEX('Per Line'!$O$2:$O$1501,$V211)&amp;"")</f>
        <v/>
      </c>
      <c r="H211">
        <f>IF($V211="","",INDEX('Per Line'!$P$2:$P$1501,$V211)&amp;"")</f>
        <v/>
      </c>
      <c r="I211">
        <f>IF($V211="","",INDEX('Per Line'!$N$2:$N$1501,$V211)&amp;"")</f>
        <v/>
      </c>
      <c r="J211">
        <f>IF($V211="","",INDEX('Per Line'!$Q$2:$Q$1501,$V211))</f>
        <v/>
      </c>
      <c r="K211" s="7">
        <f>IF($V211="","",J211*T211/100)</f>
        <v/>
      </c>
      <c r="L211">
        <f>IF($V211="","",Settings!$C$7)</f>
        <v/>
      </c>
      <c r="M211" s="7">
        <f>IF($V211="","",SUMIFS('Per Line'!$AC$2:$AC$1501,'Per Line'!$C$2:$C$1501,$C211,'Per Line'!$AK$2:$AK$1501,0))</f>
        <v/>
      </c>
      <c r="N211" s="7">
        <f>IF($V211="","",M211*L211)</f>
        <v/>
      </c>
      <c r="O211">
        <f>IF($V211="","",Settings!$C$6)</f>
        <v/>
      </c>
      <c r="P211" s="7">
        <f>IF($V211="","",SUMIFS('Per Line'!$AC$2:$AC$1501,'Per Line'!$C$2:$C$1501,$C211,'Per Line'!$AK$2:$AK$1501,1))</f>
        <v/>
      </c>
      <c r="Q211" s="7">
        <f>IF($V211="","",P211*O211)</f>
        <v/>
      </c>
      <c r="R211" s="7">
        <f>IF($V211="","",Q211+N211)</f>
        <v/>
      </c>
      <c r="S211" s="7">
        <f>IF($V211="","",T211-R211)</f>
        <v/>
      </c>
      <c r="T211" s="7">
        <f>IF($V211="","",M211+P211)</f>
        <v/>
      </c>
      <c r="U211" s="7">
        <f>IF($V211="","",T211-R211-K211)</f>
        <v/>
      </c>
      <c r="V211" s="13">
        <f>IF(ROWS($V$2:$V211)&lt;=MAX('Per Line'!$AJ$2:$AJ$1501),MATCH(ROWS($V$2:$V211),'Per Line'!$AJ$2:$AJ$1501,0),"")</f>
        <v/>
      </c>
    </row>
    <row r="212">
      <c r="A212" s="12" t="n"/>
      <c r="B212">
        <f>IF($V212="","",INDEX('Per Line'!$A$2:$A$1501,$V212)&amp;"")</f>
        <v/>
      </c>
      <c r="C212">
        <f>IF($V212="","",INDEX('Per Line'!$C$2:$C$1501,$V212)&amp;"")</f>
        <v/>
      </c>
      <c r="D212" s="11">
        <f>IF($V212="","",INDEX('Per Line'!$S$2:$S$1501,$V212))</f>
        <v/>
      </c>
      <c r="E212">
        <f>IF($V212="","",INDEX('Per Line'!$F$2:$F$1501,$V212)&amp;"")</f>
        <v/>
      </c>
      <c r="F212">
        <f>IF($V212="","",INDEX('Per Line'!$L$2:$L$1501,$V212)&amp;"")</f>
        <v/>
      </c>
      <c r="G212">
        <f>IF($V212="","",INDEX('Per Line'!$O$2:$O$1501,$V212)&amp;"")</f>
        <v/>
      </c>
      <c r="H212">
        <f>IF($V212="","",INDEX('Per Line'!$P$2:$P$1501,$V212)&amp;"")</f>
        <v/>
      </c>
      <c r="I212">
        <f>IF($V212="","",INDEX('Per Line'!$N$2:$N$1501,$V212)&amp;"")</f>
        <v/>
      </c>
      <c r="J212">
        <f>IF($V212="","",INDEX('Per Line'!$Q$2:$Q$1501,$V212))</f>
        <v/>
      </c>
      <c r="K212" s="7">
        <f>IF($V212="","",J212*T212/100)</f>
        <v/>
      </c>
      <c r="L212">
        <f>IF($V212="","",Settings!$C$7)</f>
        <v/>
      </c>
      <c r="M212" s="7">
        <f>IF($V212="","",SUMIFS('Per Line'!$AC$2:$AC$1501,'Per Line'!$C$2:$C$1501,$C212,'Per Line'!$AK$2:$AK$1501,0))</f>
        <v/>
      </c>
      <c r="N212" s="7">
        <f>IF($V212="","",M212*L212)</f>
        <v/>
      </c>
      <c r="O212">
        <f>IF($V212="","",Settings!$C$6)</f>
        <v/>
      </c>
      <c r="P212" s="7">
        <f>IF($V212="","",SUMIFS('Per Line'!$AC$2:$AC$1501,'Per Line'!$C$2:$C$1501,$C212,'Per Line'!$AK$2:$AK$1501,1))</f>
        <v/>
      </c>
      <c r="Q212" s="7">
        <f>IF($V212="","",P212*O212)</f>
        <v/>
      </c>
      <c r="R212" s="7">
        <f>IF($V212="","",Q212+N212)</f>
        <v/>
      </c>
      <c r="S212" s="7">
        <f>IF($V212="","",T212-R212)</f>
        <v/>
      </c>
      <c r="T212" s="7">
        <f>IF($V212="","",M212+P212)</f>
        <v/>
      </c>
      <c r="U212" s="7">
        <f>IF($V212="","",T212-R212-K212)</f>
        <v/>
      </c>
      <c r="V212" s="13">
        <f>IF(ROWS($V$2:$V212)&lt;=MAX('Per Line'!$AJ$2:$AJ$1501),MATCH(ROWS($V$2:$V212),'Per Line'!$AJ$2:$AJ$1501,0),"")</f>
        <v/>
      </c>
    </row>
    <row r="213">
      <c r="A213" s="12" t="n"/>
      <c r="B213">
        <f>IF($V213="","",INDEX('Per Line'!$A$2:$A$1501,$V213)&amp;"")</f>
        <v/>
      </c>
      <c r="C213">
        <f>IF($V213="","",INDEX('Per Line'!$C$2:$C$1501,$V213)&amp;"")</f>
        <v/>
      </c>
      <c r="D213" s="11">
        <f>IF($V213="","",INDEX('Per Line'!$S$2:$S$1501,$V213))</f>
        <v/>
      </c>
      <c r="E213">
        <f>IF($V213="","",INDEX('Per Line'!$F$2:$F$1501,$V213)&amp;"")</f>
        <v/>
      </c>
      <c r="F213">
        <f>IF($V213="","",INDEX('Per Line'!$L$2:$L$1501,$V213)&amp;"")</f>
        <v/>
      </c>
      <c r="G213">
        <f>IF($V213="","",INDEX('Per Line'!$O$2:$O$1501,$V213)&amp;"")</f>
        <v/>
      </c>
      <c r="H213">
        <f>IF($V213="","",INDEX('Per Line'!$P$2:$P$1501,$V213)&amp;"")</f>
        <v/>
      </c>
      <c r="I213">
        <f>IF($V213="","",INDEX('Per Line'!$N$2:$N$1501,$V213)&amp;"")</f>
        <v/>
      </c>
      <c r="J213">
        <f>IF($V213="","",INDEX('Per Line'!$Q$2:$Q$1501,$V213))</f>
        <v/>
      </c>
      <c r="K213" s="7">
        <f>IF($V213="","",J213*T213/100)</f>
        <v/>
      </c>
      <c r="L213">
        <f>IF($V213="","",Settings!$C$7)</f>
        <v/>
      </c>
      <c r="M213" s="7">
        <f>IF($V213="","",SUMIFS('Per Line'!$AC$2:$AC$1501,'Per Line'!$C$2:$C$1501,$C213,'Per Line'!$AK$2:$AK$1501,0))</f>
        <v/>
      </c>
      <c r="N213" s="7">
        <f>IF($V213="","",M213*L213)</f>
        <v/>
      </c>
      <c r="O213">
        <f>IF($V213="","",Settings!$C$6)</f>
        <v/>
      </c>
      <c r="P213" s="7">
        <f>IF($V213="","",SUMIFS('Per Line'!$AC$2:$AC$1501,'Per Line'!$C$2:$C$1501,$C213,'Per Line'!$AK$2:$AK$1501,1))</f>
        <v/>
      </c>
      <c r="Q213" s="7">
        <f>IF($V213="","",P213*O213)</f>
        <v/>
      </c>
      <c r="R213" s="7">
        <f>IF($V213="","",Q213+N213)</f>
        <v/>
      </c>
      <c r="S213" s="7">
        <f>IF($V213="","",T213-R213)</f>
        <v/>
      </c>
      <c r="T213" s="7">
        <f>IF($V213="","",M213+P213)</f>
        <v/>
      </c>
      <c r="U213" s="7">
        <f>IF($V213="","",T213-R213-K213)</f>
        <v/>
      </c>
      <c r="V213" s="13">
        <f>IF(ROWS($V$2:$V213)&lt;=MAX('Per Line'!$AJ$2:$AJ$1501),MATCH(ROWS($V$2:$V213),'Per Line'!$AJ$2:$AJ$1501,0),"")</f>
        <v/>
      </c>
    </row>
    <row r="214">
      <c r="A214" s="12" t="n"/>
      <c r="B214">
        <f>IF($V214="","",INDEX('Per Line'!$A$2:$A$1501,$V214)&amp;"")</f>
        <v/>
      </c>
      <c r="C214">
        <f>IF($V214="","",INDEX('Per Line'!$C$2:$C$1501,$V214)&amp;"")</f>
        <v/>
      </c>
      <c r="D214" s="11">
        <f>IF($V214="","",INDEX('Per Line'!$S$2:$S$1501,$V214))</f>
        <v/>
      </c>
      <c r="E214">
        <f>IF($V214="","",INDEX('Per Line'!$F$2:$F$1501,$V214)&amp;"")</f>
        <v/>
      </c>
      <c r="F214">
        <f>IF($V214="","",INDEX('Per Line'!$L$2:$L$1501,$V214)&amp;"")</f>
        <v/>
      </c>
      <c r="G214">
        <f>IF($V214="","",INDEX('Per Line'!$O$2:$O$1501,$V214)&amp;"")</f>
        <v/>
      </c>
      <c r="H214">
        <f>IF($V214="","",INDEX('Per Line'!$P$2:$P$1501,$V214)&amp;"")</f>
        <v/>
      </c>
      <c r="I214">
        <f>IF($V214="","",INDEX('Per Line'!$N$2:$N$1501,$V214)&amp;"")</f>
        <v/>
      </c>
      <c r="J214">
        <f>IF($V214="","",INDEX('Per Line'!$Q$2:$Q$1501,$V214))</f>
        <v/>
      </c>
      <c r="K214" s="7">
        <f>IF($V214="","",J214*T214/100)</f>
        <v/>
      </c>
      <c r="L214">
        <f>IF($V214="","",Settings!$C$7)</f>
        <v/>
      </c>
      <c r="M214" s="7">
        <f>IF($V214="","",SUMIFS('Per Line'!$AC$2:$AC$1501,'Per Line'!$C$2:$C$1501,$C214,'Per Line'!$AK$2:$AK$1501,0))</f>
        <v/>
      </c>
      <c r="N214" s="7">
        <f>IF($V214="","",M214*L214)</f>
        <v/>
      </c>
      <c r="O214">
        <f>IF($V214="","",Settings!$C$6)</f>
        <v/>
      </c>
      <c r="P214" s="7">
        <f>IF($V214="","",SUMIFS('Per Line'!$AC$2:$AC$1501,'Per Line'!$C$2:$C$1501,$C214,'Per Line'!$AK$2:$AK$1501,1))</f>
        <v/>
      </c>
      <c r="Q214" s="7">
        <f>IF($V214="","",P214*O214)</f>
        <v/>
      </c>
      <c r="R214" s="7">
        <f>IF($V214="","",Q214+N214)</f>
        <v/>
      </c>
      <c r="S214" s="7">
        <f>IF($V214="","",T214-R214)</f>
        <v/>
      </c>
      <c r="T214" s="7">
        <f>IF($V214="","",M214+P214)</f>
        <v/>
      </c>
      <c r="U214" s="7">
        <f>IF($V214="","",T214-R214-K214)</f>
        <v/>
      </c>
      <c r="V214" s="13">
        <f>IF(ROWS($V$2:$V214)&lt;=MAX('Per Line'!$AJ$2:$AJ$1501),MATCH(ROWS($V$2:$V214),'Per Line'!$AJ$2:$AJ$1501,0),"")</f>
        <v/>
      </c>
    </row>
    <row r="215">
      <c r="A215" s="12" t="n"/>
      <c r="B215">
        <f>IF($V215="","",INDEX('Per Line'!$A$2:$A$1501,$V215)&amp;"")</f>
        <v/>
      </c>
      <c r="C215">
        <f>IF($V215="","",INDEX('Per Line'!$C$2:$C$1501,$V215)&amp;"")</f>
        <v/>
      </c>
      <c r="D215" s="11">
        <f>IF($V215="","",INDEX('Per Line'!$S$2:$S$1501,$V215))</f>
        <v/>
      </c>
      <c r="E215">
        <f>IF($V215="","",INDEX('Per Line'!$F$2:$F$1501,$V215)&amp;"")</f>
        <v/>
      </c>
      <c r="F215">
        <f>IF($V215="","",INDEX('Per Line'!$L$2:$L$1501,$V215)&amp;"")</f>
        <v/>
      </c>
      <c r="G215">
        <f>IF($V215="","",INDEX('Per Line'!$O$2:$O$1501,$V215)&amp;"")</f>
        <v/>
      </c>
      <c r="H215">
        <f>IF($V215="","",INDEX('Per Line'!$P$2:$P$1501,$V215)&amp;"")</f>
        <v/>
      </c>
      <c r="I215">
        <f>IF($V215="","",INDEX('Per Line'!$N$2:$N$1501,$V215)&amp;"")</f>
        <v/>
      </c>
      <c r="J215">
        <f>IF($V215="","",INDEX('Per Line'!$Q$2:$Q$1501,$V215))</f>
        <v/>
      </c>
      <c r="K215" s="7">
        <f>IF($V215="","",J215*T215/100)</f>
        <v/>
      </c>
      <c r="L215">
        <f>IF($V215="","",Settings!$C$7)</f>
        <v/>
      </c>
      <c r="M215" s="7">
        <f>IF($V215="","",SUMIFS('Per Line'!$AC$2:$AC$1501,'Per Line'!$C$2:$C$1501,$C215,'Per Line'!$AK$2:$AK$1501,0))</f>
        <v/>
      </c>
      <c r="N215" s="7">
        <f>IF($V215="","",M215*L215)</f>
        <v/>
      </c>
      <c r="O215">
        <f>IF($V215="","",Settings!$C$6)</f>
        <v/>
      </c>
      <c r="P215" s="7">
        <f>IF($V215="","",SUMIFS('Per Line'!$AC$2:$AC$1501,'Per Line'!$C$2:$C$1501,$C215,'Per Line'!$AK$2:$AK$1501,1))</f>
        <v/>
      </c>
      <c r="Q215" s="7">
        <f>IF($V215="","",P215*O215)</f>
        <v/>
      </c>
      <c r="R215" s="7">
        <f>IF($V215="","",Q215+N215)</f>
        <v/>
      </c>
      <c r="S215" s="7">
        <f>IF($V215="","",T215-R215)</f>
        <v/>
      </c>
      <c r="T215" s="7">
        <f>IF($V215="","",M215+P215)</f>
        <v/>
      </c>
      <c r="U215" s="7">
        <f>IF($V215="","",T215-R215-K215)</f>
        <v/>
      </c>
      <c r="V215" s="13">
        <f>IF(ROWS($V$2:$V215)&lt;=MAX('Per Line'!$AJ$2:$AJ$1501),MATCH(ROWS($V$2:$V215),'Per Line'!$AJ$2:$AJ$1501,0),"")</f>
        <v/>
      </c>
    </row>
    <row r="216">
      <c r="A216" s="12" t="n"/>
      <c r="B216">
        <f>IF($V216="","",INDEX('Per Line'!$A$2:$A$1501,$V216)&amp;"")</f>
        <v/>
      </c>
      <c r="C216">
        <f>IF($V216="","",INDEX('Per Line'!$C$2:$C$1501,$V216)&amp;"")</f>
        <v/>
      </c>
      <c r="D216" s="11">
        <f>IF($V216="","",INDEX('Per Line'!$S$2:$S$1501,$V216))</f>
        <v/>
      </c>
      <c r="E216">
        <f>IF($V216="","",INDEX('Per Line'!$F$2:$F$1501,$V216)&amp;"")</f>
        <v/>
      </c>
      <c r="F216">
        <f>IF($V216="","",INDEX('Per Line'!$L$2:$L$1501,$V216)&amp;"")</f>
        <v/>
      </c>
      <c r="G216">
        <f>IF($V216="","",INDEX('Per Line'!$O$2:$O$1501,$V216)&amp;"")</f>
        <v/>
      </c>
      <c r="H216">
        <f>IF($V216="","",INDEX('Per Line'!$P$2:$P$1501,$V216)&amp;"")</f>
        <v/>
      </c>
      <c r="I216">
        <f>IF($V216="","",INDEX('Per Line'!$N$2:$N$1501,$V216)&amp;"")</f>
        <v/>
      </c>
      <c r="J216">
        <f>IF($V216="","",INDEX('Per Line'!$Q$2:$Q$1501,$V216))</f>
        <v/>
      </c>
      <c r="K216" s="7">
        <f>IF($V216="","",J216*T216/100)</f>
        <v/>
      </c>
      <c r="L216">
        <f>IF($V216="","",Settings!$C$7)</f>
        <v/>
      </c>
      <c r="M216" s="7">
        <f>IF($V216="","",SUMIFS('Per Line'!$AC$2:$AC$1501,'Per Line'!$C$2:$C$1501,$C216,'Per Line'!$AK$2:$AK$1501,0))</f>
        <v/>
      </c>
      <c r="N216" s="7">
        <f>IF($V216="","",M216*L216)</f>
        <v/>
      </c>
      <c r="O216">
        <f>IF($V216="","",Settings!$C$6)</f>
        <v/>
      </c>
      <c r="P216" s="7">
        <f>IF($V216="","",SUMIFS('Per Line'!$AC$2:$AC$1501,'Per Line'!$C$2:$C$1501,$C216,'Per Line'!$AK$2:$AK$1501,1))</f>
        <v/>
      </c>
      <c r="Q216" s="7">
        <f>IF($V216="","",P216*O216)</f>
        <v/>
      </c>
      <c r="R216" s="7">
        <f>IF($V216="","",Q216+N216)</f>
        <v/>
      </c>
      <c r="S216" s="7">
        <f>IF($V216="","",T216-R216)</f>
        <v/>
      </c>
      <c r="T216" s="7">
        <f>IF($V216="","",M216+P216)</f>
        <v/>
      </c>
      <c r="U216" s="7">
        <f>IF($V216="","",T216-R216-K216)</f>
        <v/>
      </c>
      <c r="V216" s="13">
        <f>IF(ROWS($V$2:$V216)&lt;=MAX('Per Line'!$AJ$2:$AJ$1501),MATCH(ROWS($V$2:$V216),'Per Line'!$AJ$2:$AJ$1501,0),"")</f>
        <v/>
      </c>
    </row>
    <row r="217">
      <c r="A217" s="12" t="n"/>
      <c r="B217">
        <f>IF($V217="","",INDEX('Per Line'!$A$2:$A$1501,$V217)&amp;"")</f>
        <v/>
      </c>
      <c r="C217">
        <f>IF($V217="","",INDEX('Per Line'!$C$2:$C$1501,$V217)&amp;"")</f>
        <v/>
      </c>
      <c r="D217" s="11">
        <f>IF($V217="","",INDEX('Per Line'!$S$2:$S$1501,$V217))</f>
        <v/>
      </c>
      <c r="E217">
        <f>IF($V217="","",INDEX('Per Line'!$F$2:$F$1501,$V217)&amp;"")</f>
        <v/>
      </c>
      <c r="F217">
        <f>IF($V217="","",INDEX('Per Line'!$L$2:$L$1501,$V217)&amp;"")</f>
        <v/>
      </c>
      <c r="G217">
        <f>IF($V217="","",INDEX('Per Line'!$O$2:$O$1501,$V217)&amp;"")</f>
        <v/>
      </c>
      <c r="H217">
        <f>IF($V217="","",INDEX('Per Line'!$P$2:$P$1501,$V217)&amp;"")</f>
        <v/>
      </c>
      <c r="I217">
        <f>IF($V217="","",INDEX('Per Line'!$N$2:$N$1501,$V217)&amp;"")</f>
        <v/>
      </c>
      <c r="J217">
        <f>IF($V217="","",INDEX('Per Line'!$Q$2:$Q$1501,$V217))</f>
        <v/>
      </c>
      <c r="K217" s="7">
        <f>IF($V217="","",J217*T217/100)</f>
        <v/>
      </c>
      <c r="L217">
        <f>IF($V217="","",Settings!$C$7)</f>
        <v/>
      </c>
      <c r="M217" s="7">
        <f>IF($V217="","",SUMIFS('Per Line'!$AC$2:$AC$1501,'Per Line'!$C$2:$C$1501,$C217,'Per Line'!$AK$2:$AK$1501,0))</f>
        <v/>
      </c>
      <c r="N217" s="7">
        <f>IF($V217="","",M217*L217)</f>
        <v/>
      </c>
      <c r="O217">
        <f>IF($V217="","",Settings!$C$6)</f>
        <v/>
      </c>
      <c r="P217" s="7">
        <f>IF($V217="","",SUMIFS('Per Line'!$AC$2:$AC$1501,'Per Line'!$C$2:$C$1501,$C217,'Per Line'!$AK$2:$AK$1501,1))</f>
        <v/>
      </c>
      <c r="Q217" s="7">
        <f>IF($V217="","",P217*O217)</f>
        <v/>
      </c>
      <c r="R217" s="7">
        <f>IF($V217="","",Q217+N217)</f>
        <v/>
      </c>
      <c r="S217" s="7">
        <f>IF($V217="","",T217-R217)</f>
        <v/>
      </c>
      <c r="T217" s="7">
        <f>IF($V217="","",M217+P217)</f>
        <v/>
      </c>
      <c r="U217" s="7">
        <f>IF($V217="","",T217-R217-K217)</f>
        <v/>
      </c>
      <c r="V217" s="13">
        <f>IF(ROWS($V$2:$V217)&lt;=MAX('Per Line'!$AJ$2:$AJ$1501),MATCH(ROWS($V$2:$V217),'Per Line'!$AJ$2:$AJ$1501,0),"")</f>
        <v/>
      </c>
    </row>
    <row r="218">
      <c r="A218" s="12" t="n"/>
      <c r="B218">
        <f>IF($V218="","",INDEX('Per Line'!$A$2:$A$1501,$V218)&amp;"")</f>
        <v/>
      </c>
      <c r="C218">
        <f>IF($V218="","",INDEX('Per Line'!$C$2:$C$1501,$V218)&amp;"")</f>
        <v/>
      </c>
      <c r="D218" s="11">
        <f>IF($V218="","",INDEX('Per Line'!$S$2:$S$1501,$V218))</f>
        <v/>
      </c>
      <c r="E218">
        <f>IF($V218="","",INDEX('Per Line'!$F$2:$F$1501,$V218)&amp;"")</f>
        <v/>
      </c>
      <c r="F218">
        <f>IF($V218="","",INDEX('Per Line'!$L$2:$L$1501,$V218)&amp;"")</f>
        <v/>
      </c>
      <c r="G218">
        <f>IF($V218="","",INDEX('Per Line'!$O$2:$O$1501,$V218)&amp;"")</f>
        <v/>
      </c>
      <c r="H218">
        <f>IF($V218="","",INDEX('Per Line'!$P$2:$P$1501,$V218)&amp;"")</f>
        <v/>
      </c>
      <c r="I218">
        <f>IF($V218="","",INDEX('Per Line'!$N$2:$N$1501,$V218)&amp;"")</f>
        <v/>
      </c>
      <c r="J218">
        <f>IF($V218="","",INDEX('Per Line'!$Q$2:$Q$1501,$V218))</f>
        <v/>
      </c>
      <c r="K218" s="7">
        <f>IF($V218="","",J218*T218/100)</f>
        <v/>
      </c>
      <c r="L218">
        <f>IF($V218="","",Settings!$C$7)</f>
        <v/>
      </c>
      <c r="M218" s="7">
        <f>IF($V218="","",SUMIFS('Per Line'!$AC$2:$AC$1501,'Per Line'!$C$2:$C$1501,$C218,'Per Line'!$AK$2:$AK$1501,0))</f>
        <v/>
      </c>
      <c r="N218" s="7">
        <f>IF($V218="","",M218*L218)</f>
        <v/>
      </c>
      <c r="O218">
        <f>IF($V218="","",Settings!$C$6)</f>
        <v/>
      </c>
      <c r="P218" s="7">
        <f>IF($V218="","",SUMIFS('Per Line'!$AC$2:$AC$1501,'Per Line'!$C$2:$C$1501,$C218,'Per Line'!$AK$2:$AK$1501,1))</f>
        <v/>
      </c>
      <c r="Q218" s="7">
        <f>IF($V218="","",P218*O218)</f>
        <v/>
      </c>
      <c r="R218" s="7">
        <f>IF($V218="","",Q218+N218)</f>
        <v/>
      </c>
      <c r="S218" s="7">
        <f>IF($V218="","",T218-R218)</f>
        <v/>
      </c>
      <c r="T218" s="7">
        <f>IF($V218="","",M218+P218)</f>
        <v/>
      </c>
      <c r="U218" s="7">
        <f>IF($V218="","",T218-R218-K218)</f>
        <v/>
      </c>
      <c r="V218" s="13">
        <f>IF(ROWS($V$2:$V218)&lt;=MAX('Per Line'!$AJ$2:$AJ$1501),MATCH(ROWS($V$2:$V218),'Per Line'!$AJ$2:$AJ$1501,0),"")</f>
        <v/>
      </c>
    </row>
    <row r="219">
      <c r="A219" s="12" t="n"/>
      <c r="B219">
        <f>IF($V219="","",INDEX('Per Line'!$A$2:$A$1501,$V219)&amp;"")</f>
        <v/>
      </c>
      <c r="C219">
        <f>IF($V219="","",INDEX('Per Line'!$C$2:$C$1501,$V219)&amp;"")</f>
        <v/>
      </c>
      <c r="D219" s="11">
        <f>IF($V219="","",INDEX('Per Line'!$S$2:$S$1501,$V219))</f>
        <v/>
      </c>
      <c r="E219">
        <f>IF($V219="","",INDEX('Per Line'!$F$2:$F$1501,$V219)&amp;"")</f>
        <v/>
      </c>
      <c r="F219">
        <f>IF($V219="","",INDEX('Per Line'!$L$2:$L$1501,$V219)&amp;"")</f>
        <v/>
      </c>
      <c r="G219">
        <f>IF($V219="","",INDEX('Per Line'!$O$2:$O$1501,$V219)&amp;"")</f>
        <v/>
      </c>
      <c r="H219">
        <f>IF($V219="","",INDEX('Per Line'!$P$2:$P$1501,$V219)&amp;"")</f>
        <v/>
      </c>
      <c r="I219">
        <f>IF($V219="","",INDEX('Per Line'!$N$2:$N$1501,$V219)&amp;"")</f>
        <v/>
      </c>
      <c r="J219">
        <f>IF($V219="","",INDEX('Per Line'!$Q$2:$Q$1501,$V219))</f>
        <v/>
      </c>
      <c r="K219" s="7">
        <f>IF($V219="","",J219*T219/100)</f>
        <v/>
      </c>
      <c r="L219">
        <f>IF($V219="","",Settings!$C$7)</f>
        <v/>
      </c>
      <c r="M219" s="7">
        <f>IF($V219="","",SUMIFS('Per Line'!$AC$2:$AC$1501,'Per Line'!$C$2:$C$1501,$C219,'Per Line'!$AK$2:$AK$1501,0))</f>
        <v/>
      </c>
      <c r="N219" s="7">
        <f>IF($V219="","",M219*L219)</f>
        <v/>
      </c>
      <c r="O219">
        <f>IF($V219="","",Settings!$C$6)</f>
        <v/>
      </c>
      <c r="P219" s="7">
        <f>IF($V219="","",SUMIFS('Per Line'!$AC$2:$AC$1501,'Per Line'!$C$2:$C$1501,$C219,'Per Line'!$AK$2:$AK$1501,1))</f>
        <v/>
      </c>
      <c r="Q219" s="7">
        <f>IF($V219="","",P219*O219)</f>
        <v/>
      </c>
      <c r="R219" s="7">
        <f>IF($V219="","",Q219+N219)</f>
        <v/>
      </c>
      <c r="S219" s="7">
        <f>IF($V219="","",T219-R219)</f>
        <v/>
      </c>
      <c r="T219" s="7">
        <f>IF($V219="","",M219+P219)</f>
        <v/>
      </c>
      <c r="U219" s="7">
        <f>IF($V219="","",T219-R219-K219)</f>
        <v/>
      </c>
      <c r="V219" s="13">
        <f>IF(ROWS($V$2:$V219)&lt;=MAX('Per Line'!$AJ$2:$AJ$1501),MATCH(ROWS($V$2:$V219),'Per Line'!$AJ$2:$AJ$1501,0),"")</f>
        <v/>
      </c>
    </row>
    <row r="220">
      <c r="A220" s="12" t="n"/>
      <c r="B220">
        <f>IF($V220="","",INDEX('Per Line'!$A$2:$A$1501,$V220)&amp;"")</f>
        <v/>
      </c>
      <c r="C220">
        <f>IF($V220="","",INDEX('Per Line'!$C$2:$C$1501,$V220)&amp;"")</f>
        <v/>
      </c>
      <c r="D220" s="11">
        <f>IF($V220="","",INDEX('Per Line'!$S$2:$S$1501,$V220))</f>
        <v/>
      </c>
      <c r="E220">
        <f>IF($V220="","",INDEX('Per Line'!$F$2:$F$1501,$V220)&amp;"")</f>
        <v/>
      </c>
      <c r="F220">
        <f>IF($V220="","",INDEX('Per Line'!$L$2:$L$1501,$V220)&amp;"")</f>
        <v/>
      </c>
      <c r="G220">
        <f>IF($V220="","",INDEX('Per Line'!$O$2:$O$1501,$V220)&amp;"")</f>
        <v/>
      </c>
      <c r="H220">
        <f>IF($V220="","",INDEX('Per Line'!$P$2:$P$1501,$V220)&amp;"")</f>
        <v/>
      </c>
      <c r="I220">
        <f>IF($V220="","",INDEX('Per Line'!$N$2:$N$1501,$V220)&amp;"")</f>
        <v/>
      </c>
      <c r="J220">
        <f>IF($V220="","",INDEX('Per Line'!$Q$2:$Q$1501,$V220))</f>
        <v/>
      </c>
      <c r="K220" s="7">
        <f>IF($V220="","",J220*T220/100)</f>
        <v/>
      </c>
      <c r="L220">
        <f>IF($V220="","",Settings!$C$7)</f>
        <v/>
      </c>
      <c r="M220" s="7">
        <f>IF($V220="","",SUMIFS('Per Line'!$AC$2:$AC$1501,'Per Line'!$C$2:$C$1501,$C220,'Per Line'!$AK$2:$AK$1501,0))</f>
        <v/>
      </c>
      <c r="N220" s="7">
        <f>IF($V220="","",M220*L220)</f>
        <v/>
      </c>
      <c r="O220">
        <f>IF($V220="","",Settings!$C$6)</f>
        <v/>
      </c>
      <c r="P220" s="7">
        <f>IF($V220="","",SUMIFS('Per Line'!$AC$2:$AC$1501,'Per Line'!$C$2:$C$1501,$C220,'Per Line'!$AK$2:$AK$1501,1))</f>
        <v/>
      </c>
      <c r="Q220" s="7">
        <f>IF($V220="","",P220*O220)</f>
        <v/>
      </c>
      <c r="R220" s="7">
        <f>IF($V220="","",Q220+N220)</f>
        <v/>
      </c>
      <c r="S220" s="7">
        <f>IF($V220="","",T220-R220)</f>
        <v/>
      </c>
      <c r="T220" s="7">
        <f>IF($V220="","",M220+P220)</f>
        <v/>
      </c>
      <c r="U220" s="7">
        <f>IF($V220="","",T220-R220-K220)</f>
        <v/>
      </c>
      <c r="V220" s="13">
        <f>IF(ROWS($V$2:$V220)&lt;=MAX('Per Line'!$AJ$2:$AJ$1501),MATCH(ROWS($V$2:$V220),'Per Line'!$AJ$2:$AJ$1501,0),"")</f>
        <v/>
      </c>
    </row>
    <row r="221">
      <c r="A221" s="12" t="n"/>
      <c r="B221">
        <f>IF($V221="","",INDEX('Per Line'!$A$2:$A$1501,$V221)&amp;"")</f>
        <v/>
      </c>
      <c r="C221">
        <f>IF($V221="","",INDEX('Per Line'!$C$2:$C$1501,$V221)&amp;"")</f>
        <v/>
      </c>
      <c r="D221" s="11">
        <f>IF($V221="","",INDEX('Per Line'!$S$2:$S$1501,$V221))</f>
        <v/>
      </c>
      <c r="E221">
        <f>IF($V221="","",INDEX('Per Line'!$F$2:$F$1501,$V221)&amp;"")</f>
        <v/>
      </c>
      <c r="F221">
        <f>IF($V221="","",INDEX('Per Line'!$L$2:$L$1501,$V221)&amp;"")</f>
        <v/>
      </c>
      <c r="G221">
        <f>IF($V221="","",INDEX('Per Line'!$O$2:$O$1501,$V221)&amp;"")</f>
        <v/>
      </c>
      <c r="H221">
        <f>IF($V221="","",INDEX('Per Line'!$P$2:$P$1501,$V221)&amp;"")</f>
        <v/>
      </c>
      <c r="I221">
        <f>IF($V221="","",INDEX('Per Line'!$N$2:$N$1501,$V221)&amp;"")</f>
        <v/>
      </c>
      <c r="J221">
        <f>IF($V221="","",INDEX('Per Line'!$Q$2:$Q$1501,$V221))</f>
        <v/>
      </c>
      <c r="K221" s="7">
        <f>IF($V221="","",J221*T221/100)</f>
        <v/>
      </c>
      <c r="L221">
        <f>IF($V221="","",Settings!$C$7)</f>
        <v/>
      </c>
      <c r="M221" s="7">
        <f>IF($V221="","",SUMIFS('Per Line'!$AC$2:$AC$1501,'Per Line'!$C$2:$C$1501,$C221,'Per Line'!$AK$2:$AK$1501,0))</f>
        <v/>
      </c>
      <c r="N221" s="7">
        <f>IF($V221="","",M221*L221)</f>
        <v/>
      </c>
      <c r="O221">
        <f>IF($V221="","",Settings!$C$6)</f>
        <v/>
      </c>
      <c r="P221" s="7">
        <f>IF($V221="","",SUMIFS('Per Line'!$AC$2:$AC$1501,'Per Line'!$C$2:$C$1501,$C221,'Per Line'!$AK$2:$AK$1501,1))</f>
        <v/>
      </c>
      <c r="Q221" s="7">
        <f>IF($V221="","",P221*O221)</f>
        <v/>
      </c>
      <c r="R221" s="7">
        <f>IF($V221="","",Q221+N221)</f>
        <v/>
      </c>
      <c r="S221" s="7">
        <f>IF($V221="","",T221-R221)</f>
        <v/>
      </c>
      <c r="T221" s="7">
        <f>IF($V221="","",M221+P221)</f>
        <v/>
      </c>
      <c r="U221" s="7">
        <f>IF($V221="","",T221-R221-K221)</f>
        <v/>
      </c>
      <c r="V221" s="13">
        <f>IF(ROWS($V$2:$V221)&lt;=MAX('Per Line'!$AJ$2:$AJ$1501),MATCH(ROWS($V$2:$V221),'Per Line'!$AJ$2:$AJ$1501,0),"")</f>
        <v/>
      </c>
    </row>
    <row r="222">
      <c r="A222" s="12" t="n"/>
      <c r="B222">
        <f>IF($V222="","",INDEX('Per Line'!$A$2:$A$1501,$V222)&amp;"")</f>
        <v/>
      </c>
      <c r="C222">
        <f>IF($V222="","",INDEX('Per Line'!$C$2:$C$1501,$V222)&amp;"")</f>
        <v/>
      </c>
      <c r="D222" s="11">
        <f>IF($V222="","",INDEX('Per Line'!$S$2:$S$1501,$V222))</f>
        <v/>
      </c>
      <c r="E222">
        <f>IF($V222="","",INDEX('Per Line'!$F$2:$F$1501,$V222)&amp;"")</f>
        <v/>
      </c>
      <c r="F222">
        <f>IF($V222="","",INDEX('Per Line'!$L$2:$L$1501,$V222)&amp;"")</f>
        <v/>
      </c>
      <c r="G222">
        <f>IF($V222="","",INDEX('Per Line'!$O$2:$O$1501,$V222)&amp;"")</f>
        <v/>
      </c>
      <c r="H222">
        <f>IF($V222="","",INDEX('Per Line'!$P$2:$P$1501,$V222)&amp;"")</f>
        <v/>
      </c>
      <c r="I222">
        <f>IF($V222="","",INDEX('Per Line'!$N$2:$N$1501,$V222)&amp;"")</f>
        <v/>
      </c>
      <c r="J222">
        <f>IF($V222="","",INDEX('Per Line'!$Q$2:$Q$1501,$V222))</f>
        <v/>
      </c>
      <c r="K222" s="7">
        <f>IF($V222="","",J222*T222/100)</f>
        <v/>
      </c>
      <c r="L222">
        <f>IF($V222="","",Settings!$C$7)</f>
        <v/>
      </c>
      <c r="M222" s="7">
        <f>IF($V222="","",SUMIFS('Per Line'!$AC$2:$AC$1501,'Per Line'!$C$2:$C$1501,$C222,'Per Line'!$AK$2:$AK$1501,0))</f>
        <v/>
      </c>
      <c r="N222" s="7">
        <f>IF($V222="","",M222*L222)</f>
        <v/>
      </c>
      <c r="O222">
        <f>IF($V222="","",Settings!$C$6)</f>
        <v/>
      </c>
      <c r="P222" s="7">
        <f>IF($V222="","",SUMIFS('Per Line'!$AC$2:$AC$1501,'Per Line'!$C$2:$C$1501,$C222,'Per Line'!$AK$2:$AK$1501,1))</f>
        <v/>
      </c>
      <c r="Q222" s="7">
        <f>IF($V222="","",P222*O222)</f>
        <v/>
      </c>
      <c r="R222" s="7">
        <f>IF($V222="","",Q222+N222)</f>
        <v/>
      </c>
      <c r="S222" s="7">
        <f>IF($V222="","",T222-R222)</f>
        <v/>
      </c>
      <c r="T222" s="7">
        <f>IF($V222="","",M222+P222)</f>
        <v/>
      </c>
      <c r="U222" s="7">
        <f>IF($V222="","",T222-R222-K222)</f>
        <v/>
      </c>
      <c r="V222" s="13">
        <f>IF(ROWS($V$2:$V222)&lt;=MAX('Per Line'!$AJ$2:$AJ$1501),MATCH(ROWS($V$2:$V222),'Per Line'!$AJ$2:$AJ$1501,0),"")</f>
        <v/>
      </c>
    </row>
    <row r="223">
      <c r="A223" s="12" t="n"/>
      <c r="B223">
        <f>IF($V223="","",INDEX('Per Line'!$A$2:$A$1501,$V223)&amp;"")</f>
        <v/>
      </c>
      <c r="C223">
        <f>IF($V223="","",INDEX('Per Line'!$C$2:$C$1501,$V223)&amp;"")</f>
        <v/>
      </c>
      <c r="D223" s="11">
        <f>IF($V223="","",INDEX('Per Line'!$S$2:$S$1501,$V223))</f>
        <v/>
      </c>
      <c r="E223">
        <f>IF($V223="","",INDEX('Per Line'!$F$2:$F$1501,$V223)&amp;"")</f>
        <v/>
      </c>
      <c r="F223">
        <f>IF($V223="","",INDEX('Per Line'!$L$2:$L$1501,$V223)&amp;"")</f>
        <v/>
      </c>
      <c r="G223">
        <f>IF($V223="","",INDEX('Per Line'!$O$2:$O$1501,$V223)&amp;"")</f>
        <v/>
      </c>
      <c r="H223">
        <f>IF($V223="","",INDEX('Per Line'!$P$2:$P$1501,$V223)&amp;"")</f>
        <v/>
      </c>
      <c r="I223">
        <f>IF($V223="","",INDEX('Per Line'!$N$2:$N$1501,$V223)&amp;"")</f>
        <v/>
      </c>
      <c r="J223">
        <f>IF($V223="","",INDEX('Per Line'!$Q$2:$Q$1501,$V223))</f>
        <v/>
      </c>
      <c r="K223" s="7">
        <f>IF($V223="","",J223*T223/100)</f>
        <v/>
      </c>
      <c r="L223">
        <f>IF($V223="","",Settings!$C$7)</f>
        <v/>
      </c>
      <c r="M223" s="7">
        <f>IF($V223="","",SUMIFS('Per Line'!$AC$2:$AC$1501,'Per Line'!$C$2:$C$1501,$C223,'Per Line'!$AK$2:$AK$1501,0))</f>
        <v/>
      </c>
      <c r="N223" s="7">
        <f>IF($V223="","",M223*L223)</f>
        <v/>
      </c>
      <c r="O223">
        <f>IF($V223="","",Settings!$C$6)</f>
        <v/>
      </c>
      <c r="P223" s="7">
        <f>IF($V223="","",SUMIFS('Per Line'!$AC$2:$AC$1501,'Per Line'!$C$2:$C$1501,$C223,'Per Line'!$AK$2:$AK$1501,1))</f>
        <v/>
      </c>
      <c r="Q223" s="7">
        <f>IF($V223="","",P223*O223)</f>
        <v/>
      </c>
      <c r="R223" s="7">
        <f>IF($V223="","",Q223+N223)</f>
        <v/>
      </c>
      <c r="S223" s="7">
        <f>IF($V223="","",T223-R223)</f>
        <v/>
      </c>
      <c r="T223" s="7">
        <f>IF($V223="","",M223+P223)</f>
        <v/>
      </c>
      <c r="U223" s="7">
        <f>IF($V223="","",T223-R223-K223)</f>
        <v/>
      </c>
      <c r="V223" s="13">
        <f>IF(ROWS($V$2:$V223)&lt;=MAX('Per Line'!$AJ$2:$AJ$1501),MATCH(ROWS($V$2:$V223),'Per Line'!$AJ$2:$AJ$1501,0),"")</f>
        <v/>
      </c>
    </row>
    <row r="224">
      <c r="A224" s="12" t="n"/>
      <c r="B224">
        <f>IF($V224="","",INDEX('Per Line'!$A$2:$A$1501,$V224)&amp;"")</f>
        <v/>
      </c>
      <c r="C224">
        <f>IF($V224="","",INDEX('Per Line'!$C$2:$C$1501,$V224)&amp;"")</f>
        <v/>
      </c>
      <c r="D224" s="11">
        <f>IF($V224="","",INDEX('Per Line'!$S$2:$S$1501,$V224))</f>
        <v/>
      </c>
      <c r="E224">
        <f>IF($V224="","",INDEX('Per Line'!$F$2:$F$1501,$V224)&amp;"")</f>
        <v/>
      </c>
      <c r="F224">
        <f>IF($V224="","",INDEX('Per Line'!$L$2:$L$1501,$V224)&amp;"")</f>
        <v/>
      </c>
      <c r="G224">
        <f>IF($V224="","",INDEX('Per Line'!$O$2:$O$1501,$V224)&amp;"")</f>
        <v/>
      </c>
      <c r="H224">
        <f>IF($V224="","",INDEX('Per Line'!$P$2:$P$1501,$V224)&amp;"")</f>
        <v/>
      </c>
      <c r="I224">
        <f>IF($V224="","",INDEX('Per Line'!$N$2:$N$1501,$V224)&amp;"")</f>
        <v/>
      </c>
      <c r="J224">
        <f>IF($V224="","",INDEX('Per Line'!$Q$2:$Q$1501,$V224))</f>
        <v/>
      </c>
      <c r="K224" s="7">
        <f>IF($V224="","",J224*T224/100)</f>
        <v/>
      </c>
      <c r="L224">
        <f>IF($V224="","",Settings!$C$7)</f>
        <v/>
      </c>
      <c r="M224" s="7">
        <f>IF($V224="","",SUMIFS('Per Line'!$AC$2:$AC$1501,'Per Line'!$C$2:$C$1501,$C224,'Per Line'!$AK$2:$AK$1501,0))</f>
        <v/>
      </c>
      <c r="N224" s="7">
        <f>IF($V224="","",M224*L224)</f>
        <v/>
      </c>
      <c r="O224">
        <f>IF($V224="","",Settings!$C$6)</f>
        <v/>
      </c>
      <c r="P224" s="7">
        <f>IF($V224="","",SUMIFS('Per Line'!$AC$2:$AC$1501,'Per Line'!$C$2:$C$1501,$C224,'Per Line'!$AK$2:$AK$1501,1))</f>
        <v/>
      </c>
      <c r="Q224" s="7">
        <f>IF($V224="","",P224*O224)</f>
        <v/>
      </c>
      <c r="R224" s="7">
        <f>IF($V224="","",Q224+N224)</f>
        <v/>
      </c>
      <c r="S224" s="7">
        <f>IF($V224="","",T224-R224)</f>
        <v/>
      </c>
      <c r="T224" s="7">
        <f>IF($V224="","",M224+P224)</f>
        <v/>
      </c>
      <c r="U224" s="7">
        <f>IF($V224="","",T224-R224-K224)</f>
        <v/>
      </c>
      <c r="V224" s="13">
        <f>IF(ROWS($V$2:$V224)&lt;=MAX('Per Line'!$AJ$2:$AJ$1501),MATCH(ROWS($V$2:$V224),'Per Line'!$AJ$2:$AJ$1501,0),"")</f>
        <v/>
      </c>
    </row>
    <row r="225">
      <c r="A225" s="12" t="n"/>
      <c r="B225">
        <f>IF($V225="","",INDEX('Per Line'!$A$2:$A$1501,$V225)&amp;"")</f>
        <v/>
      </c>
      <c r="C225">
        <f>IF($V225="","",INDEX('Per Line'!$C$2:$C$1501,$V225)&amp;"")</f>
        <v/>
      </c>
      <c r="D225" s="11">
        <f>IF($V225="","",INDEX('Per Line'!$S$2:$S$1501,$V225))</f>
        <v/>
      </c>
      <c r="E225">
        <f>IF($V225="","",INDEX('Per Line'!$F$2:$F$1501,$V225)&amp;"")</f>
        <v/>
      </c>
      <c r="F225">
        <f>IF($V225="","",INDEX('Per Line'!$L$2:$L$1501,$V225)&amp;"")</f>
        <v/>
      </c>
      <c r="G225">
        <f>IF($V225="","",INDEX('Per Line'!$O$2:$O$1501,$V225)&amp;"")</f>
        <v/>
      </c>
      <c r="H225">
        <f>IF($V225="","",INDEX('Per Line'!$P$2:$P$1501,$V225)&amp;"")</f>
        <v/>
      </c>
      <c r="I225">
        <f>IF($V225="","",INDEX('Per Line'!$N$2:$N$1501,$V225)&amp;"")</f>
        <v/>
      </c>
      <c r="J225">
        <f>IF($V225="","",INDEX('Per Line'!$Q$2:$Q$1501,$V225))</f>
        <v/>
      </c>
      <c r="K225" s="7">
        <f>IF($V225="","",J225*T225/100)</f>
        <v/>
      </c>
      <c r="L225">
        <f>IF($V225="","",Settings!$C$7)</f>
        <v/>
      </c>
      <c r="M225" s="7">
        <f>IF($V225="","",SUMIFS('Per Line'!$AC$2:$AC$1501,'Per Line'!$C$2:$C$1501,$C225,'Per Line'!$AK$2:$AK$1501,0))</f>
        <v/>
      </c>
      <c r="N225" s="7">
        <f>IF($V225="","",M225*L225)</f>
        <v/>
      </c>
      <c r="O225">
        <f>IF($V225="","",Settings!$C$6)</f>
        <v/>
      </c>
      <c r="P225" s="7">
        <f>IF($V225="","",SUMIFS('Per Line'!$AC$2:$AC$1501,'Per Line'!$C$2:$C$1501,$C225,'Per Line'!$AK$2:$AK$1501,1))</f>
        <v/>
      </c>
      <c r="Q225" s="7">
        <f>IF($V225="","",P225*O225)</f>
        <v/>
      </c>
      <c r="R225" s="7">
        <f>IF($V225="","",Q225+N225)</f>
        <v/>
      </c>
      <c r="S225" s="7">
        <f>IF($V225="","",T225-R225)</f>
        <v/>
      </c>
      <c r="T225" s="7">
        <f>IF($V225="","",M225+P225)</f>
        <v/>
      </c>
      <c r="U225" s="7">
        <f>IF($V225="","",T225-R225-K225)</f>
        <v/>
      </c>
      <c r="V225" s="13">
        <f>IF(ROWS($V$2:$V225)&lt;=MAX('Per Line'!$AJ$2:$AJ$1501),MATCH(ROWS($V$2:$V225),'Per Line'!$AJ$2:$AJ$1501,0),"")</f>
        <v/>
      </c>
    </row>
    <row r="226">
      <c r="A226" s="12" t="n"/>
      <c r="B226">
        <f>IF($V226="","",INDEX('Per Line'!$A$2:$A$1501,$V226)&amp;"")</f>
        <v/>
      </c>
      <c r="C226">
        <f>IF($V226="","",INDEX('Per Line'!$C$2:$C$1501,$V226)&amp;"")</f>
        <v/>
      </c>
      <c r="D226" s="11">
        <f>IF($V226="","",INDEX('Per Line'!$S$2:$S$1501,$V226))</f>
        <v/>
      </c>
      <c r="E226">
        <f>IF($V226="","",INDEX('Per Line'!$F$2:$F$1501,$V226)&amp;"")</f>
        <v/>
      </c>
      <c r="F226">
        <f>IF($V226="","",INDEX('Per Line'!$L$2:$L$1501,$V226)&amp;"")</f>
        <v/>
      </c>
      <c r="G226">
        <f>IF($V226="","",INDEX('Per Line'!$O$2:$O$1501,$V226)&amp;"")</f>
        <v/>
      </c>
      <c r="H226">
        <f>IF($V226="","",INDEX('Per Line'!$P$2:$P$1501,$V226)&amp;"")</f>
        <v/>
      </c>
      <c r="I226">
        <f>IF($V226="","",INDEX('Per Line'!$N$2:$N$1501,$V226)&amp;"")</f>
        <v/>
      </c>
      <c r="J226">
        <f>IF($V226="","",INDEX('Per Line'!$Q$2:$Q$1501,$V226))</f>
        <v/>
      </c>
      <c r="K226" s="7">
        <f>IF($V226="","",J226*T226/100)</f>
        <v/>
      </c>
      <c r="L226">
        <f>IF($V226="","",Settings!$C$7)</f>
        <v/>
      </c>
      <c r="M226" s="7">
        <f>IF($V226="","",SUMIFS('Per Line'!$AC$2:$AC$1501,'Per Line'!$C$2:$C$1501,$C226,'Per Line'!$AK$2:$AK$1501,0))</f>
        <v/>
      </c>
      <c r="N226" s="7">
        <f>IF($V226="","",M226*L226)</f>
        <v/>
      </c>
      <c r="O226">
        <f>IF($V226="","",Settings!$C$6)</f>
        <v/>
      </c>
      <c r="P226" s="7">
        <f>IF($V226="","",SUMIFS('Per Line'!$AC$2:$AC$1501,'Per Line'!$C$2:$C$1501,$C226,'Per Line'!$AK$2:$AK$1501,1))</f>
        <v/>
      </c>
      <c r="Q226" s="7">
        <f>IF($V226="","",P226*O226)</f>
        <v/>
      </c>
      <c r="R226" s="7">
        <f>IF($V226="","",Q226+N226)</f>
        <v/>
      </c>
      <c r="S226" s="7">
        <f>IF($V226="","",T226-R226)</f>
        <v/>
      </c>
      <c r="T226" s="7">
        <f>IF($V226="","",M226+P226)</f>
        <v/>
      </c>
      <c r="U226" s="7">
        <f>IF($V226="","",T226-R226-K226)</f>
        <v/>
      </c>
      <c r="V226" s="13">
        <f>IF(ROWS($V$2:$V226)&lt;=MAX('Per Line'!$AJ$2:$AJ$1501),MATCH(ROWS($V$2:$V226),'Per Line'!$AJ$2:$AJ$1501,0),"")</f>
        <v/>
      </c>
    </row>
    <row r="227">
      <c r="A227" s="12" t="n"/>
      <c r="B227">
        <f>IF($V227="","",INDEX('Per Line'!$A$2:$A$1501,$V227)&amp;"")</f>
        <v/>
      </c>
      <c r="C227">
        <f>IF($V227="","",INDEX('Per Line'!$C$2:$C$1501,$V227)&amp;"")</f>
        <v/>
      </c>
      <c r="D227" s="11">
        <f>IF($V227="","",INDEX('Per Line'!$S$2:$S$1501,$V227))</f>
        <v/>
      </c>
      <c r="E227">
        <f>IF($V227="","",INDEX('Per Line'!$F$2:$F$1501,$V227)&amp;"")</f>
        <v/>
      </c>
      <c r="F227">
        <f>IF($V227="","",INDEX('Per Line'!$L$2:$L$1501,$V227)&amp;"")</f>
        <v/>
      </c>
      <c r="G227">
        <f>IF($V227="","",INDEX('Per Line'!$O$2:$O$1501,$V227)&amp;"")</f>
        <v/>
      </c>
      <c r="H227">
        <f>IF($V227="","",INDEX('Per Line'!$P$2:$P$1501,$V227)&amp;"")</f>
        <v/>
      </c>
      <c r="I227">
        <f>IF($V227="","",INDEX('Per Line'!$N$2:$N$1501,$V227)&amp;"")</f>
        <v/>
      </c>
      <c r="J227">
        <f>IF($V227="","",INDEX('Per Line'!$Q$2:$Q$1501,$V227))</f>
        <v/>
      </c>
      <c r="K227" s="7">
        <f>IF($V227="","",J227*T227/100)</f>
        <v/>
      </c>
      <c r="L227">
        <f>IF($V227="","",Settings!$C$7)</f>
        <v/>
      </c>
      <c r="M227" s="7">
        <f>IF($V227="","",SUMIFS('Per Line'!$AC$2:$AC$1501,'Per Line'!$C$2:$C$1501,$C227,'Per Line'!$AK$2:$AK$1501,0))</f>
        <v/>
      </c>
      <c r="N227" s="7">
        <f>IF($V227="","",M227*L227)</f>
        <v/>
      </c>
      <c r="O227">
        <f>IF($V227="","",Settings!$C$6)</f>
        <v/>
      </c>
      <c r="P227" s="7">
        <f>IF($V227="","",SUMIFS('Per Line'!$AC$2:$AC$1501,'Per Line'!$C$2:$C$1501,$C227,'Per Line'!$AK$2:$AK$1501,1))</f>
        <v/>
      </c>
      <c r="Q227" s="7">
        <f>IF($V227="","",P227*O227)</f>
        <v/>
      </c>
      <c r="R227" s="7">
        <f>IF($V227="","",Q227+N227)</f>
        <v/>
      </c>
      <c r="S227" s="7">
        <f>IF($V227="","",T227-R227)</f>
        <v/>
      </c>
      <c r="T227" s="7">
        <f>IF($V227="","",M227+P227)</f>
        <v/>
      </c>
      <c r="U227" s="7">
        <f>IF($V227="","",T227-R227-K227)</f>
        <v/>
      </c>
      <c r="V227" s="13">
        <f>IF(ROWS($V$2:$V227)&lt;=MAX('Per Line'!$AJ$2:$AJ$1501),MATCH(ROWS($V$2:$V227),'Per Line'!$AJ$2:$AJ$1501,0),"")</f>
        <v/>
      </c>
    </row>
    <row r="228">
      <c r="A228" s="12" t="n"/>
      <c r="B228">
        <f>IF($V228="","",INDEX('Per Line'!$A$2:$A$1501,$V228)&amp;"")</f>
        <v/>
      </c>
      <c r="C228">
        <f>IF($V228="","",INDEX('Per Line'!$C$2:$C$1501,$V228)&amp;"")</f>
        <v/>
      </c>
      <c r="D228" s="11">
        <f>IF($V228="","",INDEX('Per Line'!$S$2:$S$1501,$V228))</f>
        <v/>
      </c>
      <c r="E228">
        <f>IF($V228="","",INDEX('Per Line'!$F$2:$F$1501,$V228)&amp;"")</f>
        <v/>
      </c>
      <c r="F228">
        <f>IF($V228="","",INDEX('Per Line'!$L$2:$L$1501,$V228)&amp;"")</f>
        <v/>
      </c>
      <c r="G228">
        <f>IF($V228="","",INDEX('Per Line'!$O$2:$O$1501,$V228)&amp;"")</f>
        <v/>
      </c>
      <c r="H228">
        <f>IF($V228="","",INDEX('Per Line'!$P$2:$P$1501,$V228)&amp;"")</f>
        <v/>
      </c>
      <c r="I228">
        <f>IF($V228="","",INDEX('Per Line'!$N$2:$N$1501,$V228)&amp;"")</f>
        <v/>
      </c>
      <c r="J228">
        <f>IF($V228="","",INDEX('Per Line'!$Q$2:$Q$1501,$V228))</f>
        <v/>
      </c>
      <c r="K228" s="7">
        <f>IF($V228="","",J228*T228/100)</f>
        <v/>
      </c>
      <c r="L228">
        <f>IF($V228="","",Settings!$C$7)</f>
        <v/>
      </c>
      <c r="M228" s="7">
        <f>IF($V228="","",SUMIFS('Per Line'!$AC$2:$AC$1501,'Per Line'!$C$2:$C$1501,$C228,'Per Line'!$AK$2:$AK$1501,0))</f>
        <v/>
      </c>
      <c r="N228" s="7">
        <f>IF($V228="","",M228*L228)</f>
        <v/>
      </c>
      <c r="O228">
        <f>IF($V228="","",Settings!$C$6)</f>
        <v/>
      </c>
      <c r="P228" s="7">
        <f>IF($V228="","",SUMIFS('Per Line'!$AC$2:$AC$1501,'Per Line'!$C$2:$C$1501,$C228,'Per Line'!$AK$2:$AK$1501,1))</f>
        <v/>
      </c>
      <c r="Q228" s="7">
        <f>IF($V228="","",P228*O228)</f>
        <v/>
      </c>
      <c r="R228" s="7">
        <f>IF($V228="","",Q228+N228)</f>
        <v/>
      </c>
      <c r="S228" s="7">
        <f>IF($V228="","",T228-R228)</f>
        <v/>
      </c>
      <c r="T228" s="7">
        <f>IF($V228="","",M228+P228)</f>
        <v/>
      </c>
      <c r="U228" s="7">
        <f>IF($V228="","",T228-R228-K228)</f>
        <v/>
      </c>
      <c r="V228" s="13">
        <f>IF(ROWS($V$2:$V228)&lt;=MAX('Per Line'!$AJ$2:$AJ$1501),MATCH(ROWS($V$2:$V228),'Per Line'!$AJ$2:$AJ$1501,0),"")</f>
        <v/>
      </c>
    </row>
    <row r="229">
      <c r="A229" s="12" t="n"/>
      <c r="B229">
        <f>IF($V229="","",INDEX('Per Line'!$A$2:$A$1501,$V229)&amp;"")</f>
        <v/>
      </c>
      <c r="C229">
        <f>IF($V229="","",INDEX('Per Line'!$C$2:$C$1501,$V229)&amp;"")</f>
        <v/>
      </c>
      <c r="D229" s="11">
        <f>IF($V229="","",INDEX('Per Line'!$S$2:$S$1501,$V229))</f>
        <v/>
      </c>
      <c r="E229">
        <f>IF($V229="","",INDEX('Per Line'!$F$2:$F$1501,$V229)&amp;"")</f>
        <v/>
      </c>
      <c r="F229">
        <f>IF($V229="","",INDEX('Per Line'!$L$2:$L$1501,$V229)&amp;"")</f>
        <v/>
      </c>
      <c r="G229">
        <f>IF($V229="","",INDEX('Per Line'!$O$2:$O$1501,$V229)&amp;"")</f>
        <v/>
      </c>
      <c r="H229">
        <f>IF($V229="","",INDEX('Per Line'!$P$2:$P$1501,$V229)&amp;"")</f>
        <v/>
      </c>
      <c r="I229">
        <f>IF($V229="","",INDEX('Per Line'!$N$2:$N$1501,$V229)&amp;"")</f>
        <v/>
      </c>
      <c r="J229">
        <f>IF($V229="","",INDEX('Per Line'!$Q$2:$Q$1501,$V229))</f>
        <v/>
      </c>
      <c r="K229" s="7">
        <f>IF($V229="","",J229*T229/100)</f>
        <v/>
      </c>
      <c r="L229">
        <f>IF($V229="","",Settings!$C$7)</f>
        <v/>
      </c>
      <c r="M229" s="7">
        <f>IF($V229="","",SUMIFS('Per Line'!$AC$2:$AC$1501,'Per Line'!$C$2:$C$1501,$C229,'Per Line'!$AK$2:$AK$1501,0))</f>
        <v/>
      </c>
      <c r="N229" s="7">
        <f>IF($V229="","",M229*L229)</f>
        <v/>
      </c>
      <c r="O229">
        <f>IF($V229="","",Settings!$C$6)</f>
        <v/>
      </c>
      <c r="P229" s="7">
        <f>IF($V229="","",SUMIFS('Per Line'!$AC$2:$AC$1501,'Per Line'!$C$2:$C$1501,$C229,'Per Line'!$AK$2:$AK$1501,1))</f>
        <v/>
      </c>
      <c r="Q229" s="7">
        <f>IF($V229="","",P229*O229)</f>
        <v/>
      </c>
      <c r="R229" s="7">
        <f>IF($V229="","",Q229+N229)</f>
        <v/>
      </c>
      <c r="S229" s="7">
        <f>IF($V229="","",T229-R229)</f>
        <v/>
      </c>
      <c r="T229" s="7">
        <f>IF($V229="","",M229+P229)</f>
        <v/>
      </c>
      <c r="U229" s="7">
        <f>IF($V229="","",T229-R229-K229)</f>
        <v/>
      </c>
      <c r="V229" s="13">
        <f>IF(ROWS($V$2:$V229)&lt;=MAX('Per Line'!$AJ$2:$AJ$1501),MATCH(ROWS($V$2:$V229),'Per Line'!$AJ$2:$AJ$1501,0),"")</f>
        <v/>
      </c>
    </row>
    <row r="230">
      <c r="A230" s="12" t="n"/>
      <c r="B230">
        <f>IF($V230="","",INDEX('Per Line'!$A$2:$A$1501,$V230)&amp;"")</f>
        <v/>
      </c>
      <c r="C230">
        <f>IF($V230="","",INDEX('Per Line'!$C$2:$C$1501,$V230)&amp;"")</f>
        <v/>
      </c>
      <c r="D230" s="11">
        <f>IF($V230="","",INDEX('Per Line'!$S$2:$S$1501,$V230))</f>
        <v/>
      </c>
      <c r="E230">
        <f>IF($V230="","",INDEX('Per Line'!$F$2:$F$1501,$V230)&amp;"")</f>
        <v/>
      </c>
      <c r="F230">
        <f>IF($V230="","",INDEX('Per Line'!$L$2:$L$1501,$V230)&amp;"")</f>
        <v/>
      </c>
      <c r="G230">
        <f>IF($V230="","",INDEX('Per Line'!$O$2:$O$1501,$V230)&amp;"")</f>
        <v/>
      </c>
      <c r="H230">
        <f>IF($V230="","",INDEX('Per Line'!$P$2:$P$1501,$V230)&amp;"")</f>
        <v/>
      </c>
      <c r="I230">
        <f>IF($V230="","",INDEX('Per Line'!$N$2:$N$1501,$V230)&amp;"")</f>
        <v/>
      </c>
      <c r="J230">
        <f>IF($V230="","",INDEX('Per Line'!$Q$2:$Q$1501,$V230))</f>
        <v/>
      </c>
      <c r="K230" s="7">
        <f>IF($V230="","",J230*T230/100)</f>
        <v/>
      </c>
      <c r="L230">
        <f>IF($V230="","",Settings!$C$7)</f>
        <v/>
      </c>
      <c r="M230" s="7">
        <f>IF($V230="","",SUMIFS('Per Line'!$AC$2:$AC$1501,'Per Line'!$C$2:$C$1501,$C230,'Per Line'!$AK$2:$AK$1501,0))</f>
        <v/>
      </c>
      <c r="N230" s="7">
        <f>IF($V230="","",M230*L230)</f>
        <v/>
      </c>
      <c r="O230">
        <f>IF($V230="","",Settings!$C$6)</f>
        <v/>
      </c>
      <c r="P230" s="7">
        <f>IF($V230="","",SUMIFS('Per Line'!$AC$2:$AC$1501,'Per Line'!$C$2:$C$1501,$C230,'Per Line'!$AK$2:$AK$1501,1))</f>
        <v/>
      </c>
      <c r="Q230" s="7">
        <f>IF($V230="","",P230*O230)</f>
        <v/>
      </c>
      <c r="R230" s="7">
        <f>IF($V230="","",Q230+N230)</f>
        <v/>
      </c>
      <c r="S230" s="7">
        <f>IF($V230="","",T230-R230)</f>
        <v/>
      </c>
      <c r="T230" s="7">
        <f>IF($V230="","",M230+P230)</f>
        <v/>
      </c>
      <c r="U230" s="7">
        <f>IF($V230="","",T230-R230-K230)</f>
        <v/>
      </c>
      <c r="V230" s="13">
        <f>IF(ROWS($V$2:$V230)&lt;=MAX('Per Line'!$AJ$2:$AJ$1501),MATCH(ROWS($V$2:$V230),'Per Line'!$AJ$2:$AJ$1501,0),"")</f>
        <v/>
      </c>
    </row>
    <row r="231">
      <c r="A231" s="12" t="n"/>
      <c r="B231">
        <f>IF($V231="","",INDEX('Per Line'!$A$2:$A$1501,$V231)&amp;"")</f>
        <v/>
      </c>
      <c r="C231">
        <f>IF($V231="","",INDEX('Per Line'!$C$2:$C$1501,$V231)&amp;"")</f>
        <v/>
      </c>
      <c r="D231" s="11">
        <f>IF($V231="","",INDEX('Per Line'!$S$2:$S$1501,$V231))</f>
        <v/>
      </c>
      <c r="E231">
        <f>IF($V231="","",INDEX('Per Line'!$F$2:$F$1501,$V231)&amp;"")</f>
        <v/>
      </c>
      <c r="F231">
        <f>IF($V231="","",INDEX('Per Line'!$L$2:$L$1501,$V231)&amp;"")</f>
        <v/>
      </c>
      <c r="G231">
        <f>IF($V231="","",INDEX('Per Line'!$O$2:$O$1501,$V231)&amp;"")</f>
        <v/>
      </c>
      <c r="H231">
        <f>IF($V231="","",INDEX('Per Line'!$P$2:$P$1501,$V231)&amp;"")</f>
        <v/>
      </c>
      <c r="I231">
        <f>IF($V231="","",INDEX('Per Line'!$N$2:$N$1501,$V231)&amp;"")</f>
        <v/>
      </c>
      <c r="J231">
        <f>IF($V231="","",INDEX('Per Line'!$Q$2:$Q$1501,$V231))</f>
        <v/>
      </c>
      <c r="K231" s="7">
        <f>IF($V231="","",J231*T231/100)</f>
        <v/>
      </c>
      <c r="L231">
        <f>IF($V231="","",Settings!$C$7)</f>
        <v/>
      </c>
      <c r="M231" s="7">
        <f>IF($V231="","",SUMIFS('Per Line'!$AC$2:$AC$1501,'Per Line'!$C$2:$C$1501,$C231,'Per Line'!$AK$2:$AK$1501,0))</f>
        <v/>
      </c>
      <c r="N231" s="7">
        <f>IF($V231="","",M231*L231)</f>
        <v/>
      </c>
      <c r="O231">
        <f>IF($V231="","",Settings!$C$6)</f>
        <v/>
      </c>
      <c r="P231" s="7">
        <f>IF($V231="","",SUMIFS('Per Line'!$AC$2:$AC$1501,'Per Line'!$C$2:$C$1501,$C231,'Per Line'!$AK$2:$AK$1501,1))</f>
        <v/>
      </c>
      <c r="Q231" s="7">
        <f>IF($V231="","",P231*O231)</f>
        <v/>
      </c>
      <c r="R231" s="7">
        <f>IF($V231="","",Q231+N231)</f>
        <v/>
      </c>
      <c r="S231" s="7">
        <f>IF($V231="","",T231-R231)</f>
        <v/>
      </c>
      <c r="T231" s="7">
        <f>IF($V231="","",M231+P231)</f>
        <v/>
      </c>
      <c r="U231" s="7">
        <f>IF($V231="","",T231-R231-K231)</f>
        <v/>
      </c>
      <c r="V231" s="13">
        <f>IF(ROWS($V$2:$V231)&lt;=MAX('Per Line'!$AJ$2:$AJ$1501),MATCH(ROWS($V$2:$V231),'Per Line'!$AJ$2:$AJ$1501,0),"")</f>
        <v/>
      </c>
    </row>
    <row r="232">
      <c r="A232" s="12" t="n"/>
      <c r="B232">
        <f>IF($V232="","",INDEX('Per Line'!$A$2:$A$1501,$V232)&amp;"")</f>
        <v/>
      </c>
      <c r="C232">
        <f>IF($V232="","",INDEX('Per Line'!$C$2:$C$1501,$V232)&amp;"")</f>
        <v/>
      </c>
      <c r="D232" s="11">
        <f>IF($V232="","",INDEX('Per Line'!$S$2:$S$1501,$V232))</f>
        <v/>
      </c>
      <c r="E232">
        <f>IF($V232="","",INDEX('Per Line'!$F$2:$F$1501,$V232)&amp;"")</f>
        <v/>
      </c>
      <c r="F232">
        <f>IF($V232="","",INDEX('Per Line'!$L$2:$L$1501,$V232)&amp;"")</f>
        <v/>
      </c>
      <c r="G232">
        <f>IF($V232="","",INDEX('Per Line'!$O$2:$O$1501,$V232)&amp;"")</f>
        <v/>
      </c>
      <c r="H232">
        <f>IF($V232="","",INDEX('Per Line'!$P$2:$P$1501,$V232)&amp;"")</f>
        <v/>
      </c>
      <c r="I232">
        <f>IF($V232="","",INDEX('Per Line'!$N$2:$N$1501,$V232)&amp;"")</f>
        <v/>
      </c>
      <c r="J232">
        <f>IF($V232="","",INDEX('Per Line'!$Q$2:$Q$1501,$V232))</f>
        <v/>
      </c>
      <c r="K232" s="7">
        <f>IF($V232="","",J232*T232/100)</f>
        <v/>
      </c>
      <c r="L232">
        <f>IF($V232="","",Settings!$C$7)</f>
        <v/>
      </c>
      <c r="M232" s="7">
        <f>IF($V232="","",SUMIFS('Per Line'!$AC$2:$AC$1501,'Per Line'!$C$2:$C$1501,$C232,'Per Line'!$AK$2:$AK$1501,0))</f>
        <v/>
      </c>
      <c r="N232" s="7">
        <f>IF($V232="","",M232*L232)</f>
        <v/>
      </c>
      <c r="O232">
        <f>IF($V232="","",Settings!$C$6)</f>
        <v/>
      </c>
      <c r="P232" s="7">
        <f>IF($V232="","",SUMIFS('Per Line'!$AC$2:$AC$1501,'Per Line'!$C$2:$C$1501,$C232,'Per Line'!$AK$2:$AK$1501,1))</f>
        <v/>
      </c>
      <c r="Q232" s="7">
        <f>IF($V232="","",P232*O232)</f>
        <v/>
      </c>
      <c r="R232" s="7">
        <f>IF($V232="","",Q232+N232)</f>
        <v/>
      </c>
      <c r="S232" s="7">
        <f>IF($V232="","",T232-R232)</f>
        <v/>
      </c>
      <c r="T232" s="7">
        <f>IF($V232="","",M232+P232)</f>
        <v/>
      </c>
      <c r="U232" s="7">
        <f>IF($V232="","",T232-R232-K232)</f>
        <v/>
      </c>
      <c r="V232" s="13">
        <f>IF(ROWS($V$2:$V232)&lt;=MAX('Per Line'!$AJ$2:$AJ$1501),MATCH(ROWS($V$2:$V232),'Per Line'!$AJ$2:$AJ$1501,0),"")</f>
        <v/>
      </c>
    </row>
    <row r="233">
      <c r="A233" s="12" t="n"/>
      <c r="B233">
        <f>IF($V233="","",INDEX('Per Line'!$A$2:$A$1501,$V233)&amp;"")</f>
        <v/>
      </c>
      <c r="C233">
        <f>IF($V233="","",INDEX('Per Line'!$C$2:$C$1501,$V233)&amp;"")</f>
        <v/>
      </c>
      <c r="D233" s="11">
        <f>IF($V233="","",INDEX('Per Line'!$S$2:$S$1501,$V233))</f>
        <v/>
      </c>
      <c r="E233">
        <f>IF($V233="","",INDEX('Per Line'!$F$2:$F$1501,$V233)&amp;"")</f>
        <v/>
      </c>
      <c r="F233">
        <f>IF($V233="","",INDEX('Per Line'!$L$2:$L$1501,$V233)&amp;"")</f>
        <v/>
      </c>
      <c r="G233">
        <f>IF($V233="","",INDEX('Per Line'!$O$2:$O$1501,$V233)&amp;"")</f>
        <v/>
      </c>
      <c r="H233">
        <f>IF($V233="","",INDEX('Per Line'!$P$2:$P$1501,$V233)&amp;"")</f>
        <v/>
      </c>
      <c r="I233">
        <f>IF($V233="","",INDEX('Per Line'!$N$2:$N$1501,$V233)&amp;"")</f>
        <v/>
      </c>
      <c r="J233">
        <f>IF($V233="","",INDEX('Per Line'!$Q$2:$Q$1501,$V233))</f>
        <v/>
      </c>
      <c r="K233" s="7">
        <f>IF($V233="","",J233*T233/100)</f>
        <v/>
      </c>
      <c r="L233">
        <f>IF($V233="","",Settings!$C$7)</f>
        <v/>
      </c>
      <c r="M233" s="7">
        <f>IF($V233="","",SUMIFS('Per Line'!$AC$2:$AC$1501,'Per Line'!$C$2:$C$1501,$C233,'Per Line'!$AK$2:$AK$1501,0))</f>
        <v/>
      </c>
      <c r="N233" s="7">
        <f>IF($V233="","",M233*L233)</f>
        <v/>
      </c>
      <c r="O233">
        <f>IF($V233="","",Settings!$C$6)</f>
        <v/>
      </c>
      <c r="P233" s="7">
        <f>IF($V233="","",SUMIFS('Per Line'!$AC$2:$AC$1501,'Per Line'!$C$2:$C$1501,$C233,'Per Line'!$AK$2:$AK$1501,1))</f>
        <v/>
      </c>
      <c r="Q233" s="7">
        <f>IF($V233="","",P233*O233)</f>
        <v/>
      </c>
      <c r="R233" s="7">
        <f>IF($V233="","",Q233+N233)</f>
        <v/>
      </c>
      <c r="S233" s="7">
        <f>IF($V233="","",T233-R233)</f>
        <v/>
      </c>
      <c r="T233" s="7">
        <f>IF($V233="","",M233+P233)</f>
        <v/>
      </c>
      <c r="U233" s="7">
        <f>IF($V233="","",T233-R233-K233)</f>
        <v/>
      </c>
      <c r="V233" s="13">
        <f>IF(ROWS($V$2:$V233)&lt;=MAX('Per Line'!$AJ$2:$AJ$1501),MATCH(ROWS($V$2:$V233),'Per Line'!$AJ$2:$AJ$1501,0),"")</f>
        <v/>
      </c>
    </row>
    <row r="234">
      <c r="A234" s="12" t="n"/>
      <c r="B234">
        <f>IF($V234="","",INDEX('Per Line'!$A$2:$A$1501,$V234)&amp;"")</f>
        <v/>
      </c>
      <c r="C234">
        <f>IF($V234="","",INDEX('Per Line'!$C$2:$C$1501,$V234)&amp;"")</f>
        <v/>
      </c>
      <c r="D234" s="11">
        <f>IF($V234="","",INDEX('Per Line'!$S$2:$S$1501,$V234))</f>
        <v/>
      </c>
      <c r="E234">
        <f>IF($V234="","",INDEX('Per Line'!$F$2:$F$1501,$V234)&amp;"")</f>
        <v/>
      </c>
      <c r="F234">
        <f>IF($V234="","",INDEX('Per Line'!$L$2:$L$1501,$V234)&amp;"")</f>
        <v/>
      </c>
      <c r="G234">
        <f>IF($V234="","",INDEX('Per Line'!$O$2:$O$1501,$V234)&amp;"")</f>
        <v/>
      </c>
      <c r="H234">
        <f>IF($V234="","",INDEX('Per Line'!$P$2:$P$1501,$V234)&amp;"")</f>
        <v/>
      </c>
      <c r="I234">
        <f>IF($V234="","",INDEX('Per Line'!$N$2:$N$1501,$V234)&amp;"")</f>
        <v/>
      </c>
      <c r="J234">
        <f>IF($V234="","",INDEX('Per Line'!$Q$2:$Q$1501,$V234))</f>
        <v/>
      </c>
      <c r="K234" s="7">
        <f>IF($V234="","",J234*T234/100)</f>
        <v/>
      </c>
      <c r="L234">
        <f>IF($V234="","",Settings!$C$7)</f>
        <v/>
      </c>
      <c r="M234" s="7">
        <f>IF($V234="","",SUMIFS('Per Line'!$AC$2:$AC$1501,'Per Line'!$C$2:$C$1501,$C234,'Per Line'!$AK$2:$AK$1501,0))</f>
        <v/>
      </c>
      <c r="N234" s="7">
        <f>IF($V234="","",M234*L234)</f>
        <v/>
      </c>
      <c r="O234">
        <f>IF($V234="","",Settings!$C$6)</f>
        <v/>
      </c>
      <c r="P234" s="7">
        <f>IF($V234="","",SUMIFS('Per Line'!$AC$2:$AC$1501,'Per Line'!$C$2:$C$1501,$C234,'Per Line'!$AK$2:$AK$1501,1))</f>
        <v/>
      </c>
      <c r="Q234" s="7">
        <f>IF($V234="","",P234*O234)</f>
        <v/>
      </c>
      <c r="R234" s="7">
        <f>IF($V234="","",Q234+N234)</f>
        <v/>
      </c>
      <c r="S234" s="7">
        <f>IF($V234="","",T234-R234)</f>
        <v/>
      </c>
      <c r="T234" s="7">
        <f>IF($V234="","",M234+P234)</f>
        <v/>
      </c>
      <c r="U234" s="7">
        <f>IF($V234="","",T234-R234-K234)</f>
        <v/>
      </c>
      <c r="V234" s="13">
        <f>IF(ROWS($V$2:$V234)&lt;=MAX('Per Line'!$AJ$2:$AJ$1501),MATCH(ROWS($V$2:$V234),'Per Line'!$AJ$2:$AJ$1501,0),"")</f>
        <v/>
      </c>
    </row>
    <row r="235">
      <c r="A235" s="12" t="n"/>
      <c r="B235">
        <f>IF($V235="","",INDEX('Per Line'!$A$2:$A$1501,$V235)&amp;"")</f>
        <v/>
      </c>
      <c r="C235">
        <f>IF($V235="","",INDEX('Per Line'!$C$2:$C$1501,$V235)&amp;"")</f>
        <v/>
      </c>
      <c r="D235" s="11">
        <f>IF($V235="","",INDEX('Per Line'!$S$2:$S$1501,$V235))</f>
        <v/>
      </c>
      <c r="E235">
        <f>IF($V235="","",INDEX('Per Line'!$F$2:$F$1501,$V235)&amp;"")</f>
        <v/>
      </c>
      <c r="F235">
        <f>IF($V235="","",INDEX('Per Line'!$L$2:$L$1501,$V235)&amp;"")</f>
        <v/>
      </c>
      <c r="G235">
        <f>IF($V235="","",INDEX('Per Line'!$O$2:$O$1501,$V235)&amp;"")</f>
        <v/>
      </c>
      <c r="H235">
        <f>IF($V235="","",INDEX('Per Line'!$P$2:$P$1501,$V235)&amp;"")</f>
        <v/>
      </c>
      <c r="I235">
        <f>IF($V235="","",INDEX('Per Line'!$N$2:$N$1501,$V235)&amp;"")</f>
        <v/>
      </c>
      <c r="J235">
        <f>IF($V235="","",INDEX('Per Line'!$Q$2:$Q$1501,$V235))</f>
        <v/>
      </c>
      <c r="K235" s="7">
        <f>IF($V235="","",J235*T235/100)</f>
        <v/>
      </c>
      <c r="L235">
        <f>IF($V235="","",Settings!$C$7)</f>
        <v/>
      </c>
      <c r="M235" s="7">
        <f>IF($V235="","",SUMIFS('Per Line'!$AC$2:$AC$1501,'Per Line'!$C$2:$C$1501,$C235,'Per Line'!$AK$2:$AK$1501,0))</f>
        <v/>
      </c>
      <c r="N235" s="7">
        <f>IF($V235="","",M235*L235)</f>
        <v/>
      </c>
      <c r="O235">
        <f>IF($V235="","",Settings!$C$6)</f>
        <v/>
      </c>
      <c r="P235" s="7">
        <f>IF($V235="","",SUMIFS('Per Line'!$AC$2:$AC$1501,'Per Line'!$C$2:$C$1501,$C235,'Per Line'!$AK$2:$AK$1501,1))</f>
        <v/>
      </c>
      <c r="Q235" s="7">
        <f>IF($V235="","",P235*O235)</f>
        <v/>
      </c>
      <c r="R235" s="7">
        <f>IF($V235="","",Q235+N235)</f>
        <v/>
      </c>
      <c r="S235" s="7">
        <f>IF($V235="","",T235-R235)</f>
        <v/>
      </c>
      <c r="T235" s="7">
        <f>IF($V235="","",M235+P235)</f>
        <v/>
      </c>
      <c r="U235" s="7">
        <f>IF($V235="","",T235-R235-K235)</f>
        <v/>
      </c>
      <c r="V235" s="13">
        <f>IF(ROWS($V$2:$V235)&lt;=MAX('Per Line'!$AJ$2:$AJ$1501),MATCH(ROWS($V$2:$V235),'Per Line'!$AJ$2:$AJ$1501,0),"")</f>
        <v/>
      </c>
    </row>
    <row r="236">
      <c r="A236" s="12" t="n"/>
      <c r="B236">
        <f>IF($V236="","",INDEX('Per Line'!$A$2:$A$1501,$V236)&amp;"")</f>
        <v/>
      </c>
      <c r="C236">
        <f>IF($V236="","",INDEX('Per Line'!$C$2:$C$1501,$V236)&amp;"")</f>
        <v/>
      </c>
      <c r="D236" s="11">
        <f>IF($V236="","",INDEX('Per Line'!$S$2:$S$1501,$V236))</f>
        <v/>
      </c>
      <c r="E236">
        <f>IF($V236="","",INDEX('Per Line'!$F$2:$F$1501,$V236)&amp;"")</f>
        <v/>
      </c>
      <c r="F236">
        <f>IF($V236="","",INDEX('Per Line'!$L$2:$L$1501,$V236)&amp;"")</f>
        <v/>
      </c>
      <c r="G236">
        <f>IF($V236="","",INDEX('Per Line'!$O$2:$O$1501,$V236)&amp;"")</f>
        <v/>
      </c>
      <c r="H236">
        <f>IF($V236="","",INDEX('Per Line'!$P$2:$P$1501,$V236)&amp;"")</f>
        <v/>
      </c>
      <c r="I236">
        <f>IF($V236="","",INDEX('Per Line'!$N$2:$N$1501,$V236)&amp;"")</f>
        <v/>
      </c>
      <c r="J236">
        <f>IF($V236="","",INDEX('Per Line'!$Q$2:$Q$1501,$V236))</f>
        <v/>
      </c>
      <c r="K236" s="7">
        <f>IF($V236="","",J236*T236/100)</f>
        <v/>
      </c>
      <c r="L236">
        <f>IF($V236="","",Settings!$C$7)</f>
        <v/>
      </c>
      <c r="M236" s="7">
        <f>IF($V236="","",SUMIFS('Per Line'!$AC$2:$AC$1501,'Per Line'!$C$2:$C$1501,$C236,'Per Line'!$AK$2:$AK$1501,0))</f>
        <v/>
      </c>
      <c r="N236" s="7">
        <f>IF($V236="","",M236*L236)</f>
        <v/>
      </c>
      <c r="O236">
        <f>IF($V236="","",Settings!$C$6)</f>
        <v/>
      </c>
      <c r="P236" s="7">
        <f>IF($V236="","",SUMIFS('Per Line'!$AC$2:$AC$1501,'Per Line'!$C$2:$C$1501,$C236,'Per Line'!$AK$2:$AK$1501,1))</f>
        <v/>
      </c>
      <c r="Q236" s="7">
        <f>IF($V236="","",P236*O236)</f>
        <v/>
      </c>
      <c r="R236" s="7">
        <f>IF($V236="","",Q236+N236)</f>
        <v/>
      </c>
      <c r="S236" s="7">
        <f>IF($V236="","",T236-R236)</f>
        <v/>
      </c>
      <c r="T236" s="7">
        <f>IF($V236="","",M236+P236)</f>
        <v/>
      </c>
      <c r="U236" s="7">
        <f>IF($V236="","",T236-R236-K236)</f>
        <v/>
      </c>
      <c r="V236" s="13">
        <f>IF(ROWS($V$2:$V236)&lt;=MAX('Per Line'!$AJ$2:$AJ$1501),MATCH(ROWS($V$2:$V236),'Per Line'!$AJ$2:$AJ$1501,0),"")</f>
        <v/>
      </c>
    </row>
    <row r="237">
      <c r="A237" s="12" t="n"/>
      <c r="B237">
        <f>IF($V237="","",INDEX('Per Line'!$A$2:$A$1501,$V237)&amp;"")</f>
        <v/>
      </c>
      <c r="C237">
        <f>IF($V237="","",INDEX('Per Line'!$C$2:$C$1501,$V237)&amp;"")</f>
        <v/>
      </c>
      <c r="D237" s="11">
        <f>IF($V237="","",INDEX('Per Line'!$S$2:$S$1501,$V237))</f>
        <v/>
      </c>
      <c r="E237">
        <f>IF($V237="","",INDEX('Per Line'!$F$2:$F$1501,$V237)&amp;"")</f>
        <v/>
      </c>
      <c r="F237">
        <f>IF($V237="","",INDEX('Per Line'!$L$2:$L$1501,$V237)&amp;"")</f>
        <v/>
      </c>
      <c r="G237">
        <f>IF($V237="","",INDEX('Per Line'!$O$2:$O$1501,$V237)&amp;"")</f>
        <v/>
      </c>
      <c r="H237">
        <f>IF($V237="","",INDEX('Per Line'!$P$2:$P$1501,$V237)&amp;"")</f>
        <v/>
      </c>
      <c r="I237">
        <f>IF($V237="","",INDEX('Per Line'!$N$2:$N$1501,$V237)&amp;"")</f>
        <v/>
      </c>
      <c r="J237">
        <f>IF($V237="","",INDEX('Per Line'!$Q$2:$Q$1501,$V237))</f>
        <v/>
      </c>
      <c r="K237" s="7">
        <f>IF($V237="","",J237*T237/100)</f>
        <v/>
      </c>
      <c r="L237">
        <f>IF($V237="","",Settings!$C$7)</f>
        <v/>
      </c>
      <c r="M237" s="7">
        <f>IF($V237="","",SUMIFS('Per Line'!$AC$2:$AC$1501,'Per Line'!$C$2:$C$1501,$C237,'Per Line'!$AK$2:$AK$1501,0))</f>
        <v/>
      </c>
      <c r="N237" s="7">
        <f>IF($V237="","",M237*L237)</f>
        <v/>
      </c>
      <c r="O237">
        <f>IF($V237="","",Settings!$C$6)</f>
        <v/>
      </c>
      <c r="P237" s="7">
        <f>IF($V237="","",SUMIFS('Per Line'!$AC$2:$AC$1501,'Per Line'!$C$2:$C$1501,$C237,'Per Line'!$AK$2:$AK$1501,1))</f>
        <v/>
      </c>
      <c r="Q237" s="7">
        <f>IF($V237="","",P237*O237)</f>
        <v/>
      </c>
      <c r="R237" s="7">
        <f>IF($V237="","",Q237+N237)</f>
        <v/>
      </c>
      <c r="S237" s="7">
        <f>IF($V237="","",T237-R237)</f>
        <v/>
      </c>
      <c r="T237" s="7">
        <f>IF($V237="","",M237+P237)</f>
        <v/>
      </c>
      <c r="U237" s="7">
        <f>IF($V237="","",T237-R237-K237)</f>
        <v/>
      </c>
      <c r="V237" s="13">
        <f>IF(ROWS($V$2:$V237)&lt;=MAX('Per Line'!$AJ$2:$AJ$1501),MATCH(ROWS($V$2:$V237),'Per Line'!$AJ$2:$AJ$1501,0),"")</f>
        <v/>
      </c>
    </row>
    <row r="238">
      <c r="A238" s="12" t="n"/>
      <c r="B238">
        <f>IF($V238="","",INDEX('Per Line'!$A$2:$A$1501,$V238)&amp;"")</f>
        <v/>
      </c>
      <c r="C238">
        <f>IF($V238="","",INDEX('Per Line'!$C$2:$C$1501,$V238)&amp;"")</f>
        <v/>
      </c>
      <c r="D238" s="11">
        <f>IF($V238="","",INDEX('Per Line'!$S$2:$S$1501,$V238))</f>
        <v/>
      </c>
      <c r="E238">
        <f>IF($V238="","",INDEX('Per Line'!$F$2:$F$1501,$V238)&amp;"")</f>
        <v/>
      </c>
      <c r="F238">
        <f>IF($V238="","",INDEX('Per Line'!$L$2:$L$1501,$V238)&amp;"")</f>
        <v/>
      </c>
      <c r="G238">
        <f>IF($V238="","",INDEX('Per Line'!$O$2:$O$1501,$V238)&amp;"")</f>
        <v/>
      </c>
      <c r="H238">
        <f>IF($V238="","",INDEX('Per Line'!$P$2:$P$1501,$V238)&amp;"")</f>
        <v/>
      </c>
      <c r="I238">
        <f>IF($V238="","",INDEX('Per Line'!$N$2:$N$1501,$V238)&amp;"")</f>
        <v/>
      </c>
      <c r="J238">
        <f>IF($V238="","",INDEX('Per Line'!$Q$2:$Q$1501,$V238))</f>
        <v/>
      </c>
      <c r="K238" s="7">
        <f>IF($V238="","",J238*T238/100)</f>
        <v/>
      </c>
      <c r="L238">
        <f>IF($V238="","",Settings!$C$7)</f>
        <v/>
      </c>
      <c r="M238" s="7">
        <f>IF($V238="","",SUMIFS('Per Line'!$AC$2:$AC$1501,'Per Line'!$C$2:$C$1501,$C238,'Per Line'!$AK$2:$AK$1501,0))</f>
        <v/>
      </c>
      <c r="N238" s="7">
        <f>IF($V238="","",M238*L238)</f>
        <v/>
      </c>
      <c r="O238">
        <f>IF($V238="","",Settings!$C$6)</f>
        <v/>
      </c>
      <c r="P238" s="7">
        <f>IF($V238="","",SUMIFS('Per Line'!$AC$2:$AC$1501,'Per Line'!$C$2:$C$1501,$C238,'Per Line'!$AK$2:$AK$1501,1))</f>
        <v/>
      </c>
      <c r="Q238" s="7">
        <f>IF($V238="","",P238*O238)</f>
        <v/>
      </c>
      <c r="R238" s="7">
        <f>IF($V238="","",Q238+N238)</f>
        <v/>
      </c>
      <c r="S238" s="7">
        <f>IF($V238="","",T238-R238)</f>
        <v/>
      </c>
      <c r="T238" s="7">
        <f>IF($V238="","",M238+P238)</f>
        <v/>
      </c>
      <c r="U238" s="7">
        <f>IF($V238="","",T238-R238-K238)</f>
        <v/>
      </c>
      <c r="V238" s="13">
        <f>IF(ROWS($V$2:$V238)&lt;=MAX('Per Line'!$AJ$2:$AJ$1501),MATCH(ROWS($V$2:$V238),'Per Line'!$AJ$2:$AJ$1501,0),"")</f>
        <v/>
      </c>
    </row>
    <row r="239">
      <c r="A239" s="12" t="n"/>
      <c r="B239">
        <f>IF($V239="","",INDEX('Per Line'!$A$2:$A$1501,$V239)&amp;"")</f>
        <v/>
      </c>
      <c r="C239">
        <f>IF($V239="","",INDEX('Per Line'!$C$2:$C$1501,$V239)&amp;"")</f>
        <v/>
      </c>
      <c r="D239" s="11">
        <f>IF($V239="","",INDEX('Per Line'!$S$2:$S$1501,$V239))</f>
        <v/>
      </c>
      <c r="E239">
        <f>IF($V239="","",INDEX('Per Line'!$F$2:$F$1501,$V239)&amp;"")</f>
        <v/>
      </c>
      <c r="F239">
        <f>IF($V239="","",INDEX('Per Line'!$L$2:$L$1501,$V239)&amp;"")</f>
        <v/>
      </c>
      <c r="G239">
        <f>IF($V239="","",INDEX('Per Line'!$O$2:$O$1501,$V239)&amp;"")</f>
        <v/>
      </c>
      <c r="H239">
        <f>IF($V239="","",INDEX('Per Line'!$P$2:$P$1501,$V239)&amp;"")</f>
        <v/>
      </c>
      <c r="I239">
        <f>IF($V239="","",INDEX('Per Line'!$N$2:$N$1501,$V239)&amp;"")</f>
        <v/>
      </c>
      <c r="J239">
        <f>IF($V239="","",INDEX('Per Line'!$Q$2:$Q$1501,$V239))</f>
        <v/>
      </c>
      <c r="K239" s="7">
        <f>IF($V239="","",J239*T239/100)</f>
        <v/>
      </c>
      <c r="L239">
        <f>IF($V239="","",Settings!$C$7)</f>
        <v/>
      </c>
      <c r="M239" s="7">
        <f>IF($V239="","",SUMIFS('Per Line'!$AC$2:$AC$1501,'Per Line'!$C$2:$C$1501,$C239,'Per Line'!$AK$2:$AK$1501,0))</f>
        <v/>
      </c>
      <c r="N239" s="7">
        <f>IF($V239="","",M239*L239)</f>
        <v/>
      </c>
      <c r="O239">
        <f>IF($V239="","",Settings!$C$6)</f>
        <v/>
      </c>
      <c r="P239" s="7">
        <f>IF($V239="","",SUMIFS('Per Line'!$AC$2:$AC$1501,'Per Line'!$C$2:$C$1501,$C239,'Per Line'!$AK$2:$AK$1501,1))</f>
        <v/>
      </c>
      <c r="Q239" s="7">
        <f>IF($V239="","",P239*O239)</f>
        <v/>
      </c>
      <c r="R239" s="7">
        <f>IF($V239="","",Q239+N239)</f>
        <v/>
      </c>
      <c r="S239" s="7">
        <f>IF($V239="","",T239-R239)</f>
        <v/>
      </c>
      <c r="T239" s="7">
        <f>IF($V239="","",M239+P239)</f>
        <v/>
      </c>
      <c r="U239" s="7">
        <f>IF($V239="","",T239-R239-K239)</f>
        <v/>
      </c>
      <c r="V239" s="13">
        <f>IF(ROWS($V$2:$V239)&lt;=MAX('Per Line'!$AJ$2:$AJ$1501),MATCH(ROWS($V$2:$V239),'Per Line'!$AJ$2:$AJ$1501,0),"")</f>
        <v/>
      </c>
    </row>
    <row r="240">
      <c r="A240" s="12" t="n"/>
      <c r="B240">
        <f>IF($V240="","",INDEX('Per Line'!$A$2:$A$1501,$V240)&amp;"")</f>
        <v/>
      </c>
      <c r="C240">
        <f>IF($V240="","",INDEX('Per Line'!$C$2:$C$1501,$V240)&amp;"")</f>
        <v/>
      </c>
      <c r="D240" s="11">
        <f>IF($V240="","",INDEX('Per Line'!$S$2:$S$1501,$V240))</f>
        <v/>
      </c>
      <c r="E240">
        <f>IF($V240="","",INDEX('Per Line'!$F$2:$F$1501,$V240)&amp;"")</f>
        <v/>
      </c>
      <c r="F240">
        <f>IF($V240="","",INDEX('Per Line'!$L$2:$L$1501,$V240)&amp;"")</f>
        <v/>
      </c>
      <c r="G240">
        <f>IF($V240="","",INDEX('Per Line'!$O$2:$O$1501,$V240)&amp;"")</f>
        <v/>
      </c>
      <c r="H240">
        <f>IF($V240="","",INDEX('Per Line'!$P$2:$P$1501,$V240)&amp;"")</f>
        <v/>
      </c>
      <c r="I240">
        <f>IF($V240="","",INDEX('Per Line'!$N$2:$N$1501,$V240)&amp;"")</f>
        <v/>
      </c>
      <c r="J240">
        <f>IF($V240="","",INDEX('Per Line'!$Q$2:$Q$1501,$V240))</f>
        <v/>
      </c>
      <c r="K240" s="7">
        <f>IF($V240="","",J240*T240/100)</f>
        <v/>
      </c>
      <c r="L240">
        <f>IF($V240="","",Settings!$C$7)</f>
        <v/>
      </c>
      <c r="M240" s="7">
        <f>IF($V240="","",SUMIFS('Per Line'!$AC$2:$AC$1501,'Per Line'!$C$2:$C$1501,$C240,'Per Line'!$AK$2:$AK$1501,0))</f>
        <v/>
      </c>
      <c r="N240" s="7">
        <f>IF($V240="","",M240*L240)</f>
        <v/>
      </c>
      <c r="O240">
        <f>IF($V240="","",Settings!$C$6)</f>
        <v/>
      </c>
      <c r="P240" s="7">
        <f>IF($V240="","",SUMIFS('Per Line'!$AC$2:$AC$1501,'Per Line'!$C$2:$C$1501,$C240,'Per Line'!$AK$2:$AK$1501,1))</f>
        <v/>
      </c>
      <c r="Q240" s="7">
        <f>IF($V240="","",P240*O240)</f>
        <v/>
      </c>
      <c r="R240" s="7">
        <f>IF($V240="","",Q240+N240)</f>
        <v/>
      </c>
      <c r="S240" s="7">
        <f>IF($V240="","",T240-R240)</f>
        <v/>
      </c>
      <c r="T240" s="7">
        <f>IF($V240="","",M240+P240)</f>
        <v/>
      </c>
      <c r="U240" s="7">
        <f>IF($V240="","",T240-R240-K240)</f>
        <v/>
      </c>
      <c r="V240" s="13">
        <f>IF(ROWS($V$2:$V240)&lt;=MAX('Per Line'!$AJ$2:$AJ$1501),MATCH(ROWS($V$2:$V240),'Per Line'!$AJ$2:$AJ$1501,0),"")</f>
        <v/>
      </c>
    </row>
    <row r="241">
      <c r="A241" s="12" t="n"/>
      <c r="B241">
        <f>IF($V241="","",INDEX('Per Line'!$A$2:$A$1501,$V241)&amp;"")</f>
        <v/>
      </c>
      <c r="C241">
        <f>IF($V241="","",INDEX('Per Line'!$C$2:$C$1501,$V241)&amp;"")</f>
        <v/>
      </c>
      <c r="D241" s="11">
        <f>IF($V241="","",INDEX('Per Line'!$S$2:$S$1501,$V241))</f>
        <v/>
      </c>
      <c r="E241">
        <f>IF($V241="","",INDEX('Per Line'!$F$2:$F$1501,$V241)&amp;"")</f>
        <v/>
      </c>
      <c r="F241">
        <f>IF($V241="","",INDEX('Per Line'!$L$2:$L$1501,$V241)&amp;"")</f>
        <v/>
      </c>
      <c r="G241">
        <f>IF($V241="","",INDEX('Per Line'!$O$2:$O$1501,$V241)&amp;"")</f>
        <v/>
      </c>
      <c r="H241">
        <f>IF($V241="","",INDEX('Per Line'!$P$2:$P$1501,$V241)&amp;"")</f>
        <v/>
      </c>
      <c r="I241">
        <f>IF($V241="","",INDEX('Per Line'!$N$2:$N$1501,$V241)&amp;"")</f>
        <v/>
      </c>
      <c r="J241">
        <f>IF($V241="","",INDEX('Per Line'!$Q$2:$Q$1501,$V241))</f>
        <v/>
      </c>
      <c r="K241" s="7">
        <f>IF($V241="","",J241*T241/100)</f>
        <v/>
      </c>
      <c r="L241">
        <f>IF($V241="","",Settings!$C$7)</f>
        <v/>
      </c>
      <c r="M241" s="7">
        <f>IF($V241="","",SUMIFS('Per Line'!$AC$2:$AC$1501,'Per Line'!$C$2:$C$1501,$C241,'Per Line'!$AK$2:$AK$1501,0))</f>
        <v/>
      </c>
      <c r="N241" s="7">
        <f>IF($V241="","",M241*L241)</f>
        <v/>
      </c>
      <c r="O241">
        <f>IF($V241="","",Settings!$C$6)</f>
        <v/>
      </c>
      <c r="P241" s="7">
        <f>IF($V241="","",SUMIFS('Per Line'!$AC$2:$AC$1501,'Per Line'!$C$2:$C$1501,$C241,'Per Line'!$AK$2:$AK$1501,1))</f>
        <v/>
      </c>
      <c r="Q241" s="7">
        <f>IF($V241="","",P241*O241)</f>
        <v/>
      </c>
      <c r="R241" s="7">
        <f>IF($V241="","",Q241+N241)</f>
        <v/>
      </c>
      <c r="S241" s="7">
        <f>IF($V241="","",T241-R241)</f>
        <v/>
      </c>
      <c r="T241" s="7">
        <f>IF($V241="","",M241+P241)</f>
        <v/>
      </c>
      <c r="U241" s="7">
        <f>IF($V241="","",T241-R241-K241)</f>
        <v/>
      </c>
      <c r="V241" s="13">
        <f>IF(ROWS($V$2:$V241)&lt;=MAX('Per Line'!$AJ$2:$AJ$1501),MATCH(ROWS($V$2:$V241),'Per Line'!$AJ$2:$AJ$1501,0),"")</f>
        <v/>
      </c>
    </row>
    <row r="242">
      <c r="A242" s="12" t="n"/>
      <c r="B242">
        <f>IF($V242="","",INDEX('Per Line'!$A$2:$A$1501,$V242)&amp;"")</f>
        <v/>
      </c>
      <c r="C242">
        <f>IF($V242="","",INDEX('Per Line'!$C$2:$C$1501,$V242)&amp;"")</f>
        <v/>
      </c>
      <c r="D242" s="11">
        <f>IF($V242="","",INDEX('Per Line'!$S$2:$S$1501,$V242))</f>
        <v/>
      </c>
      <c r="E242">
        <f>IF($V242="","",INDEX('Per Line'!$F$2:$F$1501,$V242)&amp;"")</f>
        <v/>
      </c>
      <c r="F242">
        <f>IF($V242="","",INDEX('Per Line'!$L$2:$L$1501,$V242)&amp;"")</f>
        <v/>
      </c>
      <c r="G242">
        <f>IF($V242="","",INDEX('Per Line'!$O$2:$O$1501,$V242)&amp;"")</f>
        <v/>
      </c>
      <c r="H242">
        <f>IF($V242="","",INDEX('Per Line'!$P$2:$P$1501,$V242)&amp;"")</f>
        <v/>
      </c>
      <c r="I242">
        <f>IF($V242="","",INDEX('Per Line'!$N$2:$N$1501,$V242)&amp;"")</f>
        <v/>
      </c>
      <c r="J242">
        <f>IF($V242="","",INDEX('Per Line'!$Q$2:$Q$1501,$V242))</f>
        <v/>
      </c>
      <c r="K242" s="7">
        <f>IF($V242="","",J242*T242/100)</f>
        <v/>
      </c>
      <c r="L242">
        <f>IF($V242="","",Settings!$C$7)</f>
        <v/>
      </c>
      <c r="M242" s="7">
        <f>IF($V242="","",SUMIFS('Per Line'!$AC$2:$AC$1501,'Per Line'!$C$2:$C$1501,$C242,'Per Line'!$AK$2:$AK$1501,0))</f>
        <v/>
      </c>
      <c r="N242" s="7">
        <f>IF($V242="","",M242*L242)</f>
        <v/>
      </c>
      <c r="O242">
        <f>IF($V242="","",Settings!$C$6)</f>
        <v/>
      </c>
      <c r="P242" s="7">
        <f>IF($V242="","",SUMIFS('Per Line'!$AC$2:$AC$1501,'Per Line'!$C$2:$C$1501,$C242,'Per Line'!$AK$2:$AK$1501,1))</f>
        <v/>
      </c>
      <c r="Q242" s="7">
        <f>IF($V242="","",P242*O242)</f>
        <v/>
      </c>
      <c r="R242" s="7">
        <f>IF($V242="","",Q242+N242)</f>
        <v/>
      </c>
      <c r="S242" s="7">
        <f>IF($V242="","",T242-R242)</f>
        <v/>
      </c>
      <c r="T242" s="7">
        <f>IF($V242="","",M242+P242)</f>
        <v/>
      </c>
      <c r="U242" s="7">
        <f>IF($V242="","",T242-R242-K242)</f>
        <v/>
      </c>
      <c r="V242" s="13">
        <f>IF(ROWS($V$2:$V242)&lt;=MAX('Per Line'!$AJ$2:$AJ$1501),MATCH(ROWS($V$2:$V242),'Per Line'!$AJ$2:$AJ$1501,0),"")</f>
        <v/>
      </c>
    </row>
    <row r="243">
      <c r="A243" s="12" t="n"/>
      <c r="B243">
        <f>IF($V243="","",INDEX('Per Line'!$A$2:$A$1501,$V243)&amp;"")</f>
        <v/>
      </c>
      <c r="C243">
        <f>IF($V243="","",INDEX('Per Line'!$C$2:$C$1501,$V243)&amp;"")</f>
        <v/>
      </c>
      <c r="D243" s="11">
        <f>IF($V243="","",INDEX('Per Line'!$S$2:$S$1501,$V243))</f>
        <v/>
      </c>
      <c r="E243">
        <f>IF($V243="","",INDEX('Per Line'!$F$2:$F$1501,$V243)&amp;"")</f>
        <v/>
      </c>
      <c r="F243">
        <f>IF($V243="","",INDEX('Per Line'!$L$2:$L$1501,$V243)&amp;"")</f>
        <v/>
      </c>
      <c r="G243">
        <f>IF($V243="","",INDEX('Per Line'!$O$2:$O$1501,$V243)&amp;"")</f>
        <v/>
      </c>
      <c r="H243">
        <f>IF($V243="","",INDEX('Per Line'!$P$2:$P$1501,$V243)&amp;"")</f>
        <v/>
      </c>
      <c r="I243">
        <f>IF($V243="","",INDEX('Per Line'!$N$2:$N$1501,$V243)&amp;"")</f>
        <v/>
      </c>
      <c r="J243">
        <f>IF($V243="","",INDEX('Per Line'!$Q$2:$Q$1501,$V243))</f>
        <v/>
      </c>
      <c r="K243" s="7">
        <f>IF($V243="","",J243*T243/100)</f>
        <v/>
      </c>
      <c r="L243">
        <f>IF($V243="","",Settings!$C$7)</f>
        <v/>
      </c>
      <c r="M243" s="7">
        <f>IF($V243="","",SUMIFS('Per Line'!$AC$2:$AC$1501,'Per Line'!$C$2:$C$1501,$C243,'Per Line'!$AK$2:$AK$1501,0))</f>
        <v/>
      </c>
      <c r="N243" s="7">
        <f>IF($V243="","",M243*L243)</f>
        <v/>
      </c>
      <c r="O243">
        <f>IF($V243="","",Settings!$C$6)</f>
        <v/>
      </c>
      <c r="P243" s="7">
        <f>IF($V243="","",SUMIFS('Per Line'!$AC$2:$AC$1501,'Per Line'!$C$2:$C$1501,$C243,'Per Line'!$AK$2:$AK$1501,1))</f>
        <v/>
      </c>
      <c r="Q243" s="7">
        <f>IF($V243="","",P243*O243)</f>
        <v/>
      </c>
      <c r="R243" s="7">
        <f>IF($V243="","",Q243+N243)</f>
        <v/>
      </c>
      <c r="S243" s="7">
        <f>IF($V243="","",T243-R243)</f>
        <v/>
      </c>
      <c r="T243" s="7">
        <f>IF($V243="","",M243+P243)</f>
        <v/>
      </c>
      <c r="U243" s="7">
        <f>IF($V243="","",T243-R243-K243)</f>
        <v/>
      </c>
      <c r="V243" s="13">
        <f>IF(ROWS($V$2:$V243)&lt;=MAX('Per Line'!$AJ$2:$AJ$1501),MATCH(ROWS($V$2:$V243),'Per Line'!$AJ$2:$AJ$1501,0),"")</f>
        <v/>
      </c>
    </row>
    <row r="244">
      <c r="A244" s="12" t="n"/>
      <c r="B244">
        <f>IF($V244="","",INDEX('Per Line'!$A$2:$A$1501,$V244)&amp;"")</f>
        <v/>
      </c>
      <c r="C244">
        <f>IF($V244="","",INDEX('Per Line'!$C$2:$C$1501,$V244)&amp;"")</f>
        <v/>
      </c>
      <c r="D244" s="11">
        <f>IF($V244="","",INDEX('Per Line'!$S$2:$S$1501,$V244))</f>
        <v/>
      </c>
      <c r="E244">
        <f>IF($V244="","",INDEX('Per Line'!$F$2:$F$1501,$V244)&amp;"")</f>
        <v/>
      </c>
      <c r="F244">
        <f>IF($V244="","",INDEX('Per Line'!$L$2:$L$1501,$V244)&amp;"")</f>
        <v/>
      </c>
      <c r="G244">
        <f>IF($V244="","",INDEX('Per Line'!$O$2:$O$1501,$V244)&amp;"")</f>
        <v/>
      </c>
      <c r="H244">
        <f>IF($V244="","",INDEX('Per Line'!$P$2:$P$1501,$V244)&amp;"")</f>
        <v/>
      </c>
      <c r="I244">
        <f>IF($V244="","",INDEX('Per Line'!$N$2:$N$1501,$V244)&amp;"")</f>
        <v/>
      </c>
      <c r="J244">
        <f>IF($V244="","",INDEX('Per Line'!$Q$2:$Q$1501,$V244))</f>
        <v/>
      </c>
      <c r="K244" s="7">
        <f>IF($V244="","",J244*T244/100)</f>
        <v/>
      </c>
      <c r="L244">
        <f>IF($V244="","",Settings!$C$7)</f>
        <v/>
      </c>
      <c r="M244" s="7">
        <f>IF($V244="","",SUMIFS('Per Line'!$AC$2:$AC$1501,'Per Line'!$C$2:$C$1501,$C244,'Per Line'!$AK$2:$AK$1501,0))</f>
        <v/>
      </c>
      <c r="N244" s="7">
        <f>IF($V244="","",M244*L244)</f>
        <v/>
      </c>
      <c r="O244">
        <f>IF($V244="","",Settings!$C$6)</f>
        <v/>
      </c>
      <c r="P244" s="7">
        <f>IF($V244="","",SUMIFS('Per Line'!$AC$2:$AC$1501,'Per Line'!$C$2:$C$1501,$C244,'Per Line'!$AK$2:$AK$1501,1))</f>
        <v/>
      </c>
      <c r="Q244" s="7">
        <f>IF($V244="","",P244*O244)</f>
        <v/>
      </c>
      <c r="R244" s="7">
        <f>IF($V244="","",Q244+N244)</f>
        <v/>
      </c>
      <c r="S244" s="7">
        <f>IF($V244="","",T244-R244)</f>
        <v/>
      </c>
      <c r="T244" s="7">
        <f>IF($V244="","",M244+P244)</f>
        <v/>
      </c>
      <c r="U244" s="7">
        <f>IF($V244="","",T244-R244-K244)</f>
        <v/>
      </c>
      <c r="V244" s="13">
        <f>IF(ROWS($V$2:$V244)&lt;=MAX('Per Line'!$AJ$2:$AJ$1501),MATCH(ROWS($V$2:$V244),'Per Line'!$AJ$2:$AJ$1501,0),"")</f>
        <v/>
      </c>
    </row>
    <row r="245">
      <c r="A245" s="12" t="n"/>
      <c r="B245">
        <f>IF($V245="","",INDEX('Per Line'!$A$2:$A$1501,$V245)&amp;"")</f>
        <v/>
      </c>
      <c r="C245">
        <f>IF($V245="","",INDEX('Per Line'!$C$2:$C$1501,$V245)&amp;"")</f>
        <v/>
      </c>
      <c r="D245" s="11">
        <f>IF($V245="","",INDEX('Per Line'!$S$2:$S$1501,$V245))</f>
        <v/>
      </c>
      <c r="E245">
        <f>IF($V245="","",INDEX('Per Line'!$F$2:$F$1501,$V245)&amp;"")</f>
        <v/>
      </c>
      <c r="F245">
        <f>IF($V245="","",INDEX('Per Line'!$L$2:$L$1501,$V245)&amp;"")</f>
        <v/>
      </c>
      <c r="G245">
        <f>IF($V245="","",INDEX('Per Line'!$O$2:$O$1501,$V245)&amp;"")</f>
        <v/>
      </c>
      <c r="H245">
        <f>IF($V245="","",INDEX('Per Line'!$P$2:$P$1501,$V245)&amp;"")</f>
        <v/>
      </c>
      <c r="I245">
        <f>IF($V245="","",INDEX('Per Line'!$N$2:$N$1501,$V245)&amp;"")</f>
        <v/>
      </c>
      <c r="J245">
        <f>IF($V245="","",INDEX('Per Line'!$Q$2:$Q$1501,$V245))</f>
        <v/>
      </c>
      <c r="K245" s="7">
        <f>IF($V245="","",J245*T245/100)</f>
        <v/>
      </c>
      <c r="L245">
        <f>IF($V245="","",Settings!$C$7)</f>
        <v/>
      </c>
      <c r="M245" s="7">
        <f>IF($V245="","",SUMIFS('Per Line'!$AC$2:$AC$1501,'Per Line'!$C$2:$C$1501,$C245,'Per Line'!$AK$2:$AK$1501,0))</f>
        <v/>
      </c>
      <c r="N245" s="7">
        <f>IF($V245="","",M245*L245)</f>
        <v/>
      </c>
      <c r="O245">
        <f>IF($V245="","",Settings!$C$6)</f>
        <v/>
      </c>
      <c r="P245" s="7">
        <f>IF($V245="","",SUMIFS('Per Line'!$AC$2:$AC$1501,'Per Line'!$C$2:$C$1501,$C245,'Per Line'!$AK$2:$AK$1501,1))</f>
        <v/>
      </c>
      <c r="Q245" s="7">
        <f>IF($V245="","",P245*O245)</f>
        <v/>
      </c>
      <c r="R245" s="7">
        <f>IF($V245="","",Q245+N245)</f>
        <v/>
      </c>
      <c r="S245" s="7">
        <f>IF($V245="","",T245-R245)</f>
        <v/>
      </c>
      <c r="T245" s="7">
        <f>IF($V245="","",M245+P245)</f>
        <v/>
      </c>
      <c r="U245" s="7">
        <f>IF($V245="","",T245-R245-K245)</f>
        <v/>
      </c>
      <c r="V245" s="13">
        <f>IF(ROWS($V$2:$V245)&lt;=MAX('Per Line'!$AJ$2:$AJ$1501),MATCH(ROWS($V$2:$V245),'Per Line'!$AJ$2:$AJ$1501,0),"")</f>
        <v/>
      </c>
    </row>
    <row r="246">
      <c r="A246" s="12" t="n"/>
      <c r="B246">
        <f>IF($V246="","",INDEX('Per Line'!$A$2:$A$1501,$V246)&amp;"")</f>
        <v/>
      </c>
      <c r="C246">
        <f>IF($V246="","",INDEX('Per Line'!$C$2:$C$1501,$V246)&amp;"")</f>
        <v/>
      </c>
      <c r="D246" s="11">
        <f>IF($V246="","",INDEX('Per Line'!$S$2:$S$1501,$V246))</f>
        <v/>
      </c>
      <c r="E246">
        <f>IF($V246="","",INDEX('Per Line'!$F$2:$F$1501,$V246)&amp;"")</f>
        <v/>
      </c>
      <c r="F246">
        <f>IF($V246="","",INDEX('Per Line'!$L$2:$L$1501,$V246)&amp;"")</f>
        <v/>
      </c>
      <c r="G246">
        <f>IF($V246="","",INDEX('Per Line'!$O$2:$O$1501,$V246)&amp;"")</f>
        <v/>
      </c>
      <c r="H246">
        <f>IF($V246="","",INDEX('Per Line'!$P$2:$P$1501,$V246)&amp;"")</f>
        <v/>
      </c>
      <c r="I246">
        <f>IF($V246="","",INDEX('Per Line'!$N$2:$N$1501,$V246)&amp;"")</f>
        <v/>
      </c>
      <c r="J246">
        <f>IF($V246="","",INDEX('Per Line'!$Q$2:$Q$1501,$V246))</f>
        <v/>
      </c>
      <c r="K246" s="7">
        <f>IF($V246="","",J246*T246/100)</f>
        <v/>
      </c>
      <c r="L246">
        <f>IF($V246="","",Settings!$C$7)</f>
        <v/>
      </c>
      <c r="M246" s="7">
        <f>IF($V246="","",SUMIFS('Per Line'!$AC$2:$AC$1501,'Per Line'!$C$2:$C$1501,$C246,'Per Line'!$AK$2:$AK$1501,0))</f>
        <v/>
      </c>
      <c r="N246" s="7">
        <f>IF($V246="","",M246*L246)</f>
        <v/>
      </c>
      <c r="O246">
        <f>IF($V246="","",Settings!$C$6)</f>
        <v/>
      </c>
      <c r="P246" s="7">
        <f>IF($V246="","",SUMIFS('Per Line'!$AC$2:$AC$1501,'Per Line'!$C$2:$C$1501,$C246,'Per Line'!$AK$2:$AK$1501,1))</f>
        <v/>
      </c>
      <c r="Q246" s="7">
        <f>IF($V246="","",P246*O246)</f>
        <v/>
      </c>
      <c r="R246" s="7">
        <f>IF($V246="","",Q246+N246)</f>
        <v/>
      </c>
      <c r="S246" s="7">
        <f>IF($V246="","",T246-R246)</f>
        <v/>
      </c>
      <c r="T246" s="7">
        <f>IF($V246="","",M246+P246)</f>
        <v/>
      </c>
      <c r="U246" s="7">
        <f>IF($V246="","",T246-R246-K246)</f>
        <v/>
      </c>
      <c r="V246" s="13">
        <f>IF(ROWS($V$2:$V246)&lt;=MAX('Per Line'!$AJ$2:$AJ$1501),MATCH(ROWS($V$2:$V246),'Per Line'!$AJ$2:$AJ$1501,0),"")</f>
        <v/>
      </c>
    </row>
    <row r="247">
      <c r="A247" s="12" t="n"/>
      <c r="B247">
        <f>IF($V247="","",INDEX('Per Line'!$A$2:$A$1501,$V247)&amp;"")</f>
        <v/>
      </c>
      <c r="C247">
        <f>IF($V247="","",INDEX('Per Line'!$C$2:$C$1501,$V247)&amp;"")</f>
        <v/>
      </c>
      <c r="D247" s="11">
        <f>IF($V247="","",INDEX('Per Line'!$S$2:$S$1501,$V247))</f>
        <v/>
      </c>
      <c r="E247">
        <f>IF($V247="","",INDEX('Per Line'!$F$2:$F$1501,$V247)&amp;"")</f>
        <v/>
      </c>
      <c r="F247">
        <f>IF($V247="","",INDEX('Per Line'!$L$2:$L$1501,$V247)&amp;"")</f>
        <v/>
      </c>
      <c r="G247">
        <f>IF($V247="","",INDEX('Per Line'!$O$2:$O$1501,$V247)&amp;"")</f>
        <v/>
      </c>
      <c r="H247">
        <f>IF($V247="","",INDEX('Per Line'!$P$2:$P$1501,$V247)&amp;"")</f>
        <v/>
      </c>
      <c r="I247">
        <f>IF($V247="","",INDEX('Per Line'!$N$2:$N$1501,$V247)&amp;"")</f>
        <v/>
      </c>
      <c r="J247">
        <f>IF($V247="","",INDEX('Per Line'!$Q$2:$Q$1501,$V247))</f>
        <v/>
      </c>
      <c r="K247" s="7">
        <f>IF($V247="","",J247*T247/100)</f>
        <v/>
      </c>
      <c r="L247">
        <f>IF($V247="","",Settings!$C$7)</f>
        <v/>
      </c>
      <c r="M247" s="7">
        <f>IF($V247="","",SUMIFS('Per Line'!$AC$2:$AC$1501,'Per Line'!$C$2:$C$1501,$C247,'Per Line'!$AK$2:$AK$1501,0))</f>
        <v/>
      </c>
      <c r="N247" s="7">
        <f>IF($V247="","",M247*L247)</f>
        <v/>
      </c>
      <c r="O247">
        <f>IF($V247="","",Settings!$C$6)</f>
        <v/>
      </c>
      <c r="P247" s="7">
        <f>IF($V247="","",SUMIFS('Per Line'!$AC$2:$AC$1501,'Per Line'!$C$2:$C$1501,$C247,'Per Line'!$AK$2:$AK$1501,1))</f>
        <v/>
      </c>
      <c r="Q247" s="7">
        <f>IF($V247="","",P247*O247)</f>
        <v/>
      </c>
      <c r="R247" s="7">
        <f>IF($V247="","",Q247+N247)</f>
        <v/>
      </c>
      <c r="S247" s="7">
        <f>IF($V247="","",T247-R247)</f>
        <v/>
      </c>
      <c r="T247" s="7">
        <f>IF($V247="","",M247+P247)</f>
        <v/>
      </c>
      <c r="U247" s="7">
        <f>IF($V247="","",T247-R247-K247)</f>
        <v/>
      </c>
      <c r="V247" s="13">
        <f>IF(ROWS($V$2:$V247)&lt;=MAX('Per Line'!$AJ$2:$AJ$1501),MATCH(ROWS($V$2:$V247),'Per Line'!$AJ$2:$AJ$1501,0),"")</f>
        <v/>
      </c>
    </row>
    <row r="248">
      <c r="A248" s="12" t="n"/>
      <c r="B248">
        <f>IF($V248="","",INDEX('Per Line'!$A$2:$A$1501,$V248)&amp;"")</f>
        <v/>
      </c>
      <c r="C248">
        <f>IF($V248="","",INDEX('Per Line'!$C$2:$C$1501,$V248)&amp;"")</f>
        <v/>
      </c>
      <c r="D248" s="11">
        <f>IF($V248="","",INDEX('Per Line'!$S$2:$S$1501,$V248))</f>
        <v/>
      </c>
      <c r="E248">
        <f>IF($V248="","",INDEX('Per Line'!$F$2:$F$1501,$V248)&amp;"")</f>
        <v/>
      </c>
      <c r="F248">
        <f>IF($V248="","",INDEX('Per Line'!$L$2:$L$1501,$V248)&amp;"")</f>
        <v/>
      </c>
      <c r="G248">
        <f>IF($V248="","",INDEX('Per Line'!$O$2:$O$1501,$V248)&amp;"")</f>
        <v/>
      </c>
      <c r="H248">
        <f>IF($V248="","",INDEX('Per Line'!$P$2:$P$1501,$V248)&amp;"")</f>
        <v/>
      </c>
      <c r="I248">
        <f>IF($V248="","",INDEX('Per Line'!$N$2:$N$1501,$V248)&amp;"")</f>
        <v/>
      </c>
      <c r="J248">
        <f>IF($V248="","",INDEX('Per Line'!$Q$2:$Q$1501,$V248))</f>
        <v/>
      </c>
      <c r="K248" s="7">
        <f>IF($V248="","",J248*T248/100)</f>
        <v/>
      </c>
      <c r="L248">
        <f>IF($V248="","",Settings!$C$7)</f>
        <v/>
      </c>
      <c r="M248" s="7">
        <f>IF($V248="","",SUMIFS('Per Line'!$AC$2:$AC$1501,'Per Line'!$C$2:$C$1501,$C248,'Per Line'!$AK$2:$AK$1501,0))</f>
        <v/>
      </c>
      <c r="N248" s="7">
        <f>IF($V248="","",M248*L248)</f>
        <v/>
      </c>
      <c r="O248">
        <f>IF($V248="","",Settings!$C$6)</f>
        <v/>
      </c>
      <c r="P248" s="7">
        <f>IF($V248="","",SUMIFS('Per Line'!$AC$2:$AC$1501,'Per Line'!$C$2:$C$1501,$C248,'Per Line'!$AK$2:$AK$1501,1))</f>
        <v/>
      </c>
      <c r="Q248" s="7">
        <f>IF($V248="","",P248*O248)</f>
        <v/>
      </c>
      <c r="R248" s="7">
        <f>IF($V248="","",Q248+N248)</f>
        <v/>
      </c>
      <c r="S248" s="7">
        <f>IF($V248="","",T248-R248)</f>
        <v/>
      </c>
      <c r="T248" s="7">
        <f>IF($V248="","",M248+P248)</f>
        <v/>
      </c>
      <c r="U248" s="7">
        <f>IF($V248="","",T248-R248-K248)</f>
        <v/>
      </c>
      <c r="V248" s="13">
        <f>IF(ROWS($V$2:$V248)&lt;=MAX('Per Line'!$AJ$2:$AJ$1501),MATCH(ROWS($V$2:$V248),'Per Line'!$AJ$2:$AJ$1501,0),"")</f>
        <v/>
      </c>
    </row>
    <row r="249">
      <c r="A249" s="12" t="n"/>
      <c r="B249">
        <f>IF($V249="","",INDEX('Per Line'!$A$2:$A$1501,$V249)&amp;"")</f>
        <v/>
      </c>
      <c r="C249">
        <f>IF($V249="","",INDEX('Per Line'!$C$2:$C$1501,$V249)&amp;"")</f>
        <v/>
      </c>
      <c r="D249" s="11">
        <f>IF($V249="","",INDEX('Per Line'!$S$2:$S$1501,$V249))</f>
        <v/>
      </c>
      <c r="E249">
        <f>IF($V249="","",INDEX('Per Line'!$F$2:$F$1501,$V249)&amp;"")</f>
        <v/>
      </c>
      <c r="F249">
        <f>IF($V249="","",INDEX('Per Line'!$L$2:$L$1501,$V249)&amp;"")</f>
        <v/>
      </c>
      <c r="G249">
        <f>IF($V249="","",INDEX('Per Line'!$O$2:$O$1501,$V249)&amp;"")</f>
        <v/>
      </c>
      <c r="H249">
        <f>IF($V249="","",INDEX('Per Line'!$P$2:$P$1501,$V249)&amp;"")</f>
        <v/>
      </c>
      <c r="I249">
        <f>IF($V249="","",INDEX('Per Line'!$N$2:$N$1501,$V249)&amp;"")</f>
        <v/>
      </c>
      <c r="J249">
        <f>IF($V249="","",INDEX('Per Line'!$Q$2:$Q$1501,$V249))</f>
        <v/>
      </c>
      <c r="K249" s="7">
        <f>IF($V249="","",J249*T249/100)</f>
        <v/>
      </c>
      <c r="L249">
        <f>IF($V249="","",Settings!$C$7)</f>
        <v/>
      </c>
      <c r="M249" s="7">
        <f>IF($V249="","",SUMIFS('Per Line'!$AC$2:$AC$1501,'Per Line'!$C$2:$C$1501,$C249,'Per Line'!$AK$2:$AK$1501,0))</f>
        <v/>
      </c>
      <c r="N249" s="7">
        <f>IF($V249="","",M249*L249)</f>
        <v/>
      </c>
      <c r="O249">
        <f>IF($V249="","",Settings!$C$6)</f>
        <v/>
      </c>
      <c r="P249" s="7">
        <f>IF($V249="","",SUMIFS('Per Line'!$AC$2:$AC$1501,'Per Line'!$C$2:$C$1501,$C249,'Per Line'!$AK$2:$AK$1501,1))</f>
        <v/>
      </c>
      <c r="Q249" s="7">
        <f>IF($V249="","",P249*O249)</f>
        <v/>
      </c>
      <c r="R249" s="7">
        <f>IF($V249="","",Q249+N249)</f>
        <v/>
      </c>
      <c r="S249" s="7">
        <f>IF($V249="","",T249-R249)</f>
        <v/>
      </c>
      <c r="T249" s="7">
        <f>IF($V249="","",M249+P249)</f>
        <v/>
      </c>
      <c r="U249" s="7">
        <f>IF($V249="","",T249-R249-K249)</f>
        <v/>
      </c>
      <c r="V249" s="13">
        <f>IF(ROWS($V$2:$V249)&lt;=MAX('Per Line'!$AJ$2:$AJ$1501),MATCH(ROWS($V$2:$V249),'Per Line'!$AJ$2:$AJ$1501,0),"")</f>
        <v/>
      </c>
    </row>
    <row r="250">
      <c r="A250" s="12" t="n"/>
      <c r="B250">
        <f>IF($V250="","",INDEX('Per Line'!$A$2:$A$1501,$V250)&amp;"")</f>
        <v/>
      </c>
      <c r="C250">
        <f>IF($V250="","",INDEX('Per Line'!$C$2:$C$1501,$V250)&amp;"")</f>
        <v/>
      </c>
      <c r="D250" s="11">
        <f>IF($V250="","",INDEX('Per Line'!$S$2:$S$1501,$V250))</f>
        <v/>
      </c>
      <c r="E250">
        <f>IF($V250="","",INDEX('Per Line'!$F$2:$F$1501,$V250)&amp;"")</f>
        <v/>
      </c>
      <c r="F250">
        <f>IF($V250="","",INDEX('Per Line'!$L$2:$L$1501,$V250)&amp;"")</f>
        <v/>
      </c>
      <c r="G250">
        <f>IF($V250="","",INDEX('Per Line'!$O$2:$O$1501,$V250)&amp;"")</f>
        <v/>
      </c>
      <c r="H250">
        <f>IF($V250="","",INDEX('Per Line'!$P$2:$P$1501,$V250)&amp;"")</f>
        <v/>
      </c>
      <c r="I250">
        <f>IF($V250="","",INDEX('Per Line'!$N$2:$N$1501,$V250)&amp;"")</f>
        <v/>
      </c>
      <c r="J250">
        <f>IF($V250="","",INDEX('Per Line'!$Q$2:$Q$1501,$V250))</f>
        <v/>
      </c>
      <c r="K250" s="7">
        <f>IF($V250="","",J250*T250/100)</f>
        <v/>
      </c>
      <c r="L250">
        <f>IF($V250="","",Settings!$C$7)</f>
        <v/>
      </c>
      <c r="M250" s="7">
        <f>IF($V250="","",SUMIFS('Per Line'!$AC$2:$AC$1501,'Per Line'!$C$2:$C$1501,$C250,'Per Line'!$AK$2:$AK$1501,0))</f>
        <v/>
      </c>
      <c r="N250" s="7">
        <f>IF($V250="","",M250*L250)</f>
        <v/>
      </c>
      <c r="O250">
        <f>IF($V250="","",Settings!$C$6)</f>
        <v/>
      </c>
      <c r="P250" s="7">
        <f>IF($V250="","",SUMIFS('Per Line'!$AC$2:$AC$1501,'Per Line'!$C$2:$C$1501,$C250,'Per Line'!$AK$2:$AK$1501,1))</f>
        <v/>
      </c>
      <c r="Q250" s="7">
        <f>IF($V250="","",P250*O250)</f>
        <v/>
      </c>
      <c r="R250" s="7">
        <f>IF($V250="","",Q250+N250)</f>
        <v/>
      </c>
      <c r="S250" s="7">
        <f>IF($V250="","",T250-R250)</f>
        <v/>
      </c>
      <c r="T250" s="7">
        <f>IF($V250="","",M250+P250)</f>
        <v/>
      </c>
      <c r="U250" s="7">
        <f>IF($V250="","",T250-R250-K250)</f>
        <v/>
      </c>
      <c r="V250" s="13">
        <f>IF(ROWS($V$2:$V250)&lt;=MAX('Per Line'!$AJ$2:$AJ$1501),MATCH(ROWS($V$2:$V250),'Per Line'!$AJ$2:$AJ$1501,0),"")</f>
        <v/>
      </c>
    </row>
    <row r="251">
      <c r="A251" s="12" t="n"/>
      <c r="B251">
        <f>IF($V251="","",INDEX('Per Line'!$A$2:$A$1501,$V251)&amp;"")</f>
        <v/>
      </c>
      <c r="C251">
        <f>IF($V251="","",INDEX('Per Line'!$C$2:$C$1501,$V251)&amp;"")</f>
        <v/>
      </c>
      <c r="D251" s="11">
        <f>IF($V251="","",INDEX('Per Line'!$S$2:$S$1501,$V251))</f>
        <v/>
      </c>
      <c r="E251">
        <f>IF($V251="","",INDEX('Per Line'!$F$2:$F$1501,$V251)&amp;"")</f>
        <v/>
      </c>
      <c r="F251">
        <f>IF($V251="","",INDEX('Per Line'!$L$2:$L$1501,$V251)&amp;"")</f>
        <v/>
      </c>
      <c r="G251">
        <f>IF($V251="","",INDEX('Per Line'!$O$2:$O$1501,$V251)&amp;"")</f>
        <v/>
      </c>
      <c r="H251">
        <f>IF($V251="","",INDEX('Per Line'!$P$2:$P$1501,$V251)&amp;"")</f>
        <v/>
      </c>
      <c r="I251">
        <f>IF($V251="","",INDEX('Per Line'!$N$2:$N$1501,$V251)&amp;"")</f>
        <v/>
      </c>
      <c r="J251">
        <f>IF($V251="","",INDEX('Per Line'!$Q$2:$Q$1501,$V251))</f>
        <v/>
      </c>
      <c r="K251" s="7">
        <f>IF($V251="","",J251*T251/100)</f>
        <v/>
      </c>
      <c r="L251">
        <f>IF($V251="","",Settings!$C$7)</f>
        <v/>
      </c>
      <c r="M251" s="7">
        <f>IF($V251="","",SUMIFS('Per Line'!$AC$2:$AC$1501,'Per Line'!$C$2:$C$1501,$C251,'Per Line'!$AK$2:$AK$1501,0))</f>
        <v/>
      </c>
      <c r="N251" s="7">
        <f>IF($V251="","",M251*L251)</f>
        <v/>
      </c>
      <c r="O251">
        <f>IF($V251="","",Settings!$C$6)</f>
        <v/>
      </c>
      <c r="P251" s="7">
        <f>IF($V251="","",SUMIFS('Per Line'!$AC$2:$AC$1501,'Per Line'!$C$2:$C$1501,$C251,'Per Line'!$AK$2:$AK$1501,1))</f>
        <v/>
      </c>
      <c r="Q251" s="7">
        <f>IF($V251="","",P251*O251)</f>
        <v/>
      </c>
      <c r="R251" s="7">
        <f>IF($V251="","",Q251+N251)</f>
        <v/>
      </c>
      <c r="S251" s="7">
        <f>IF($V251="","",T251-R251)</f>
        <v/>
      </c>
      <c r="T251" s="7">
        <f>IF($V251="","",M251+P251)</f>
        <v/>
      </c>
      <c r="U251" s="7">
        <f>IF($V251="","",T251-R251-K251)</f>
        <v/>
      </c>
      <c r="V251" s="13">
        <f>IF(ROWS($V$2:$V251)&lt;=MAX('Per Line'!$AJ$2:$AJ$1501),MATCH(ROWS($V$2:$V251),'Per Line'!$AJ$2:$AJ$1501,0),"")</f>
        <v/>
      </c>
    </row>
    <row r="252">
      <c r="A252" s="12" t="n"/>
      <c r="B252">
        <f>IF($V252="","",INDEX('Per Line'!$A$2:$A$1501,$V252)&amp;"")</f>
        <v/>
      </c>
      <c r="C252">
        <f>IF($V252="","",INDEX('Per Line'!$C$2:$C$1501,$V252)&amp;"")</f>
        <v/>
      </c>
      <c r="D252" s="11">
        <f>IF($V252="","",INDEX('Per Line'!$S$2:$S$1501,$V252))</f>
        <v/>
      </c>
      <c r="E252">
        <f>IF($V252="","",INDEX('Per Line'!$F$2:$F$1501,$V252)&amp;"")</f>
        <v/>
      </c>
      <c r="F252">
        <f>IF($V252="","",INDEX('Per Line'!$L$2:$L$1501,$V252)&amp;"")</f>
        <v/>
      </c>
      <c r="G252">
        <f>IF($V252="","",INDEX('Per Line'!$O$2:$O$1501,$V252)&amp;"")</f>
        <v/>
      </c>
      <c r="H252">
        <f>IF($V252="","",INDEX('Per Line'!$P$2:$P$1501,$V252)&amp;"")</f>
        <v/>
      </c>
      <c r="I252">
        <f>IF($V252="","",INDEX('Per Line'!$N$2:$N$1501,$V252)&amp;"")</f>
        <v/>
      </c>
      <c r="J252">
        <f>IF($V252="","",INDEX('Per Line'!$Q$2:$Q$1501,$V252))</f>
        <v/>
      </c>
      <c r="K252" s="7">
        <f>IF($V252="","",J252*T252/100)</f>
        <v/>
      </c>
      <c r="L252">
        <f>IF($V252="","",Settings!$C$7)</f>
        <v/>
      </c>
      <c r="M252" s="7">
        <f>IF($V252="","",SUMIFS('Per Line'!$AC$2:$AC$1501,'Per Line'!$C$2:$C$1501,$C252,'Per Line'!$AK$2:$AK$1501,0))</f>
        <v/>
      </c>
      <c r="N252" s="7">
        <f>IF($V252="","",M252*L252)</f>
        <v/>
      </c>
      <c r="O252">
        <f>IF($V252="","",Settings!$C$6)</f>
        <v/>
      </c>
      <c r="P252" s="7">
        <f>IF($V252="","",SUMIFS('Per Line'!$AC$2:$AC$1501,'Per Line'!$C$2:$C$1501,$C252,'Per Line'!$AK$2:$AK$1501,1))</f>
        <v/>
      </c>
      <c r="Q252" s="7">
        <f>IF($V252="","",P252*O252)</f>
        <v/>
      </c>
      <c r="R252" s="7">
        <f>IF($V252="","",Q252+N252)</f>
        <v/>
      </c>
      <c r="S252" s="7">
        <f>IF($V252="","",T252-R252)</f>
        <v/>
      </c>
      <c r="T252" s="7">
        <f>IF($V252="","",M252+P252)</f>
        <v/>
      </c>
      <c r="U252" s="7">
        <f>IF($V252="","",T252-R252-K252)</f>
        <v/>
      </c>
      <c r="V252" s="13">
        <f>IF(ROWS($V$2:$V252)&lt;=MAX('Per Line'!$AJ$2:$AJ$1501),MATCH(ROWS($V$2:$V252),'Per Line'!$AJ$2:$AJ$1501,0),"")</f>
        <v/>
      </c>
    </row>
    <row r="253">
      <c r="A253" s="12" t="n"/>
      <c r="B253">
        <f>IF($V253="","",INDEX('Per Line'!$A$2:$A$1501,$V253)&amp;"")</f>
        <v/>
      </c>
      <c r="C253">
        <f>IF($V253="","",INDEX('Per Line'!$C$2:$C$1501,$V253)&amp;"")</f>
        <v/>
      </c>
      <c r="D253" s="11">
        <f>IF($V253="","",INDEX('Per Line'!$S$2:$S$1501,$V253))</f>
        <v/>
      </c>
      <c r="E253">
        <f>IF($V253="","",INDEX('Per Line'!$F$2:$F$1501,$V253)&amp;"")</f>
        <v/>
      </c>
      <c r="F253">
        <f>IF($V253="","",INDEX('Per Line'!$L$2:$L$1501,$V253)&amp;"")</f>
        <v/>
      </c>
      <c r="G253">
        <f>IF($V253="","",INDEX('Per Line'!$O$2:$O$1501,$V253)&amp;"")</f>
        <v/>
      </c>
      <c r="H253">
        <f>IF($V253="","",INDEX('Per Line'!$P$2:$P$1501,$V253)&amp;"")</f>
        <v/>
      </c>
      <c r="I253">
        <f>IF($V253="","",INDEX('Per Line'!$N$2:$N$1501,$V253)&amp;"")</f>
        <v/>
      </c>
      <c r="J253">
        <f>IF($V253="","",INDEX('Per Line'!$Q$2:$Q$1501,$V253))</f>
        <v/>
      </c>
      <c r="K253" s="7">
        <f>IF($V253="","",J253*T253/100)</f>
        <v/>
      </c>
      <c r="L253">
        <f>IF($V253="","",Settings!$C$7)</f>
        <v/>
      </c>
      <c r="M253" s="7">
        <f>IF($V253="","",SUMIFS('Per Line'!$AC$2:$AC$1501,'Per Line'!$C$2:$C$1501,$C253,'Per Line'!$AK$2:$AK$1501,0))</f>
        <v/>
      </c>
      <c r="N253" s="7">
        <f>IF($V253="","",M253*L253)</f>
        <v/>
      </c>
      <c r="O253">
        <f>IF($V253="","",Settings!$C$6)</f>
        <v/>
      </c>
      <c r="P253" s="7">
        <f>IF($V253="","",SUMIFS('Per Line'!$AC$2:$AC$1501,'Per Line'!$C$2:$C$1501,$C253,'Per Line'!$AK$2:$AK$1501,1))</f>
        <v/>
      </c>
      <c r="Q253" s="7">
        <f>IF($V253="","",P253*O253)</f>
        <v/>
      </c>
      <c r="R253" s="7">
        <f>IF($V253="","",Q253+N253)</f>
        <v/>
      </c>
      <c r="S253" s="7">
        <f>IF($V253="","",T253-R253)</f>
        <v/>
      </c>
      <c r="T253" s="7">
        <f>IF($V253="","",M253+P253)</f>
        <v/>
      </c>
      <c r="U253" s="7">
        <f>IF($V253="","",T253-R253-K253)</f>
        <v/>
      </c>
      <c r="V253" s="13">
        <f>IF(ROWS($V$2:$V253)&lt;=MAX('Per Line'!$AJ$2:$AJ$1501),MATCH(ROWS($V$2:$V253),'Per Line'!$AJ$2:$AJ$1501,0),"")</f>
        <v/>
      </c>
    </row>
    <row r="254">
      <c r="A254" s="12" t="n"/>
      <c r="B254">
        <f>IF($V254="","",INDEX('Per Line'!$A$2:$A$1501,$V254)&amp;"")</f>
        <v/>
      </c>
      <c r="C254">
        <f>IF($V254="","",INDEX('Per Line'!$C$2:$C$1501,$V254)&amp;"")</f>
        <v/>
      </c>
      <c r="D254" s="11">
        <f>IF($V254="","",INDEX('Per Line'!$S$2:$S$1501,$V254))</f>
        <v/>
      </c>
      <c r="E254">
        <f>IF($V254="","",INDEX('Per Line'!$F$2:$F$1501,$V254)&amp;"")</f>
        <v/>
      </c>
      <c r="F254">
        <f>IF($V254="","",INDEX('Per Line'!$L$2:$L$1501,$V254)&amp;"")</f>
        <v/>
      </c>
      <c r="G254">
        <f>IF($V254="","",INDEX('Per Line'!$O$2:$O$1501,$V254)&amp;"")</f>
        <v/>
      </c>
      <c r="H254">
        <f>IF($V254="","",INDEX('Per Line'!$P$2:$P$1501,$V254)&amp;"")</f>
        <v/>
      </c>
      <c r="I254">
        <f>IF($V254="","",INDEX('Per Line'!$N$2:$N$1501,$V254)&amp;"")</f>
        <v/>
      </c>
      <c r="J254">
        <f>IF($V254="","",INDEX('Per Line'!$Q$2:$Q$1501,$V254))</f>
        <v/>
      </c>
      <c r="K254" s="7">
        <f>IF($V254="","",J254*T254/100)</f>
        <v/>
      </c>
      <c r="L254">
        <f>IF($V254="","",Settings!$C$7)</f>
        <v/>
      </c>
      <c r="M254" s="7">
        <f>IF($V254="","",SUMIFS('Per Line'!$AC$2:$AC$1501,'Per Line'!$C$2:$C$1501,$C254,'Per Line'!$AK$2:$AK$1501,0))</f>
        <v/>
      </c>
      <c r="N254" s="7">
        <f>IF($V254="","",M254*L254)</f>
        <v/>
      </c>
      <c r="O254">
        <f>IF($V254="","",Settings!$C$6)</f>
        <v/>
      </c>
      <c r="P254" s="7">
        <f>IF($V254="","",SUMIFS('Per Line'!$AC$2:$AC$1501,'Per Line'!$C$2:$C$1501,$C254,'Per Line'!$AK$2:$AK$1501,1))</f>
        <v/>
      </c>
      <c r="Q254" s="7">
        <f>IF($V254="","",P254*O254)</f>
        <v/>
      </c>
      <c r="R254" s="7">
        <f>IF($V254="","",Q254+N254)</f>
        <v/>
      </c>
      <c r="S254" s="7">
        <f>IF($V254="","",T254-R254)</f>
        <v/>
      </c>
      <c r="T254" s="7">
        <f>IF($V254="","",M254+P254)</f>
        <v/>
      </c>
      <c r="U254" s="7">
        <f>IF($V254="","",T254-R254-K254)</f>
        <v/>
      </c>
      <c r="V254" s="13">
        <f>IF(ROWS($V$2:$V254)&lt;=MAX('Per Line'!$AJ$2:$AJ$1501),MATCH(ROWS($V$2:$V254),'Per Line'!$AJ$2:$AJ$1501,0),"")</f>
        <v/>
      </c>
    </row>
    <row r="255">
      <c r="A255" s="12" t="n"/>
      <c r="B255">
        <f>IF($V255="","",INDEX('Per Line'!$A$2:$A$1501,$V255)&amp;"")</f>
        <v/>
      </c>
      <c r="C255">
        <f>IF($V255="","",INDEX('Per Line'!$C$2:$C$1501,$V255)&amp;"")</f>
        <v/>
      </c>
      <c r="D255" s="11">
        <f>IF($V255="","",INDEX('Per Line'!$S$2:$S$1501,$V255))</f>
        <v/>
      </c>
      <c r="E255">
        <f>IF($V255="","",INDEX('Per Line'!$F$2:$F$1501,$V255)&amp;"")</f>
        <v/>
      </c>
      <c r="F255">
        <f>IF($V255="","",INDEX('Per Line'!$L$2:$L$1501,$V255)&amp;"")</f>
        <v/>
      </c>
      <c r="G255">
        <f>IF($V255="","",INDEX('Per Line'!$O$2:$O$1501,$V255)&amp;"")</f>
        <v/>
      </c>
      <c r="H255">
        <f>IF($V255="","",INDEX('Per Line'!$P$2:$P$1501,$V255)&amp;"")</f>
        <v/>
      </c>
      <c r="I255">
        <f>IF($V255="","",INDEX('Per Line'!$N$2:$N$1501,$V255)&amp;"")</f>
        <v/>
      </c>
      <c r="J255">
        <f>IF($V255="","",INDEX('Per Line'!$Q$2:$Q$1501,$V255))</f>
        <v/>
      </c>
      <c r="K255" s="7">
        <f>IF($V255="","",J255*T255/100)</f>
        <v/>
      </c>
      <c r="L255">
        <f>IF($V255="","",Settings!$C$7)</f>
        <v/>
      </c>
      <c r="M255" s="7">
        <f>IF($V255="","",SUMIFS('Per Line'!$AC$2:$AC$1501,'Per Line'!$C$2:$C$1501,$C255,'Per Line'!$AK$2:$AK$1501,0))</f>
        <v/>
      </c>
      <c r="N255" s="7">
        <f>IF($V255="","",M255*L255)</f>
        <v/>
      </c>
      <c r="O255">
        <f>IF($V255="","",Settings!$C$6)</f>
        <v/>
      </c>
      <c r="P255" s="7">
        <f>IF($V255="","",SUMIFS('Per Line'!$AC$2:$AC$1501,'Per Line'!$C$2:$C$1501,$C255,'Per Line'!$AK$2:$AK$1501,1))</f>
        <v/>
      </c>
      <c r="Q255" s="7">
        <f>IF($V255="","",P255*O255)</f>
        <v/>
      </c>
      <c r="R255" s="7">
        <f>IF($V255="","",Q255+N255)</f>
        <v/>
      </c>
      <c r="S255" s="7">
        <f>IF($V255="","",T255-R255)</f>
        <v/>
      </c>
      <c r="T255" s="7">
        <f>IF($V255="","",M255+P255)</f>
        <v/>
      </c>
      <c r="U255" s="7">
        <f>IF($V255="","",T255-R255-K255)</f>
        <v/>
      </c>
      <c r="V255" s="13">
        <f>IF(ROWS($V$2:$V255)&lt;=MAX('Per Line'!$AJ$2:$AJ$1501),MATCH(ROWS($V$2:$V255),'Per Line'!$AJ$2:$AJ$1501,0),"")</f>
        <v/>
      </c>
    </row>
    <row r="256">
      <c r="A256" s="12" t="n"/>
      <c r="B256">
        <f>IF($V256="","",INDEX('Per Line'!$A$2:$A$1501,$V256)&amp;"")</f>
        <v/>
      </c>
      <c r="C256">
        <f>IF($V256="","",INDEX('Per Line'!$C$2:$C$1501,$V256)&amp;"")</f>
        <v/>
      </c>
      <c r="D256" s="11">
        <f>IF($V256="","",INDEX('Per Line'!$S$2:$S$1501,$V256))</f>
        <v/>
      </c>
      <c r="E256">
        <f>IF($V256="","",INDEX('Per Line'!$F$2:$F$1501,$V256)&amp;"")</f>
        <v/>
      </c>
      <c r="F256">
        <f>IF($V256="","",INDEX('Per Line'!$L$2:$L$1501,$V256)&amp;"")</f>
        <v/>
      </c>
      <c r="G256">
        <f>IF($V256="","",INDEX('Per Line'!$O$2:$O$1501,$V256)&amp;"")</f>
        <v/>
      </c>
      <c r="H256">
        <f>IF($V256="","",INDEX('Per Line'!$P$2:$P$1501,$V256)&amp;"")</f>
        <v/>
      </c>
      <c r="I256">
        <f>IF($V256="","",INDEX('Per Line'!$N$2:$N$1501,$V256)&amp;"")</f>
        <v/>
      </c>
      <c r="J256">
        <f>IF($V256="","",INDEX('Per Line'!$Q$2:$Q$1501,$V256))</f>
        <v/>
      </c>
      <c r="K256" s="7">
        <f>IF($V256="","",J256*T256/100)</f>
        <v/>
      </c>
      <c r="L256">
        <f>IF($V256="","",Settings!$C$7)</f>
        <v/>
      </c>
      <c r="M256" s="7">
        <f>IF($V256="","",SUMIFS('Per Line'!$AC$2:$AC$1501,'Per Line'!$C$2:$C$1501,$C256,'Per Line'!$AK$2:$AK$1501,0))</f>
        <v/>
      </c>
      <c r="N256" s="7">
        <f>IF($V256="","",M256*L256)</f>
        <v/>
      </c>
      <c r="O256">
        <f>IF($V256="","",Settings!$C$6)</f>
        <v/>
      </c>
      <c r="P256" s="7">
        <f>IF($V256="","",SUMIFS('Per Line'!$AC$2:$AC$1501,'Per Line'!$C$2:$C$1501,$C256,'Per Line'!$AK$2:$AK$1501,1))</f>
        <v/>
      </c>
      <c r="Q256" s="7">
        <f>IF($V256="","",P256*O256)</f>
        <v/>
      </c>
      <c r="R256" s="7">
        <f>IF($V256="","",Q256+N256)</f>
        <v/>
      </c>
      <c r="S256" s="7">
        <f>IF($V256="","",T256-R256)</f>
        <v/>
      </c>
      <c r="T256" s="7">
        <f>IF($V256="","",M256+P256)</f>
        <v/>
      </c>
      <c r="U256" s="7">
        <f>IF($V256="","",T256-R256-K256)</f>
        <v/>
      </c>
      <c r="V256" s="13">
        <f>IF(ROWS($V$2:$V256)&lt;=MAX('Per Line'!$AJ$2:$AJ$1501),MATCH(ROWS($V$2:$V256),'Per Line'!$AJ$2:$AJ$1501,0),"")</f>
        <v/>
      </c>
    </row>
    <row r="257">
      <c r="A257" s="12" t="n"/>
      <c r="B257">
        <f>IF($V257="","",INDEX('Per Line'!$A$2:$A$1501,$V257)&amp;"")</f>
        <v/>
      </c>
      <c r="C257">
        <f>IF($V257="","",INDEX('Per Line'!$C$2:$C$1501,$V257)&amp;"")</f>
        <v/>
      </c>
      <c r="D257" s="11">
        <f>IF($V257="","",INDEX('Per Line'!$S$2:$S$1501,$V257))</f>
        <v/>
      </c>
      <c r="E257">
        <f>IF($V257="","",INDEX('Per Line'!$F$2:$F$1501,$V257)&amp;"")</f>
        <v/>
      </c>
      <c r="F257">
        <f>IF($V257="","",INDEX('Per Line'!$L$2:$L$1501,$V257)&amp;"")</f>
        <v/>
      </c>
      <c r="G257">
        <f>IF($V257="","",INDEX('Per Line'!$O$2:$O$1501,$V257)&amp;"")</f>
        <v/>
      </c>
      <c r="H257">
        <f>IF($V257="","",INDEX('Per Line'!$P$2:$P$1501,$V257)&amp;"")</f>
        <v/>
      </c>
      <c r="I257">
        <f>IF($V257="","",INDEX('Per Line'!$N$2:$N$1501,$V257)&amp;"")</f>
        <v/>
      </c>
      <c r="J257">
        <f>IF($V257="","",INDEX('Per Line'!$Q$2:$Q$1501,$V257))</f>
        <v/>
      </c>
      <c r="K257" s="7">
        <f>IF($V257="","",J257*T257/100)</f>
        <v/>
      </c>
      <c r="L257">
        <f>IF($V257="","",Settings!$C$7)</f>
        <v/>
      </c>
      <c r="M257" s="7">
        <f>IF($V257="","",SUMIFS('Per Line'!$AC$2:$AC$1501,'Per Line'!$C$2:$C$1501,$C257,'Per Line'!$AK$2:$AK$1501,0))</f>
        <v/>
      </c>
      <c r="N257" s="7">
        <f>IF($V257="","",M257*L257)</f>
        <v/>
      </c>
      <c r="O257">
        <f>IF($V257="","",Settings!$C$6)</f>
        <v/>
      </c>
      <c r="P257" s="7">
        <f>IF($V257="","",SUMIFS('Per Line'!$AC$2:$AC$1501,'Per Line'!$C$2:$C$1501,$C257,'Per Line'!$AK$2:$AK$1501,1))</f>
        <v/>
      </c>
      <c r="Q257" s="7">
        <f>IF($V257="","",P257*O257)</f>
        <v/>
      </c>
      <c r="R257" s="7">
        <f>IF($V257="","",Q257+N257)</f>
        <v/>
      </c>
      <c r="S257" s="7">
        <f>IF($V257="","",T257-R257)</f>
        <v/>
      </c>
      <c r="T257" s="7">
        <f>IF($V257="","",M257+P257)</f>
        <v/>
      </c>
      <c r="U257" s="7">
        <f>IF($V257="","",T257-R257-K257)</f>
        <v/>
      </c>
      <c r="V257" s="13">
        <f>IF(ROWS($V$2:$V257)&lt;=MAX('Per Line'!$AJ$2:$AJ$1501),MATCH(ROWS($V$2:$V257),'Per Line'!$AJ$2:$AJ$1501,0),"")</f>
        <v/>
      </c>
    </row>
    <row r="258">
      <c r="A258" s="12" t="n"/>
      <c r="B258">
        <f>IF($V258="","",INDEX('Per Line'!$A$2:$A$1501,$V258)&amp;"")</f>
        <v/>
      </c>
      <c r="C258">
        <f>IF($V258="","",INDEX('Per Line'!$C$2:$C$1501,$V258)&amp;"")</f>
        <v/>
      </c>
      <c r="D258" s="11">
        <f>IF($V258="","",INDEX('Per Line'!$S$2:$S$1501,$V258))</f>
        <v/>
      </c>
      <c r="E258">
        <f>IF($V258="","",INDEX('Per Line'!$F$2:$F$1501,$V258)&amp;"")</f>
        <v/>
      </c>
      <c r="F258">
        <f>IF($V258="","",INDEX('Per Line'!$L$2:$L$1501,$V258)&amp;"")</f>
        <v/>
      </c>
      <c r="G258">
        <f>IF($V258="","",INDEX('Per Line'!$O$2:$O$1501,$V258)&amp;"")</f>
        <v/>
      </c>
      <c r="H258">
        <f>IF($V258="","",INDEX('Per Line'!$P$2:$P$1501,$V258)&amp;"")</f>
        <v/>
      </c>
      <c r="I258">
        <f>IF($V258="","",INDEX('Per Line'!$N$2:$N$1501,$V258)&amp;"")</f>
        <v/>
      </c>
      <c r="J258">
        <f>IF($V258="","",INDEX('Per Line'!$Q$2:$Q$1501,$V258))</f>
        <v/>
      </c>
      <c r="K258" s="7">
        <f>IF($V258="","",J258*T258/100)</f>
        <v/>
      </c>
      <c r="L258">
        <f>IF($V258="","",Settings!$C$7)</f>
        <v/>
      </c>
      <c r="M258" s="7">
        <f>IF($V258="","",SUMIFS('Per Line'!$AC$2:$AC$1501,'Per Line'!$C$2:$C$1501,$C258,'Per Line'!$AK$2:$AK$1501,0))</f>
        <v/>
      </c>
      <c r="N258" s="7">
        <f>IF($V258="","",M258*L258)</f>
        <v/>
      </c>
      <c r="O258">
        <f>IF($V258="","",Settings!$C$6)</f>
        <v/>
      </c>
      <c r="P258" s="7">
        <f>IF($V258="","",SUMIFS('Per Line'!$AC$2:$AC$1501,'Per Line'!$C$2:$C$1501,$C258,'Per Line'!$AK$2:$AK$1501,1))</f>
        <v/>
      </c>
      <c r="Q258" s="7">
        <f>IF($V258="","",P258*O258)</f>
        <v/>
      </c>
      <c r="R258" s="7">
        <f>IF($V258="","",Q258+N258)</f>
        <v/>
      </c>
      <c r="S258" s="7">
        <f>IF($V258="","",T258-R258)</f>
        <v/>
      </c>
      <c r="T258" s="7">
        <f>IF($V258="","",M258+P258)</f>
        <v/>
      </c>
      <c r="U258" s="7">
        <f>IF($V258="","",T258-R258-K258)</f>
        <v/>
      </c>
      <c r="V258" s="13">
        <f>IF(ROWS($V$2:$V258)&lt;=MAX('Per Line'!$AJ$2:$AJ$1501),MATCH(ROWS($V$2:$V258),'Per Line'!$AJ$2:$AJ$1501,0),"")</f>
        <v/>
      </c>
    </row>
    <row r="259">
      <c r="A259" s="12" t="n"/>
      <c r="B259">
        <f>IF($V259="","",INDEX('Per Line'!$A$2:$A$1501,$V259)&amp;"")</f>
        <v/>
      </c>
      <c r="C259">
        <f>IF($V259="","",INDEX('Per Line'!$C$2:$C$1501,$V259)&amp;"")</f>
        <v/>
      </c>
      <c r="D259" s="11">
        <f>IF($V259="","",INDEX('Per Line'!$S$2:$S$1501,$V259))</f>
        <v/>
      </c>
      <c r="E259">
        <f>IF($V259="","",INDEX('Per Line'!$F$2:$F$1501,$V259)&amp;"")</f>
        <v/>
      </c>
      <c r="F259">
        <f>IF($V259="","",INDEX('Per Line'!$L$2:$L$1501,$V259)&amp;"")</f>
        <v/>
      </c>
      <c r="G259">
        <f>IF($V259="","",INDEX('Per Line'!$O$2:$O$1501,$V259)&amp;"")</f>
        <v/>
      </c>
      <c r="H259">
        <f>IF($V259="","",INDEX('Per Line'!$P$2:$P$1501,$V259)&amp;"")</f>
        <v/>
      </c>
      <c r="I259">
        <f>IF($V259="","",INDEX('Per Line'!$N$2:$N$1501,$V259)&amp;"")</f>
        <v/>
      </c>
      <c r="J259">
        <f>IF($V259="","",INDEX('Per Line'!$Q$2:$Q$1501,$V259))</f>
        <v/>
      </c>
      <c r="K259" s="7">
        <f>IF($V259="","",J259*T259/100)</f>
        <v/>
      </c>
      <c r="L259">
        <f>IF($V259="","",Settings!$C$7)</f>
        <v/>
      </c>
      <c r="M259" s="7">
        <f>IF($V259="","",SUMIFS('Per Line'!$AC$2:$AC$1501,'Per Line'!$C$2:$C$1501,$C259,'Per Line'!$AK$2:$AK$1501,0))</f>
        <v/>
      </c>
      <c r="N259" s="7">
        <f>IF($V259="","",M259*L259)</f>
        <v/>
      </c>
      <c r="O259">
        <f>IF($V259="","",Settings!$C$6)</f>
        <v/>
      </c>
      <c r="P259" s="7">
        <f>IF($V259="","",SUMIFS('Per Line'!$AC$2:$AC$1501,'Per Line'!$C$2:$C$1501,$C259,'Per Line'!$AK$2:$AK$1501,1))</f>
        <v/>
      </c>
      <c r="Q259" s="7">
        <f>IF($V259="","",P259*O259)</f>
        <v/>
      </c>
      <c r="R259" s="7">
        <f>IF($V259="","",Q259+N259)</f>
        <v/>
      </c>
      <c r="S259" s="7">
        <f>IF($V259="","",T259-R259)</f>
        <v/>
      </c>
      <c r="T259" s="7">
        <f>IF($V259="","",M259+P259)</f>
        <v/>
      </c>
      <c r="U259" s="7">
        <f>IF($V259="","",T259-R259-K259)</f>
        <v/>
      </c>
      <c r="V259" s="13">
        <f>IF(ROWS($V$2:$V259)&lt;=MAX('Per Line'!$AJ$2:$AJ$1501),MATCH(ROWS($V$2:$V259),'Per Line'!$AJ$2:$AJ$1501,0),"")</f>
        <v/>
      </c>
    </row>
    <row r="260">
      <c r="A260" s="12" t="n"/>
      <c r="B260">
        <f>IF($V260="","",INDEX('Per Line'!$A$2:$A$1501,$V260)&amp;"")</f>
        <v/>
      </c>
      <c r="C260">
        <f>IF($V260="","",INDEX('Per Line'!$C$2:$C$1501,$V260)&amp;"")</f>
        <v/>
      </c>
      <c r="D260" s="11">
        <f>IF($V260="","",INDEX('Per Line'!$S$2:$S$1501,$V260))</f>
        <v/>
      </c>
      <c r="E260">
        <f>IF($V260="","",INDEX('Per Line'!$F$2:$F$1501,$V260)&amp;"")</f>
        <v/>
      </c>
      <c r="F260">
        <f>IF($V260="","",INDEX('Per Line'!$L$2:$L$1501,$V260)&amp;"")</f>
        <v/>
      </c>
      <c r="G260">
        <f>IF($V260="","",INDEX('Per Line'!$O$2:$O$1501,$V260)&amp;"")</f>
        <v/>
      </c>
      <c r="H260">
        <f>IF($V260="","",INDEX('Per Line'!$P$2:$P$1501,$V260)&amp;"")</f>
        <v/>
      </c>
      <c r="I260">
        <f>IF($V260="","",INDEX('Per Line'!$N$2:$N$1501,$V260)&amp;"")</f>
        <v/>
      </c>
      <c r="J260">
        <f>IF($V260="","",INDEX('Per Line'!$Q$2:$Q$1501,$V260))</f>
        <v/>
      </c>
      <c r="K260" s="7">
        <f>IF($V260="","",J260*T260/100)</f>
        <v/>
      </c>
      <c r="L260">
        <f>IF($V260="","",Settings!$C$7)</f>
        <v/>
      </c>
      <c r="M260" s="7">
        <f>IF($V260="","",SUMIFS('Per Line'!$AC$2:$AC$1501,'Per Line'!$C$2:$C$1501,$C260,'Per Line'!$AK$2:$AK$1501,0))</f>
        <v/>
      </c>
      <c r="N260" s="7">
        <f>IF($V260="","",M260*L260)</f>
        <v/>
      </c>
      <c r="O260">
        <f>IF($V260="","",Settings!$C$6)</f>
        <v/>
      </c>
      <c r="P260" s="7">
        <f>IF($V260="","",SUMIFS('Per Line'!$AC$2:$AC$1501,'Per Line'!$C$2:$C$1501,$C260,'Per Line'!$AK$2:$AK$1501,1))</f>
        <v/>
      </c>
      <c r="Q260" s="7">
        <f>IF($V260="","",P260*O260)</f>
        <v/>
      </c>
      <c r="R260" s="7">
        <f>IF($V260="","",Q260+N260)</f>
        <v/>
      </c>
      <c r="S260" s="7">
        <f>IF($V260="","",T260-R260)</f>
        <v/>
      </c>
      <c r="T260" s="7">
        <f>IF($V260="","",M260+P260)</f>
        <v/>
      </c>
      <c r="U260" s="7">
        <f>IF($V260="","",T260-R260-K260)</f>
        <v/>
      </c>
      <c r="V260" s="13">
        <f>IF(ROWS($V$2:$V260)&lt;=MAX('Per Line'!$AJ$2:$AJ$1501),MATCH(ROWS($V$2:$V260),'Per Line'!$AJ$2:$AJ$1501,0),"")</f>
        <v/>
      </c>
    </row>
    <row r="261">
      <c r="A261" s="12" t="n"/>
      <c r="B261">
        <f>IF($V261="","",INDEX('Per Line'!$A$2:$A$1501,$V261)&amp;"")</f>
        <v/>
      </c>
      <c r="C261">
        <f>IF($V261="","",INDEX('Per Line'!$C$2:$C$1501,$V261)&amp;"")</f>
        <v/>
      </c>
      <c r="D261" s="11">
        <f>IF($V261="","",INDEX('Per Line'!$S$2:$S$1501,$V261))</f>
        <v/>
      </c>
      <c r="E261">
        <f>IF($V261="","",INDEX('Per Line'!$F$2:$F$1501,$V261)&amp;"")</f>
        <v/>
      </c>
      <c r="F261">
        <f>IF($V261="","",INDEX('Per Line'!$L$2:$L$1501,$V261)&amp;"")</f>
        <v/>
      </c>
      <c r="G261">
        <f>IF($V261="","",INDEX('Per Line'!$O$2:$O$1501,$V261)&amp;"")</f>
        <v/>
      </c>
      <c r="H261">
        <f>IF($V261="","",INDEX('Per Line'!$P$2:$P$1501,$V261)&amp;"")</f>
        <v/>
      </c>
      <c r="I261">
        <f>IF($V261="","",INDEX('Per Line'!$N$2:$N$1501,$V261)&amp;"")</f>
        <v/>
      </c>
      <c r="J261">
        <f>IF($V261="","",INDEX('Per Line'!$Q$2:$Q$1501,$V261))</f>
        <v/>
      </c>
      <c r="K261" s="7">
        <f>IF($V261="","",J261*T261/100)</f>
        <v/>
      </c>
      <c r="L261">
        <f>IF($V261="","",Settings!$C$7)</f>
        <v/>
      </c>
      <c r="M261" s="7">
        <f>IF($V261="","",SUMIFS('Per Line'!$AC$2:$AC$1501,'Per Line'!$C$2:$C$1501,$C261,'Per Line'!$AK$2:$AK$1501,0))</f>
        <v/>
      </c>
      <c r="N261" s="7">
        <f>IF($V261="","",M261*L261)</f>
        <v/>
      </c>
      <c r="O261">
        <f>IF($V261="","",Settings!$C$6)</f>
        <v/>
      </c>
      <c r="P261" s="7">
        <f>IF($V261="","",SUMIFS('Per Line'!$AC$2:$AC$1501,'Per Line'!$C$2:$C$1501,$C261,'Per Line'!$AK$2:$AK$1501,1))</f>
        <v/>
      </c>
      <c r="Q261" s="7">
        <f>IF($V261="","",P261*O261)</f>
        <v/>
      </c>
      <c r="R261" s="7">
        <f>IF($V261="","",Q261+N261)</f>
        <v/>
      </c>
      <c r="S261" s="7">
        <f>IF($V261="","",T261-R261)</f>
        <v/>
      </c>
      <c r="T261" s="7">
        <f>IF($V261="","",M261+P261)</f>
        <v/>
      </c>
      <c r="U261" s="7">
        <f>IF($V261="","",T261-R261-K261)</f>
        <v/>
      </c>
      <c r="V261" s="13">
        <f>IF(ROWS($V$2:$V261)&lt;=MAX('Per Line'!$AJ$2:$AJ$1501),MATCH(ROWS($V$2:$V261),'Per Line'!$AJ$2:$AJ$1501,0),"")</f>
        <v/>
      </c>
    </row>
    <row r="262">
      <c r="A262" s="12" t="n"/>
      <c r="B262">
        <f>IF($V262="","",INDEX('Per Line'!$A$2:$A$1501,$V262)&amp;"")</f>
        <v/>
      </c>
      <c r="C262">
        <f>IF($V262="","",INDEX('Per Line'!$C$2:$C$1501,$V262)&amp;"")</f>
        <v/>
      </c>
      <c r="D262" s="11">
        <f>IF($V262="","",INDEX('Per Line'!$S$2:$S$1501,$V262))</f>
        <v/>
      </c>
      <c r="E262">
        <f>IF($V262="","",INDEX('Per Line'!$F$2:$F$1501,$V262)&amp;"")</f>
        <v/>
      </c>
      <c r="F262">
        <f>IF($V262="","",INDEX('Per Line'!$L$2:$L$1501,$V262)&amp;"")</f>
        <v/>
      </c>
      <c r="G262">
        <f>IF($V262="","",INDEX('Per Line'!$O$2:$O$1501,$V262)&amp;"")</f>
        <v/>
      </c>
      <c r="H262">
        <f>IF($V262="","",INDEX('Per Line'!$P$2:$P$1501,$V262)&amp;"")</f>
        <v/>
      </c>
      <c r="I262">
        <f>IF($V262="","",INDEX('Per Line'!$N$2:$N$1501,$V262)&amp;"")</f>
        <v/>
      </c>
      <c r="J262">
        <f>IF($V262="","",INDEX('Per Line'!$Q$2:$Q$1501,$V262))</f>
        <v/>
      </c>
      <c r="K262" s="7">
        <f>IF($V262="","",J262*T262/100)</f>
        <v/>
      </c>
      <c r="L262">
        <f>IF($V262="","",Settings!$C$7)</f>
        <v/>
      </c>
      <c r="M262" s="7">
        <f>IF($V262="","",SUMIFS('Per Line'!$AC$2:$AC$1501,'Per Line'!$C$2:$C$1501,$C262,'Per Line'!$AK$2:$AK$1501,0))</f>
        <v/>
      </c>
      <c r="N262" s="7">
        <f>IF($V262="","",M262*L262)</f>
        <v/>
      </c>
      <c r="O262">
        <f>IF($V262="","",Settings!$C$6)</f>
        <v/>
      </c>
      <c r="P262" s="7">
        <f>IF($V262="","",SUMIFS('Per Line'!$AC$2:$AC$1501,'Per Line'!$C$2:$C$1501,$C262,'Per Line'!$AK$2:$AK$1501,1))</f>
        <v/>
      </c>
      <c r="Q262" s="7">
        <f>IF($V262="","",P262*O262)</f>
        <v/>
      </c>
      <c r="R262" s="7">
        <f>IF($V262="","",Q262+N262)</f>
        <v/>
      </c>
      <c r="S262" s="7">
        <f>IF($V262="","",T262-R262)</f>
        <v/>
      </c>
      <c r="T262" s="7">
        <f>IF($V262="","",M262+P262)</f>
        <v/>
      </c>
      <c r="U262" s="7">
        <f>IF($V262="","",T262-R262-K262)</f>
        <v/>
      </c>
      <c r="V262" s="13">
        <f>IF(ROWS($V$2:$V262)&lt;=MAX('Per Line'!$AJ$2:$AJ$1501),MATCH(ROWS($V$2:$V262),'Per Line'!$AJ$2:$AJ$1501,0),"")</f>
        <v/>
      </c>
    </row>
    <row r="263">
      <c r="A263" s="12" t="n"/>
      <c r="B263">
        <f>IF($V263="","",INDEX('Per Line'!$A$2:$A$1501,$V263)&amp;"")</f>
        <v/>
      </c>
      <c r="C263">
        <f>IF($V263="","",INDEX('Per Line'!$C$2:$C$1501,$V263)&amp;"")</f>
        <v/>
      </c>
      <c r="D263" s="11">
        <f>IF($V263="","",INDEX('Per Line'!$S$2:$S$1501,$V263))</f>
        <v/>
      </c>
      <c r="E263">
        <f>IF($V263="","",INDEX('Per Line'!$F$2:$F$1501,$V263)&amp;"")</f>
        <v/>
      </c>
      <c r="F263">
        <f>IF($V263="","",INDEX('Per Line'!$L$2:$L$1501,$V263)&amp;"")</f>
        <v/>
      </c>
      <c r="G263">
        <f>IF($V263="","",INDEX('Per Line'!$O$2:$O$1501,$V263)&amp;"")</f>
        <v/>
      </c>
      <c r="H263">
        <f>IF($V263="","",INDEX('Per Line'!$P$2:$P$1501,$V263)&amp;"")</f>
        <v/>
      </c>
      <c r="I263">
        <f>IF($V263="","",INDEX('Per Line'!$N$2:$N$1501,$V263)&amp;"")</f>
        <v/>
      </c>
      <c r="J263">
        <f>IF($V263="","",INDEX('Per Line'!$Q$2:$Q$1501,$V263))</f>
        <v/>
      </c>
      <c r="K263" s="7">
        <f>IF($V263="","",J263*T263/100)</f>
        <v/>
      </c>
      <c r="L263">
        <f>IF($V263="","",Settings!$C$7)</f>
        <v/>
      </c>
      <c r="M263" s="7">
        <f>IF($V263="","",SUMIFS('Per Line'!$AC$2:$AC$1501,'Per Line'!$C$2:$C$1501,$C263,'Per Line'!$AK$2:$AK$1501,0))</f>
        <v/>
      </c>
      <c r="N263" s="7">
        <f>IF($V263="","",M263*L263)</f>
        <v/>
      </c>
      <c r="O263">
        <f>IF($V263="","",Settings!$C$6)</f>
        <v/>
      </c>
      <c r="P263" s="7">
        <f>IF($V263="","",SUMIFS('Per Line'!$AC$2:$AC$1501,'Per Line'!$C$2:$C$1501,$C263,'Per Line'!$AK$2:$AK$1501,1))</f>
        <v/>
      </c>
      <c r="Q263" s="7">
        <f>IF($V263="","",P263*O263)</f>
        <v/>
      </c>
      <c r="R263" s="7">
        <f>IF($V263="","",Q263+N263)</f>
        <v/>
      </c>
      <c r="S263" s="7">
        <f>IF($V263="","",T263-R263)</f>
        <v/>
      </c>
      <c r="T263" s="7">
        <f>IF($V263="","",M263+P263)</f>
        <v/>
      </c>
      <c r="U263" s="7">
        <f>IF($V263="","",T263-R263-K263)</f>
        <v/>
      </c>
      <c r="V263" s="13">
        <f>IF(ROWS($V$2:$V263)&lt;=MAX('Per Line'!$AJ$2:$AJ$1501),MATCH(ROWS($V$2:$V263),'Per Line'!$AJ$2:$AJ$1501,0),"")</f>
        <v/>
      </c>
    </row>
    <row r="264">
      <c r="A264" s="12" t="n"/>
      <c r="B264">
        <f>IF($V264="","",INDEX('Per Line'!$A$2:$A$1501,$V264)&amp;"")</f>
        <v/>
      </c>
      <c r="C264">
        <f>IF($V264="","",INDEX('Per Line'!$C$2:$C$1501,$V264)&amp;"")</f>
        <v/>
      </c>
      <c r="D264" s="11">
        <f>IF($V264="","",INDEX('Per Line'!$S$2:$S$1501,$V264))</f>
        <v/>
      </c>
      <c r="E264">
        <f>IF($V264="","",INDEX('Per Line'!$F$2:$F$1501,$V264)&amp;"")</f>
        <v/>
      </c>
      <c r="F264">
        <f>IF($V264="","",INDEX('Per Line'!$L$2:$L$1501,$V264)&amp;"")</f>
        <v/>
      </c>
      <c r="G264">
        <f>IF($V264="","",INDEX('Per Line'!$O$2:$O$1501,$V264)&amp;"")</f>
        <v/>
      </c>
      <c r="H264">
        <f>IF($V264="","",INDEX('Per Line'!$P$2:$P$1501,$V264)&amp;"")</f>
        <v/>
      </c>
      <c r="I264">
        <f>IF($V264="","",INDEX('Per Line'!$N$2:$N$1501,$V264)&amp;"")</f>
        <v/>
      </c>
      <c r="J264">
        <f>IF($V264="","",INDEX('Per Line'!$Q$2:$Q$1501,$V264))</f>
        <v/>
      </c>
      <c r="K264" s="7">
        <f>IF($V264="","",J264*T264/100)</f>
        <v/>
      </c>
      <c r="L264">
        <f>IF($V264="","",Settings!$C$7)</f>
        <v/>
      </c>
      <c r="M264" s="7">
        <f>IF($V264="","",SUMIFS('Per Line'!$AC$2:$AC$1501,'Per Line'!$C$2:$C$1501,$C264,'Per Line'!$AK$2:$AK$1501,0))</f>
        <v/>
      </c>
      <c r="N264" s="7">
        <f>IF($V264="","",M264*L264)</f>
        <v/>
      </c>
      <c r="O264">
        <f>IF($V264="","",Settings!$C$6)</f>
        <v/>
      </c>
      <c r="P264" s="7">
        <f>IF($V264="","",SUMIFS('Per Line'!$AC$2:$AC$1501,'Per Line'!$C$2:$C$1501,$C264,'Per Line'!$AK$2:$AK$1501,1))</f>
        <v/>
      </c>
      <c r="Q264" s="7">
        <f>IF($V264="","",P264*O264)</f>
        <v/>
      </c>
      <c r="R264" s="7">
        <f>IF($V264="","",Q264+N264)</f>
        <v/>
      </c>
      <c r="S264" s="7">
        <f>IF($V264="","",T264-R264)</f>
        <v/>
      </c>
      <c r="T264" s="7">
        <f>IF($V264="","",M264+P264)</f>
        <v/>
      </c>
      <c r="U264" s="7">
        <f>IF($V264="","",T264-R264-K264)</f>
        <v/>
      </c>
      <c r="V264" s="13">
        <f>IF(ROWS($V$2:$V264)&lt;=MAX('Per Line'!$AJ$2:$AJ$1501),MATCH(ROWS($V$2:$V264),'Per Line'!$AJ$2:$AJ$1501,0),"")</f>
        <v/>
      </c>
    </row>
    <row r="265">
      <c r="A265" s="12" t="n"/>
      <c r="B265">
        <f>IF($V265="","",INDEX('Per Line'!$A$2:$A$1501,$V265)&amp;"")</f>
        <v/>
      </c>
      <c r="C265">
        <f>IF($V265="","",INDEX('Per Line'!$C$2:$C$1501,$V265)&amp;"")</f>
        <v/>
      </c>
      <c r="D265" s="11">
        <f>IF($V265="","",INDEX('Per Line'!$S$2:$S$1501,$V265))</f>
        <v/>
      </c>
      <c r="E265">
        <f>IF($V265="","",INDEX('Per Line'!$F$2:$F$1501,$V265)&amp;"")</f>
        <v/>
      </c>
      <c r="F265">
        <f>IF($V265="","",INDEX('Per Line'!$L$2:$L$1501,$V265)&amp;"")</f>
        <v/>
      </c>
      <c r="G265">
        <f>IF($V265="","",INDEX('Per Line'!$O$2:$O$1501,$V265)&amp;"")</f>
        <v/>
      </c>
      <c r="H265">
        <f>IF($V265="","",INDEX('Per Line'!$P$2:$P$1501,$V265)&amp;"")</f>
        <v/>
      </c>
      <c r="I265">
        <f>IF($V265="","",INDEX('Per Line'!$N$2:$N$1501,$V265)&amp;"")</f>
        <v/>
      </c>
      <c r="J265">
        <f>IF($V265="","",INDEX('Per Line'!$Q$2:$Q$1501,$V265))</f>
        <v/>
      </c>
      <c r="K265" s="7">
        <f>IF($V265="","",J265*T265/100)</f>
        <v/>
      </c>
      <c r="L265">
        <f>IF($V265="","",Settings!$C$7)</f>
        <v/>
      </c>
      <c r="M265" s="7">
        <f>IF($V265="","",SUMIFS('Per Line'!$AC$2:$AC$1501,'Per Line'!$C$2:$C$1501,$C265,'Per Line'!$AK$2:$AK$1501,0))</f>
        <v/>
      </c>
      <c r="N265" s="7">
        <f>IF($V265="","",M265*L265)</f>
        <v/>
      </c>
      <c r="O265">
        <f>IF($V265="","",Settings!$C$6)</f>
        <v/>
      </c>
      <c r="P265" s="7">
        <f>IF($V265="","",SUMIFS('Per Line'!$AC$2:$AC$1501,'Per Line'!$C$2:$C$1501,$C265,'Per Line'!$AK$2:$AK$1501,1))</f>
        <v/>
      </c>
      <c r="Q265" s="7">
        <f>IF($V265="","",P265*O265)</f>
        <v/>
      </c>
      <c r="R265" s="7">
        <f>IF($V265="","",Q265+N265)</f>
        <v/>
      </c>
      <c r="S265" s="7">
        <f>IF($V265="","",T265-R265)</f>
        <v/>
      </c>
      <c r="T265" s="7">
        <f>IF($V265="","",M265+P265)</f>
        <v/>
      </c>
      <c r="U265" s="7">
        <f>IF($V265="","",T265-R265-K265)</f>
        <v/>
      </c>
      <c r="V265" s="13">
        <f>IF(ROWS($V$2:$V265)&lt;=MAX('Per Line'!$AJ$2:$AJ$1501),MATCH(ROWS($V$2:$V265),'Per Line'!$AJ$2:$AJ$1501,0),"")</f>
        <v/>
      </c>
    </row>
    <row r="266">
      <c r="A266" s="12" t="n"/>
      <c r="B266">
        <f>IF($V266="","",INDEX('Per Line'!$A$2:$A$1501,$V266)&amp;"")</f>
        <v/>
      </c>
      <c r="C266">
        <f>IF($V266="","",INDEX('Per Line'!$C$2:$C$1501,$V266)&amp;"")</f>
        <v/>
      </c>
      <c r="D266" s="11">
        <f>IF($V266="","",INDEX('Per Line'!$S$2:$S$1501,$V266))</f>
        <v/>
      </c>
      <c r="E266">
        <f>IF($V266="","",INDEX('Per Line'!$F$2:$F$1501,$V266)&amp;"")</f>
        <v/>
      </c>
      <c r="F266">
        <f>IF($V266="","",INDEX('Per Line'!$L$2:$L$1501,$V266)&amp;"")</f>
        <v/>
      </c>
      <c r="G266">
        <f>IF($V266="","",INDEX('Per Line'!$O$2:$O$1501,$V266)&amp;"")</f>
        <v/>
      </c>
      <c r="H266">
        <f>IF($V266="","",INDEX('Per Line'!$P$2:$P$1501,$V266)&amp;"")</f>
        <v/>
      </c>
      <c r="I266">
        <f>IF($V266="","",INDEX('Per Line'!$N$2:$N$1501,$V266)&amp;"")</f>
        <v/>
      </c>
      <c r="J266">
        <f>IF($V266="","",INDEX('Per Line'!$Q$2:$Q$1501,$V266))</f>
        <v/>
      </c>
      <c r="K266" s="7">
        <f>IF($V266="","",J266*T266/100)</f>
        <v/>
      </c>
      <c r="L266">
        <f>IF($V266="","",Settings!$C$7)</f>
        <v/>
      </c>
      <c r="M266" s="7">
        <f>IF($V266="","",SUMIFS('Per Line'!$AC$2:$AC$1501,'Per Line'!$C$2:$C$1501,$C266,'Per Line'!$AK$2:$AK$1501,0))</f>
        <v/>
      </c>
      <c r="N266" s="7">
        <f>IF($V266="","",M266*L266)</f>
        <v/>
      </c>
      <c r="O266">
        <f>IF($V266="","",Settings!$C$6)</f>
        <v/>
      </c>
      <c r="P266" s="7">
        <f>IF($V266="","",SUMIFS('Per Line'!$AC$2:$AC$1501,'Per Line'!$C$2:$C$1501,$C266,'Per Line'!$AK$2:$AK$1501,1))</f>
        <v/>
      </c>
      <c r="Q266" s="7">
        <f>IF($V266="","",P266*O266)</f>
        <v/>
      </c>
      <c r="R266" s="7">
        <f>IF($V266="","",Q266+N266)</f>
        <v/>
      </c>
      <c r="S266" s="7">
        <f>IF($V266="","",T266-R266)</f>
        <v/>
      </c>
      <c r="T266" s="7">
        <f>IF($V266="","",M266+P266)</f>
        <v/>
      </c>
      <c r="U266" s="7">
        <f>IF($V266="","",T266-R266-K266)</f>
        <v/>
      </c>
      <c r="V266" s="13">
        <f>IF(ROWS($V$2:$V266)&lt;=MAX('Per Line'!$AJ$2:$AJ$1501),MATCH(ROWS($V$2:$V266),'Per Line'!$AJ$2:$AJ$1501,0),"")</f>
        <v/>
      </c>
    </row>
    <row r="267">
      <c r="A267" s="12" t="n"/>
      <c r="B267">
        <f>IF($V267="","",INDEX('Per Line'!$A$2:$A$1501,$V267)&amp;"")</f>
        <v/>
      </c>
      <c r="C267">
        <f>IF($V267="","",INDEX('Per Line'!$C$2:$C$1501,$V267)&amp;"")</f>
        <v/>
      </c>
      <c r="D267" s="11">
        <f>IF($V267="","",INDEX('Per Line'!$S$2:$S$1501,$V267))</f>
        <v/>
      </c>
      <c r="E267">
        <f>IF($V267="","",INDEX('Per Line'!$F$2:$F$1501,$V267)&amp;"")</f>
        <v/>
      </c>
      <c r="F267">
        <f>IF($V267="","",INDEX('Per Line'!$L$2:$L$1501,$V267)&amp;"")</f>
        <v/>
      </c>
      <c r="G267">
        <f>IF($V267="","",INDEX('Per Line'!$O$2:$O$1501,$V267)&amp;"")</f>
        <v/>
      </c>
      <c r="H267">
        <f>IF($V267="","",INDEX('Per Line'!$P$2:$P$1501,$V267)&amp;"")</f>
        <v/>
      </c>
      <c r="I267">
        <f>IF($V267="","",INDEX('Per Line'!$N$2:$N$1501,$V267)&amp;"")</f>
        <v/>
      </c>
      <c r="J267">
        <f>IF($V267="","",INDEX('Per Line'!$Q$2:$Q$1501,$V267))</f>
        <v/>
      </c>
      <c r="K267" s="7">
        <f>IF($V267="","",J267*T267/100)</f>
        <v/>
      </c>
      <c r="L267">
        <f>IF($V267="","",Settings!$C$7)</f>
        <v/>
      </c>
      <c r="M267" s="7">
        <f>IF($V267="","",SUMIFS('Per Line'!$AC$2:$AC$1501,'Per Line'!$C$2:$C$1501,$C267,'Per Line'!$AK$2:$AK$1501,0))</f>
        <v/>
      </c>
      <c r="N267" s="7">
        <f>IF($V267="","",M267*L267)</f>
        <v/>
      </c>
      <c r="O267">
        <f>IF($V267="","",Settings!$C$6)</f>
        <v/>
      </c>
      <c r="P267" s="7">
        <f>IF($V267="","",SUMIFS('Per Line'!$AC$2:$AC$1501,'Per Line'!$C$2:$C$1501,$C267,'Per Line'!$AK$2:$AK$1501,1))</f>
        <v/>
      </c>
      <c r="Q267" s="7">
        <f>IF($V267="","",P267*O267)</f>
        <v/>
      </c>
      <c r="R267" s="7">
        <f>IF($V267="","",Q267+N267)</f>
        <v/>
      </c>
      <c r="S267" s="7">
        <f>IF($V267="","",T267-R267)</f>
        <v/>
      </c>
      <c r="T267" s="7">
        <f>IF($V267="","",M267+P267)</f>
        <v/>
      </c>
      <c r="U267" s="7">
        <f>IF($V267="","",T267-R267-K267)</f>
        <v/>
      </c>
      <c r="V267" s="13">
        <f>IF(ROWS($V$2:$V267)&lt;=MAX('Per Line'!$AJ$2:$AJ$1501),MATCH(ROWS($V$2:$V267),'Per Line'!$AJ$2:$AJ$1501,0),"")</f>
        <v/>
      </c>
    </row>
    <row r="268">
      <c r="A268" s="12" t="n"/>
      <c r="B268">
        <f>IF($V268="","",INDEX('Per Line'!$A$2:$A$1501,$V268)&amp;"")</f>
        <v/>
      </c>
      <c r="C268">
        <f>IF($V268="","",INDEX('Per Line'!$C$2:$C$1501,$V268)&amp;"")</f>
        <v/>
      </c>
      <c r="D268" s="11">
        <f>IF($V268="","",INDEX('Per Line'!$S$2:$S$1501,$V268))</f>
        <v/>
      </c>
      <c r="E268">
        <f>IF($V268="","",INDEX('Per Line'!$F$2:$F$1501,$V268)&amp;"")</f>
        <v/>
      </c>
      <c r="F268">
        <f>IF($V268="","",INDEX('Per Line'!$L$2:$L$1501,$V268)&amp;"")</f>
        <v/>
      </c>
      <c r="G268">
        <f>IF($V268="","",INDEX('Per Line'!$O$2:$O$1501,$V268)&amp;"")</f>
        <v/>
      </c>
      <c r="H268">
        <f>IF($V268="","",INDEX('Per Line'!$P$2:$P$1501,$V268)&amp;"")</f>
        <v/>
      </c>
      <c r="I268">
        <f>IF($V268="","",INDEX('Per Line'!$N$2:$N$1501,$V268)&amp;"")</f>
        <v/>
      </c>
      <c r="J268">
        <f>IF($V268="","",INDEX('Per Line'!$Q$2:$Q$1501,$V268))</f>
        <v/>
      </c>
      <c r="K268" s="7">
        <f>IF($V268="","",J268*T268/100)</f>
        <v/>
      </c>
      <c r="L268">
        <f>IF($V268="","",Settings!$C$7)</f>
        <v/>
      </c>
      <c r="M268" s="7">
        <f>IF($V268="","",SUMIFS('Per Line'!$AC$2:$AC$1501,'Per Line'!$C$2:$C$1501,$C268,'Per Line'!$AK$2:$AK$1501,0))</f>
        <v/>
      </c>
      <c r="N268" s="7">
        <f>IF($V268="","",M268*L268)</f>
        <v/>
      </c>
      <c r="O268">
        <f>IF($V268="","",Settings!$C$6)</f>
        <v/>
      </c>
      <c r="P268" s="7">
        <f>IF($V268="","",SUMIFS('Per Line'!$AC$2:$AC$1501,'Per Line'!$C$2:$C$1501,$C268,'Per Line'!$AK$2:$AK$1501,1))</f>
        <v/>
      </c>
      <c r="Q268" s="7">
        <f>IF($V268="","",P268*O268)</f>
        <v/>
      </c>
      <c r="R268" s="7">
        <f>IF($V268="","",Q268+N268)</f>
        <v/>
      </c>
      <c r="S268" s="7">
        <f>IF($V268="","",T268-R268)</f>
        <v/>
      </c>
      <c r="T268" s="7">
        <f>IF($V268="","",M268+P268)</f>
        <v/>
      </c>
      <c r="U268" s="7">
        <f>IF($V268="","",T268-R268-K268)</f>
        <v/>
      </c>
      <c r="V268" s="13">
        <f>IF(ROWS($V$2:$V268)&lt;=MAX('Per Line'!$AJ$2:$AJ$1501),MATCH(ROWS($V$2:$V268),'Per Line'!$AJ$2:$AJ$1501,0),"")</f>
        <v/>
      </c>
    </row>
    <row r="269">
      <c r="A269" s="12" t="n"/>
      <c r="B269">
        <f>IF($V269="","",INDEX('Per Line'!$A$2:$A$1501,$V269)&amp;"")</f>
        <v/>
      </c>
      <c r="C269">
        <f>IF($V269="","",INDEX('Per Line'!$C$2:$C$1501,$V269)&amp;"")</f>
        <v/>
      </c>
      <c r="D269" s="11">
        <f>IF($V269="","",INDEX('Per Line'!$S$2:$S$1501,$V269))</f>
        <v/>
      </c>
      <c r="E269">
        <f>IF($V269="","",INDEX('Per Line'!$F$2:$F$1501,$V269)&amp;"")</f>
        <v/>
      </c>
      <c r="F269">
        <f>IF($V269="","",INDEX('Per Line'!$L$2:$L$1501,$V269)&amp;"")</f>
        <v/>
      </c>
      <c r="G269">
        <f>IF($V269="","",INDEX('Per Line'!$O$2:$O$1501,$V269)&amp;"")</f>
        <v/>
      </c>
      <c r="H269">
        <f>IF($V269="","",INDEX('Per Line'!$P$2:$P$1501,$V269)&amp;"")</f>
        <v/>
      </c>
      <c r="I269">
        <f>IF($V269="","",INDEX('Per Line'!$N$2:$N$1501,$V269)&amp;"")</f>
        <v/>
      </c>
      <c r="J269">
        <f>IF($V269="","",INDEX('Per Line'!$Q$2:$Q$1501,$V269))</f>
        <v/>
      </c>
      <c r="K269" s="7">
        <f>IF($V269="","",J269*T269/100)</f>
        <v/>
      </c>
      <c r="L269">
        <f>IF($V269="","",Settings!$C$7)</f>
        <v/>
      </c>
      <c r="M269" s="7">
        <f>IF($V269="","",SUMIFS('Per Line'!$AC$2:$AC$1501,'Per Line'!$C$2:$C$1501,$C269,'Per Line'!$AK$2:$AK$1501,0))</f>
        <v/>
      </c>
      <c r="N269" s="7">
        <f>IF($V269="","",M269*L269)</f>
        <v/>
      </c>
      <c r="O269">
        <f>IF($V269="","",Settings!$C$6)</f>
        <v/>
      </c>
      <c r="P269" s="7">
        <f>IF($V269="","",SUMIFS('Per Line'!$AC$2:$AC$1501,'Per Line'!$C$2:$C$1501,$C269,'Per Line'!$AK$2:$AK$1501,1))</f>
        <v/>
      </c>
      <c r="Q269" s="7">
        <f>IF($V269="","",P269*O269)</f>
        <v/>
      </c>
      <c r="R269" s="7">
        <f>IF($V269="","",Q269+N269)</f>
        <v/>
      </c>
      <c r="S269" s="7">
        <f>IF($V269="","",T269-R269)</f>
        <v/>
      </c>
      <c r="T269" s="7">
        <f>IF($V269="","",M269+P269)</f>
        <v/>
      </c>
      <c r="U269" s="7">
        <f>IF($V269="","",T269-R269-K269)</f>
        <v/>
      </c>
      <c r="V269" s="13">
        <f>IF(ROWS($V$2:$V269)&lt;=MAX('Per Line'!$AJ$2:$AJ$1501),MATCH(ROWS($V$2:$V269),'Per Line'!$AJ$2:$AJ$1501,0),"")</f>
        <v/>
      </c>
    </row>
    <row r="270">
      <c r="A270" s="12" t="n"/>
      <c r="B270">
        <f>IF($V270="","",INDEX('Per Line'!$A$2:$A$1501,$V270)&amp;"")</f>
        <v/>
      </c>
      <c r="C270">
        <f>IF($V270="","",INDEX('Per Line'!$C$2:$C$1501,$V270)&amp;"")</f>
        <v/>
      </c>
      <c r="D270" s="11">
        <f>IF($V270="","",INDEX('Per Line'!$S$2:$S$1501,$V270))</f>
        <v/>
      </c>
      <c r="E270">
        <f>IF($V270="","",INDEX('Per Line'!$F$2:$F$1501,$V270)&amp;"")</f>
        <v/>
      </c>
      <c r="F270">
        <f>IF($V270="","",INDEX('Per Line'!$L$2:$L$1501,$V270)&amp;"")</f>
        <v/>
      </c>
      <c r="G270">
        <f>IF($V270="","",INDEX('Per Line'!$O$2:$O$1501,$V270)&amp;"")</f>
        <v/>
      </c>
      <c r="H270">
        <f>IF($V270="","",INDEX('Per Line'!$P$2:$P$1501,$V270)&amp;"")</f>
        <v/>
      </c>
      <c r="I270">
        <f>IF($V270="","",INDEX('Per Line'!$N$2:$N$1501,$V270)&amp;"")</f>
        <v/>
      </c>
      <c r="J270">
        <f>IF($V270="","",INDEX('Per Line'!$Q$2:$Q$1501,$V270))</f>
        <v/>
      </c>
      <c r="K270" s="7">
        <f>IF($V270="","",J270*T270/100)</f>
        <v/>
      </c>
      <c r="L270">
        <f>IF($V270="","",Settings!$C$7)</f>
        <v/>
      </c>
      <c r="M270" s="7">
        <f>IF($V270="","",SUMIFS('Per Line'!$AC$2:$AC$1501,'Per Line'!$C$2:$C$1501,$C270,'Per Line'!$AK$2:$AK$1501,0))</f>
        <v/>
      </c>
      <c r="N270" s="7">
        <f>IF($V270="","",M270*L270)</f>
        <v/>
      </c>
      <c r="O270">
        <f>IF($V270="","",Settings!$C$6)</f>
        <v/>
      </c>
      <c r="P270" s="7">
        <f>IF($V270="","",SUMIFS('Per Line'!$AC$2:$AC$1501,'Per Line'!$C$2:$C$1501,$C270,'Per Line'!$AK$2:$AK$1501,1))</f>
        <v/>
      </c>
      <c r="Q270" s="7">
        <f>IF($V270="","",P270*O270)</f>
        <v/>
      </c>
      <c r="R270" s="7">
        <f>IF($V270="","",Q270+N270)</f>
        <v/>
      </c>
      <c r="S270" s="7">
        <f>IF($V270="","",T270-R270)</f>
        <v/>
      </c>
      <c r="T270" s="7">
        <f>IF($V270="","",M270+P270)</f>
        <v/>
      </c>
      <c r="U270" s="7">
        <f>IF($V270="","",T270-R270-K270)</f>
        <v/>
      </c>
      <c r="V270" s="13">
        <f>IF(ROWS($V$2:$V270)&lt;=MAX('Per Line'!$AJ$2:$AJ$1501),MATCH(ROWS($V$2:$V270),'Per Line'!$AJ$2:$AJ$1501,0),"")</f>
        <v/>
      </c>
    </row>
    <row r="271">
      <c r="A271" s="12" t="n"/>
      <c r="B271">
        <f>IF($V271="","",INDEX('Per Line'!$A$2:$A$1501,$V271)&amp;"")</f>
        <v/>
      </c>
      <c r="C271">
        <f>IF($V271="","",INDEX('Per Line'!$C$2:$C$1501,$V271)&amp;"")</f>
        <v/>
      </c>
      <c r="D271" s="11">
        <f>IF($V271="","",INDEX('Per Line'!$S$2:$S$1501,$V271))</f>
        <v/>
      </c>
      <c r="E271">
        <f>IF($V271="","",INDEX('Per Line'!$F$2:$F$1501,$V271)&amp;"")</f>
        <v/>
      </c>
      <c r="F271">
        <f>IF($V271="","",INDEX('Per Line'!$L$2:$L$1501,$V271)&amp;"")</f>
        <v/>
      </c>
      <c r="G271">
        <f>IF($V271="","",INDEX('Per Line'!$O$2:$O$1501,$V271)&amp;"")</f>
        <v/>
      </c>
      <c r="H271">
        <f>IF($V271="","",INDEX('Per Line'!$P$2:$P$1501,$V271)&amp;"")</f>
        <v/>
      </c>
      <c r="I271">
        <f>IF($V271="","",INDEX('Per Line'!$N$2:$N$1501,$V271)&amp;"")</f>
        <v/>
      </c>
      <c r="J271">
        <f>IF($V271="","",INDEX('Per Line'!$Q$2:$Q$1501,$V271))</f>
        <v/>
      </c>
      <c r="K271" s="7">
        <f>IF($V271="","",J271*T271/100)</f>
        <v/>
      </c>
      <c r="L271">
        <f>IF($V271="","",Settings!$C$7)</f>
        <v/>
      </c>
      <c r="M271" s="7">
        <f>IF($V271="","",SUMIFS('Per Line'!$AC$2:$AC$1501,'Per Line'!$C$2:$C$1501,$C271,'Per Line'!$AK$2:$AK$1501,0))</f>
        <v/>
      </c>
      <c r="N271" s="7">
        <f>IF($V271="","",M271*L271)</f>
        <v/>
      </c>
      <c r="O271">
        <f>IF($V271="","",Settings!$C$6)</f>
        <v/>
      </c>
      <c r="P271" s="7">
        <f>IF($V271="","",SUMIFS('Per Line'!$AC$2:$AC$1501,'Per Line'!$C$2:$C$1501,$C271,'Per Line'!$AK$2:$AK$1501,1))</f>
        <v/>
      </c>
      <c r="Q271" s="7">
        <f>IF($V271="","",P271*O271)</f>
        <v/>
      </c>
      <c r="R271" s="7">
        <f>IF($V271="","",Q271+N271)</f>
        <v/>
      </c>
      <c r="S271" s="7">
        <f>IF($V271="","",T271-R271)</f>
        <v/>
      </c>
      <c r="T271" s="7">
        <f>IF($V271="","",M271+P271)</f>
        <v/>
      </c>
      <c r="U271" s="7">
        <f>IF($V271="","",T271-R271-K271)</f>
        <v/>
      </c>
      <c r="V271" s="13">
        <f>IF(ROWS($V$2:$V271)&lt;=MAX('Per Line'!$AJ$2:$AJ$1501),MATCH(ROWS($V$2:$V271),'Per Line'!$AJ$2:$AJ$1501,0),"")</f>
        <v/>
      </c>
    </row>
    <row r="272">
      <c r="A272" s="12" t="n"/>
      <c r="B272">
        <f>IF($V272="","",INDEX('Per Line'!$A$2:$A$1501,$V272)&amp;"")</f>
        <v/>
      </c>
      <c r="C272">
        <f>IF($V272="","",INDEX('Per Line'!$C$2:$C$1501,$V272)&amp;"")</f>
        <v/>
      </c>
      <c r="D272" s="11">
        <f>IF($V272="","",INDEX('Per Line'!$S$2:$S$1501,$V272))</f>
        <v/>
      </c>
      <c r="E272">
        <f>IF($V272="","",INDEX('Per Line'!$F$2:$F$1501,$V272)&amp;"")</f>
        <v/>
      </c>
      <c r="F272">
        <f>IF($V272="","",INDEX('Per Line'!$L$2:$L$1501,$V272)&amp;"")</f>
        <v/>
      </c>
      <c r="G272">
        <f>IF($V272="","",INDEX('Per Line'!$O$2:$O$1501,$V272)&amp;"")</f>
        <v/>
      </c>
      <c r="H272">
        <f>IF($V272="","",INDEX('Per Line'!$P$2:$P$1501,$V272)&amp;"")</f>
        <v/>
      </c>
      <c r="I272">
        <f>IF($V272="","",INDEX('Per Line'!$N$2:$N$1501,$V272)&amp;"")</f>
        <v/>
      </c>
      <c r="J272">
        <f>IF($V272="","",INDEX('Per Line'!$Q$2:$Q$1501,$V272))</f>
        <v/>
      </c>
      <c r="K272" s="7">
        <f>IF($V272="","",J272*T272/100)</f>
        <v/>
      </c>
      <c r="L272">
        <f>IF($V272="","",Settings!$C$7)</f>
        <v/>
      </c>
      <c r="M272" s="7">
        <f>IF($V272="","",SUMIFS('Per Line'!$AC$2:$AC$1501,'Per Line'!$C$2:$C$1501,$C272,'Per Line'!$AK$2:$AK$1501,0))</f>
        <v/>
      </c>
      <c r="N272" s="7">
        <f>IF($V272="","",M272*L272)</f>
        <v/>
      </c>
      <c r="O272">
        <f>IF($V272="","",Settings!$C$6)</f>
        <v/>
      </c>
      <c r="P272" s="7">
        <f>IF($V272="","",SUMIFS('Per Line'!$AC$2:$AC$1501,'Per Line'!$C$2:$C$1501,$C272,'Per Line'!$AK$2:$AK$1501,1))</f>
        <v/>
      </c>
      <c r="Q272" s="7">
        <f>IF($V272="","",P272*O272)</f>
        <v/>
      </c>
      <c r="R272" s="7">
        <f>IF($V272="","",Q272+N272)</f>
        <v/>
      </c>
      <c r="S272" s="7">
        <f>IF($V272="","",T272-R272)</f>
        <v/>
      </c>
      <c r="T272" s="7">
        <f>IF($V272="","",M272+P272)</f>
        <v/>
      </c>
      <c r="U272" s="7">
        <f>IF($V272="","",T272-R272-K272)</f>
        <v/>
      </c>
      <c r="V272" s="13">
        <f>IF(ROWS($V$2:$V272)&lt;=MAX('Per Line'!$AJ$2:$AJ$1501),MATCH(ROWS($V$2:$V272),'Per Line'!$AJ$2:$AJ$1501,0),"")</f>
        <v/>
      </c>
    </row>
    <row r="273">
      <c r="A273" s="12" t="n"/>
      <c r="B273">
        <f>IF($V273="","",INDEX('Per Line'!$A$2:$A$1501,$V273)&amp;"")</f>
        <v/>
      </c>
      <c r="C273">
        <f>IF($V273="","",INDEX('Per Line'!$C$2:$C$1501,$V273)&amp;"")</f>
        <v/>
      </c>
      <c r="D273" s="11">
        <f>IF($V273="","",INDEX('Per Line'!$S$2:$S$1501,$V273))</f>
        <v/>
      </c>
      <c r="E273">
        <f>IF($V273="","",INDEX('Per Line'!$F$2:$F$1501,$V273)&amp;"")</f>
        <v/>
      </c>
      <c r="F273">
        <f>IF($V273="","",INDEX('Per Line'!$L$2:$L$1501,$V273)&amp;"")</f>
        <v/>
      </c>
      <c r="G273">
        <f>IF($V273="","",INDEX('Per Line'!$O$2:$O$1501,$V273)&amp;"")</f>
        <v/>
      </c>
      <c r="H273">
        <f>IF($V273="","",INDEX('Per Line'!$P$2:$P$1501,$V273)&amp;"")</f>
        <v/>
      </c>
      <c r="I273">
        <f>IF($V273="","",INDEX('Per Line'!$N$2:$N$1501,$V273)&amp;"")</f>
        <v/>
      </c>
      <c r="J273">
        <f>IF($V273="","",INDEX('Per Line'!$Q$2:$Q$1501,$V273))</f>
        <v/>
      </c>
      <c r="K273" s="7">
        <f>IF($V273="","",J273*T273/100)</f>
        <v/>
      </c>
      <c r="L273">
        <f>IF($V273="","",Settings!$C$7)</f>
        <v/>
      </c>
      <c r="M273" s="7">
        <f>IF($V273="","",SUMIFS('Per Line'!$AC$2:$AC$1501,'Per Line'!$C$2:$C$1501,$C273,'Per Line'!$AK$2:$AK$1501,0))</f>
        <v/>
      </c>
      <c r="N273" s="7">
        <f>IF($V273="","",M273*L273)</f>
        <v/>
      </c>
      <c r="O273">
        <f>IF($V273="","",Settings!$C$6)</f>
        <v/>
      </c>
      <c r="P273" s="7">
        <f>IF($V273="","",SUMIFS('Per Line'!$AC$2:$AC$1501,'Per Line'!$C$2:$C$1501,$C273,'Per Line'!$AK$2:$AK$1501,1))</f>
        <v/>
      </c>
      <c r="Q273" s="7">
        <f>IF($V273="","",P273*O273)</f>
        <v/>
      </c>
      <c r="R273" s="7">
        <f>IF($V273="","",Q273+N273)</f>
        <v/>
      </c>
      <c r="S273" s="7">
        <f>IF($V273="","",T273-R273)</f>
        <v/>
      </c>
      <c r="T273" s="7">
        <f>IF($V273="","",M273+P273)</f>
        <v/>
      </c>
      <c r="U273" s="7">
        <f>IF($V273="","",T273-R273-K273)</f>
        <v/>
      </c>
      <c r="V273" s="13">
        <f>IF(ROWS($V$2:$V273)&lt;=MAX('Per Line'!$AJ$2:$AJ$1501),MATCH(ROWS($V$2:$V273),'Per Line'!$AJ$2:$AJ$1501,0),"")</f>
        <v/>
      </c>
    </row>
    <row r="274">
      <c r="A274" s="12" t="n"/>
      <c r="B274">
        <f>IF($V274="","",INDEX('Per Line'!$A$2:$A$1501,$V274)&amp;"")</f>
        <v/>
      </c>
      <c r="C274">
        <f>IF($V274="","",INDEX('Per Line'!$C$2:$C$1501,$V274)&amp;"")</f>
        <v/>
      </c>
      <c r="D274" s="11">
        <f>IF($V274="","",INDEX('Per Line'!$S$2:$S$1501,$V274))</f>
        <v/>
      </c>
      <c r="E274">
        <f>IF($V274="","",INDEX('Per Line'!$F$2:$F$1501,$V274)&amp;"")</f>
        <v/>
      </c>
      <c r="F274">
        <f>IF($V274="","",INDEX('Per Line'!$L$2:$L$1501,$V274)&amp;"")</f>
        <v/>
      </c>
      <c r="G274">
        <f>IF($V274="","",INDEX('Per Line'!$O$2:$O$1501,$V274)&amp;"")</f>
        <v/>
      </c>
      <c r="H274">
        <f>IF($V274="","",INDEX('Per Line'!$P$2:$P$1501,$V274)&amp;"")</f>
        <v/>
      </c>
      <c r="I274">
        <f>IF($V274="","",INDEX('Per Line'!$N$2:$N$1501,$V274)&amp;"")</f>
        <v/>
      </c>
      <c r="J274">
        <f>IF($V274="","",INDEX('Per Line'!$Q$2:$Q$1501,$V274))</f>
        <v/>
      </c>
      <c r="K274" s="7">
        <f>IF($V274="","",J274*T274/100)</f>
        <v/>
      </c>
      <c r="L274">
        <f>IF($V274="","",Settings!$C$7)</f>
        <v/>
      </c>
      <c r="M274" s="7">
        <f>IF($V274="","",SUMIFS('Per Line'!$AC$2:$AC$1501,'Per Line'!$C$2:$C$1501,$C274,'Per Line'!$AK$2:$AK$1501,0))</f>
        <v/>
      </c>
      <c r="N274" s="7">
        <f>IF($V274="","",M274*L274)</f>
        <v/>
      </c>
      <c r="O274">
        <f>IF($V274="","",Settings!$C$6)</f>
        <v/>
      </c>
      <c r="P274" s="7">
        <f>IF($V274="","",SUMIFS('Per Line'!$AC$2:$AC$1501,'Per Line'!$C$2:$C$1501,$C274,'Per Line'!$AK$2:$AK$1501,1))</f>
        <v/>
      </c>
      <c r="Q274" s="7">
        <f>IF($V274="","",P274*O274)</f>
        <v/>
      </c>
      <c r="R274" s="7">
        <f>IF($V274="","",Q274+N274)</f>
        <v/>
      </c>
      <c r="S274" s="7">
        <f>IF($V274="","",T274-R274)</f>
        <v/>
      </c>
      <c r="T274" s="7">
        <f>IF($V274="","",M274+P274)</f>
        <v/>
      </c>
      <c r="U274" s="7">
        <f>IF($V274="","",T274-R274-K274)</f>
        <v/>
      </c>
      <c r="V274" s="13">
        <f>IF(ROWS($V$2:$V274)&lt;=MAX('Per Line'!$AJ$2:$AJ$1501),MATCH(ROWS($V$2:$V274),'Per Line'!$AJ$2:$AJ$1501,0),"")</f>
        <v/>
      </c>
    </row>
    <row r="275">
      <c r="A275" s="12" t="n"/>
      <c r="B275">
        <f>IF($V275="","",INDEX('Per Line'!$A$2:$A$1501,$V275)&amp;"")</f>
        <v/>
      </c>
      <c r="C275">
        <f>IF($V275="","",INDEX('Per Line'!$C$2:$C$1501,$V275)&amp;"")</f>
        <v/>
      </c>
      <c r="D275" s="11">
        <f>IF($V275="","",INDEX('Per Line'!$S$2:$S$1501,$V275))</f>
        <v/>
      </c>
      <c r="E275">
        <f>IF($V275="","",INDEX('Per Line'!$F$2:$F$1501,$V275)&amp;"")</f>
        <v/>
      </c>
      <c r="F275">
        <f>IF($V275="","",INDEX('Per Line'!$L$2:$L$1501,$V275)&amp;"")</f>
        <v/>
      </c>
      <c r="G275">
        <f>IF($V275="","",INDEX('Per Line'!$O$2:$O$1501,$V275)&amp;"")</f>
        <v/>
      </c>
      <c r="H275">
        <f>IF($V275="","",INDEX('Per Line'!$P$2:$P$1501,$V275)&amp;"")</f>
        <v/>
      </c>
      <c r="I275">
        <f>IF($V275="","",INDEX('Per Line'!$N$2:$N$1501,$V275)&amp;"")</f>
        <v/>
      </c>
      <c r="J275">
        <f>IF($V275="","",INDEX('Per Line'!$Q$2:$Q$1501,$V275))</f>
        <v/>
      </c>
      <c r="K275" s="7">
        <f>IF($V275="","",J275*T275/100)</f>
        <v/>
      </c>
      <c r="L275">
        <f>IF($V275="","",Settings!$C$7)</f>
        <v/>
      </c>
      <c r="M275" s="7">
        <f>IF($V275="","",SUMIFS('Per Line'!$AC$2:$AC$1501,'Per Line'!$C$2:$C$1501,$C275,'Per Line'!$AK$2:$AK$1501,0))</f>
        <v/>
      </c>
      <c r="N275" s="7">
        <f>IF($V275="","",M275*L275)</f>
        <v/>
      </c>
      <c r="O275">
        <f>IF($V275="","",Settings!$C$6)</f>
        <v/>
      </c>
      <c r="P275" s="7">
        <f>IF($V275="","",SUMIFS('Per Line'!$AC$2:$AC$1501,'Per Line'!$C$2:$C$1501,$C275,'Per Line'!$AK$2:$AK$1501,1))</f>
        <v/>
      </c>
      <c r="Q275" s="7">
        <f>IF($V275="","",P275*O275)</f>
        <v/>
      </c>
      <c r="R275" s="7">
        <f>IF($V275="","",Q275+N275)</f>
        <v/>
      </c>
      <c r="S275" s="7">
        <f>IF($V275="","",T275-R275)</f>
        <v/>
      </c>
      <c r="T275" s="7">
        <f>IF($V275="","",M275+P275)</f>
        <v/>
      </c>
      <c r="U275" s="7">
        <f>IF($V275="","",T275-R275-K275)</f>
        <v/>
      </c>
      <c r="V275" s="13">
        <f>IF(ROWS($V$2:$V275)&lt;=MAX('Per Line'!$AJ$2:$AJ$1501),MATCH(ROWS($V$2:$V275),'Per Line'!$AJ$2:$AJ$1501,0),"")</f>
        <v/>
      </c>
    </row>
    <row r="276">
      <c r="A276" s="12" t="n"/>
      <c r="B276">
        <f>IF($V276="","",INDEX('Per Line'!$A$2:$A$1501,$V276)&amp;"")</f>
        <v/>
      </c>
      <c r="C276">
        <f>IF($V276="","",INDEX('Per Line'!$C$2:$C$1501,$V276)&amp;"")</f>
        <v/>
      </c>
      <c r="D276" s="11">
        <f>IF($V276="","",INDEX('Per Line'!$S$2:$S$1501,$V276))</f>
        <v/>
      </c>
      <c r="E276">
        <f>IF($V276="","",INDEX('Per Line'!$F$2:$F$1501,$V276)&amp;"")</f>
        <v/>
      </c>
      <c r="F276">
        <f>IF($V276="","",INDEX('Per Line'!$L$2:$L$1501,$V276)&amp;"")</f>
        <v/>
      </c>
      <c r="G276">
        <f>IF($V276="","",INDEX('Per Line'!$O$2:$O$1501,$V276)&amp;"")</f>
        <v/>
      </c>
      <c r="H276">
        <f>IF($V276="","",INDEX('Per Line'!$P$2:$P$1501,$V276)&amp;"")</f>
        <v/>
      </c>
      <c r="I276">
        <f>IF($V276="","",INDEX('Per Line'!$N$2:$N$1501,$V276)&amp;"")</f>
        <v/>
      </c>
      <c r="J276">
        <f>IF($V276="","",INDEX('Per Line'!$Q$2:$Q$1501,$V276))</f>
        <v/>
      </c>
      <c r="K276" s="7">
        <f>IF($V276="","",J276*T276/100)</f>
        <v/>
      </c>
      <c r="L276">
        <f>IF($V276="","",Settings!$C$7)</f>
        <v/>
      </c>
      <c r="M276" s="7">
        <f>IF($V276="","",SUMIFS('Per Line'!$AC$2:$AC$1501,'Per Line'!$C$2:$C$1501,$C276,'Per Line'!$AK$2:$AK$1501,0))</f>
        <v/>
      </c>
      <c r="N276" s="7">
        <f>IF($V276="","",M276*L276)</f>
        <v/>
      </c>
      <c r="O276">
        <f>IF($V276="","",Settings!$C$6)</f>
        <v/>
      </c>
      <c r="P276" s="7">
        <f>IF($V276="","",SUMIFS('Per Line'!$AC$2:$AC$1501,'Per Line'!$C$2:$C$1501,$C276,'Per Line'!$AK$2:$AK$1501,1))</f>
        <v/>
      </c>
      <c r="Q276" s="7">
        <f>IF($V276="","",P276*O276)</f>
        <v/>
      </c>
      <c r="R276" s="7">
        <f>IF($V276="","",Q276+N276)</f>
        <v/>
      </c>
      <c r="S276" s="7">
        <f>IF($V276="","",T276-R276)</f>
        <v/>
      </c>
      <c r="T276" s="7">
        <f>IF($V276="","",M276+P276)</f>
        <v/>
      </c>
      <c r="U276" s="7">
        <f>IF($V276="","",T276-R276-K276)</f>
        <v/>
      </c>
      <c r="V276" s="13">
        <f>IF(ROWS($V$2:$V276)&lt;=MAX('Per Line'!$AJ$2:$AJ$1501),MATCH(ROWS($V$2:$V276),'Per Line'!$AJ$2:$AJ$1501,0),"")</f>
        <v/>
      </c>
    </row>
    <row r="277">
      <c r="A277" s="12" t="n"/>
      <c r="B277">
        <f>IF($V277="","",INDEX('Per Line'!$A$2:$A$1501,$V277)&amp;"")</f>
        <v/>
      </c>
      <c r="C277">
        <f>IF($V277="","",INDEX('Per Line'!$C$2:$C$1501,$V277)&amp;"")</f>
        <v/>
      </c>
      <c r="D277" s="11">
        <f>IF($V277="","",INDEX('Per Line'!$S$2:$S$1501,$V277))</f>
        <v/>
      </c>
      <c r="E277">
        <f>IF($V277="","",INDEX('Per Line'!$F$2:$F$1501,$V277)&amp;"")</f>
        <v/>
      </c>
      <c r="F277">
        <f>IF($V277="","",INDEX('Per Line'!$L$2:$L$1501,$V277)&amp;"")</f>
        <v/>
      </c>
      <c r="G277">
        <f>IF($V277="","",INDEX('Per Line'!$O$2:$O$1501,$V277)&amp;"")</f>
        <v/>
      </c>
      <c r="H277">
        <f>IF($V277="","",INDEX('Per Line'!$P$2:$P$1501,$V277)&amp;"")</f>
        <v/>
      </c>
      <c r="I277">
        <f>IF($V277="","",INDEX('Per Line'!$N$2:$N$1501,$V277)&amp;"")</f>
        <v/>
      </c>
      <c r="J277">
        <f>IF($V277="","",INDEX('Per Line'!$Q$2:$Q$1501,$V277))</f>
        <v/>
      </c>
      <c r="K277" s="7">
        <f>IF($V277="","",J277*T277/100)</f>
        <v/>
      </c>
      <c r="L277">
        <f>IF($V277="","",Settings!$C$7)</f>
        <v/>
      </c>
      <c r="M277" s="7">
        <f>IF($V277="","",SUMIFS('Per Line'!$AC$2:$AC$1501,'Per Line'!$C$2:$C$1501,$C277,'Per Line'!$AK$2:$AK$1501,0))</f>
        <v/>
      </c>
      <c r="N277" s="7">
        <f>IF($V277="","",M277*L277)</f>
        <v/>
      </c>
      <c r="O277">
        <f>IF($V277="","",Settings!$C$6)</f>
        <v/>
      </c>
      <c r="P277" s="7">
        <f>IF($V277="","",SUMIFS('Per Line'!$AC$2:$AC$1501,'Per Line'!$C$2:$C$1501,$C277,'Per Line'!$AK$2:$AK$1501,1))</f>
        <v/>
      </c>
      <c r="Q277" s="7">
        <f>IF($V277="","",P277*O277)</f>
        <v/>
      </c>
      <c r="R277" s="7">
        <f>IF($V277="","",Q277+N277)</f>
        <v/>
      </c>
      <c r="S277" s="7">
        <f>IF($V277="","",T277-R277)</f>
        <v/>
      </c>
      <c r="T277" s="7">
        <f>IF($V277="","",M277+P277)</f>
        <v/>
      </c>
      <c r="U277" s="7">
        <f>IF($V277="","",T277-R277-K277)</f>
        <v/>
      </c>
      <c r="V277" s="13">
        <f>IF(ROWS($V$2:$V277)&lt;=MAX('Per Line'!$AJ$2:$AJ$1501),MATCH(ROWS($V$2:$V277),'Per Line'!$AJ$2:$AJ$1501,0),"")</f>
        <v/>
      </c>
    </row>
    <row r="278">
      <c r="A278" s="12" t="n"/>
      <c r="B278">
        <f>IF($V278="","",INDEX('Per Line'!$A$2:$A$1501,$V278)&amp;"")</f>
        <v/>
      </c>
      <c r="C278">
        <f>IF($V278="","",INDEX('Per Line'!$C$2:$C$1501,$V278)&amp;"")</f>
        <v/>
      </c>
      <c r="D278" s="11">
        <f>IF($V278="","",INDEX('Per Line'!$S$2:$S$1501,$V278))</f>
        <v/>
      </c>
      <c r="E278">
        <f>IF($V278="","",INDEX('Per Line'!$F$2:$F$1501,$V278)&amp;"")</f>
        <v/>
      </c>
      <c r="F278">
        <f>IF($V278="","",INDEX('Per Line'!$L$2:$L$1501,$V278)&amp;"")</f>
        <v/>
      </c>
      <c r="G278">
        <f>IF($V278="","",INDEX('Per Line'!$O$2:$O$1501,$V278)&amp;"")</f>
        <v/>
      </c>
      <c r="H278">
        <f>IF($V278="","",INDEX('Per Line'!$P$2:$P$1501,$V278)&amp;"")</f>
        <v/>
      </c>
      <c r="I278">
        <f>IF($V278="","",INDEX('Per Line'!$N$2:$N$1501,$V278)&amp;"")</f>
        <v/>
      </c>
      <c r="J278">
        <f>IF($V278="","",INDEX('Per Line'!$Q$2:$Q$1501,$V278))</f>
        <v/>
      </c>
      <c r="K278" s="7">
        <f>IF($V278="","",J278*T278/100)</f>
        <v/>
      </c>
      <c r="L278">
        <f>IF($V278="","",Settings!$C$7)</f>
        <v/>
      </c>
      <c r="M278" s="7">
        <f>IF($V278="","",SUMIFS('Per Line'!$AC$2:$AC$1501,'Per Line'!$C$2:$C$1501,$C278,'Per Line'!$AK$2:$AK$1501,0))</f>
        <v/>
      </c>
      <c r="N278" s="7">
        <f>IF($V278="","",M278*L278)</f>
        <v/>
      </c>
      <c r="O278">
        <f>IF($V278="","",Settings!$C$6)</f>
        <v/>
      </c>
      <c r="P278" s="7">
        <f>IF($V278="","",SUMIFS('Per Line'!$AC$2:$AC$1501,'Per Line'!$C$2:$C$1501,$C278,'Per Line'!$AK$2:$AK$1501,1))</f>
        <v/>
      </c>
      <c r="Q278" s="7">
        <f>IF($V278="","",P278*O278)</f>
        <v/>
      </c>
      <c r="R278" s="7">
        <f>IF($V278="","",Q278+N278)</f>
        <v/>
      </c>
      <c r="S278" s="7">
        <f>IF($V278="","",T278-R278)</f>
        <v/>
      </c>
      <c r="T278" s="7">
        <f>IF($V278="","",M278+P278)</f>
        <v/>
      </c>
      <c r="U278" s="7">
        <f>IF($V278="","",T278-R278-K278)</f>
        <v/>
      </c>
      <c r="V278" s="13">
        <f>IF(ROWS($V$2:$V278)&lt;=MAX('Per Line'!$AJ$2:$AJ$1501),MATCH(ROWS($V$2:$V278),'Per Line'!$AJ$2:$AJ$1501,0),"")</f>
        <v/>
      </c>
    </row>
    <row r="279">
      <c r="A279" s="12" t="n"/>
      <c r="B279">
        <f>IF($V279="","",INDEX('Per Line'!$A$2:$A$1501,$V279)&amp;"")</f>
        <v/>
      </c>
      <c r="C279">
        <f>IF($V279="","",INDEX('Per Line'!$C$2:$C$1501,$V279)&amp;"")</f>
        <v/>
      </c>
      <c r="D279" s="11">
        <f>IF($V279="","",INDEX('Per Line'!$S$2:$S$1501,$V279))</f>
        <v/>
      </c>
      <c r="E279">
        <f>IF($V279="","",INDEX('Per Line'!$F$2:$F$1501,$V279)&amp;"")</f>
        <v/>
      </c>
      <c r="F279">
        <f>IF($V279="","",INDEX('Per Line'!$L$2:$L$1501,$V279)&amp;"")</f>
        <v/>
      </c>
      <c r="G279">
        <f>IF($V279="","",INDEX('Per Line'!$O$2:$O$1501,$V279)&amp;"")</f>
        <v/>
      </c>
      <c r="H279">
        <f>IF($V279="","",INDEX('Per Line'!$P$2:$P$1501,$V279)&amp;"")</f>
        <v/>
      </c>
      <c r="I279">
        <f>IF($V279="","",INDEX('Per Line'!$N$2:$N$1501,$V279)&amp;"")</f>
        <v/>
      </c>
      <c r="J279">
        <f>IF($V279="","",INDEX('Per Line'!$Q$2:$Q$1501,$V279))</f>
        <v/>
      </c>
      <c r="K279" s="7">
        <f>IF($V279="","",J279*T279/100)</f>
        <v/>
      </c>
      <c r="L279">
        <f>IF($V279="","",Settings!$C$7)</f>
        <v/>
      </c>
      <c r="M279" s="7">
        <f>IF($V279="","",SUMIFS('Per Line'!$AC$2:$AC$1501,'Per Line'!$C$2:$C$1501,$C279,'Per Line'!$AK$2:$AK$1501,0))</f>
        <v/>
      </c>
      <c r="N279" s="7">
        <f>IF($V279="","",M279*L279)</f>
        <v/>
      </c>
      <c r="O279">
        <f>IF($V279="","",Settings!$C$6)</f>
        <v/>
      </c>
      <c r="P279" s="7">
        <f>IF($V279="","",SUMIFS('Per Line'!$AC$2:$AC$1501,'Per Line'!$C$2:$C$1501,$C279,'Per Line'!$AK$2:$AK$1501,1))</f>
        <v/>
      </c>
      <c r="Q279" s="7">
        <f>IF($V279="","",P279*O279)</f>
        <v/>
      </c>
      <c r="R279" s="7">
        <f>IF($V279="","",Q279+N279)</f>
        <v/>
      </c>
      <c r="S279" s="7">
        <f>IF($V279="","",T279-R279)</f>
        <v/>
      </c>
      <c r="T279" s="7">
        <f>IF($V279="","",M279+P279)</f>
        <v/>
      </c>
      <c r="U279" s="7">
        <f>IF($V279="","",T279-R279-K279)</f>
        <v/>
      </c>
      <c r="V279" s="13">
        <f>IF(ROWS($V$2:$V279)&lt;=MAX('Per Line'!$AJ$2:$AJ$1501),MATCH(ROWS($V$2:$V279),'Per Line'!$AJ$2:$AJ$1501,0),"")</f>
        <v/>
      </c>
    </row>
    <row r="280">
      <c r="A280" s="12" t="n"/>
      <c r="B280">
        <f>IF($V280="","",INDEX('Per Line'!$A$2:$A$1501,$V280)&amp;"")</f>
        <v/>
      </c>
      <c r="C280">
        <f>IF($V280="","",INDEX('Per Line'!$C$2:$C$1501,$V280)&amp;"")</f>
        <v/>
      </c>
      <c r="D280" s="11">
        <f>IF($V280="","",INDEX('Per Line'!$S$2:$S$1501,$V280))</f>
        <v/>
      </c>
      <c r="E280">
        <f>IF($V280="","",INDEX('Per Line'!$F$2:$F$1501,$V280)&amp;"")</f>
        <v/>
      </c>
      <c r="F280">
        <f>IF($V280="","",INDEX('Per Line'!$L$2:$L$1501,$V280)&amp;"")</f>
        <v/>
      </c>
      <c r="G280">
        <f>IF($V280="","",INDEX('Per Line'!$O$2:$O$1501,$V280)&amp;"")</f>
        <v/>
      </c>
      <c r="H280">
        <f>IF($V280="","",INDEX('Per Line'!$P$2:$P$1501,$V280)&amp;"")</f>
        <v/>
      </c>
      <c r="I280">
        <f>IF($V280="","",INDEX('Per Line'!$N$2:$N$1501,$V280)&amp;"")</f>
        <v/>
      </c>
      <c r="J280">
        <f>IF($V280="","",INDEX('Per Line'!$Q$2:$Q$1501,$V280))</f>
        <v/>
      </c>
      <c r="K280" s="7">
        <f>IF($V280="","",J280*T280/100)</f>
        <v/>
      </c>
      <c r="L280">
        <f>IF($V280="","",Settings!$C$7)</f>
        <v/>
      </c>
      <c r="M280" s="7">
        <f>IF($V280="","",SUMIFS('Per Line'!$AC$2:$AC$1501,'Per Line'!$C$2:$C$1501,$C280,'Per Line'!$AK$2:$AK$1501,0))</f>
        <v/>
      </c>
      <c r="N280" s="7">
        <f>IF($V280="","",M280*L280)</f>
        <v/>
      </c>
      <c r="O280">
        <f>IF($V280="","",Settings!$C$6)</f>
        <v/>
      </c>
      <c r="P280" s="7">
        <f>IF($V280="","",SUMIFS('Per Line'!$AC$2:$AC$1501,'Per Line'!$C$2:$C$1501,$C280,'Per Line'!$AK$2:$AK$1501,1))</f>
        <v/>
      </c>
      <c r="Q280" s="7">
        <f>IF($V280="","",P280*O280)</f>
        <v/>
      </c>
      <c r="R280" s="7">
        <f>IF($V280="","",Q280+N280)</f>
        <v/>
      </c>
      <c r="S280" s="7">
        <f>IF($V280="","",T280-R280)</f>
        <v/>
      </c>
      <c r="T280" s="7">
        <f>IF($V280="","",M280+P280)</f>
        <v/>
      </c>
      <c r="U280" s="7">
        <f>IF($V280="","",T280-R280-K280)</f>
        <v/>
      </c>
      <c r="V280" s="13">
        <f>IF(ROWS($V$2:$V280)&lt;=MAX('Per Line'!$AJ$2:$AJ$1501),MATCH(ROWS($V$2:$V280),'Per Line'!$AJ$2:$AJ$1501,0),"")</f>
        <v/>
      </c>
    </row>
    <row r="281">
      <c r="A281" s="12" t="n"/>
      <c r="B281">
        <f>IF($V281="","",INDEX('Per Line'!$A$2:$A$1501,$V281)&amp;"")</f>
        <v/>
      </c>
      <c r="C281">
        <f>IF($V281="","",INDEX('Per Line'!$C$2:$C$1501,$V281)&amp;"")</f>
        <v/>
      </c>
      <c r="D281" s="11">
        <f>IF($V281="","",INDEX('Per Line'!$S$2:$S$1501,$V281))</f>
        <v/>
      </c>
      <c r="E281">
        <f>IF($V281="","",INDEX('Per Line'!$F$2:$F$1501,$V281)&amp;"")</f>
        <v/>
      </c>
      <c r="F281">
        <f>IF($V281="","",INDEX('Per Line'!$L$2:$L$1501,$V281)&amp;"")</f>
        <v/>
      </c>
      <c r="G281">
        <f>IF($V281="","",INDEX('Per Line'!$O$2:$O$1501,$V281)&amp;"")</f>
        <v/>
      </c>
      <c r="H281">
        <f>IF($V281="","",INDEX('Per Line'!$P$2:$P$1501,$V281)&amp;"")</f>
        <v/>
      </c>
      <c r="I281">
        <f>IF($V281="","",INDEX('Per Line'!$N$2:$N$1501,$V281)&amp;"")</f>
        <v/>
      </c>
      <c r="J281">
        <f>IF($V281="","",INDEX('Per Line'!$Q$2:$Q$1501,$V281))</f>
        <v/>
      </c>
      <c r="K281" s="7">
        <f>IF($V281="","",J281*T281/100)</f>
        <v/>
      </c>
      <c r="L281">
        <f>IF($V281="","",Settings!$C$7)</f>
        <v/>
      </c>
      <c r="M281" s="7">
        <f>IF($V281="","",SUMIFS('Per Line'!$AC$2:$AC$1501,'Per Line'!$C$2:$C$1501,$C281,'Per Line'!$AK$2:$AK$1501,0))</f>
        <v/>
      </c>
      <c r="N281" s="7">
        <f>IF($V281="","",M281*L281)</f>
        <v/>
      </c>
      <c r="O281">
        <f>IF($V281="","",Settings!$C$6)</f>
        <v/>
      </c>
      <c r="P281" s="7">
        <f>IF($V281="","",SUMIFS('Per Line'!$AC$2:$AC$1501,'Per Line'!$C$2:$C$1501,$C281,'Per Line'!$AK$2:$AK$1501,1))</f>
        <v/>
      </c>
      <c r="Q281" s="7">
        <f>IF($V281="","",P281*O281)</f>
        <v/>
      </c>
      <c r="R281" s="7">
        <f>IF($V281="","",Q281+N281)</f>
        <v/>
      </c>
      <c r="S281" s="7">
        <f>IF($V281="","",T281-R281)</f>
        <v/>
      </c>
      <c r="T281" s="7">
        <f>IF($V281="","",M281+P281)</f>
        <v/>
      </c>
      <c r="U281" s="7">
        <f>IF($V281="","",T281-R281-K281)</f>
        <v/>
      </c>
      <c r="V281" s="13">
        <f>IF(ROWS($V$2:$V281)&lt;=MAX('Per Line'!$AJ$2:$AJ$1501),MATCH(ROWS($V$2:$V281),'Per Line'!$AJ$2:$AJ$1501,0),"")</f>
        <v/>
      </c>
    </row>
    <row r="282">
      <c r="A282" s="12" t="n"/>
      <c r="B282">
        <f>IF($V282="","",INDEX('Per Line'!$A$2:$A$1501,$V282)&amp;"")</f>
        <v/>
      </c>
      <c r="C282">
        <f>IF($V282="","",INDEX('Per Line'!$C$2:$C$1501,$V282)&amp;"")</f>
        <v/>
      </c>
      <c r="D282" s="11">
        <f>IF($V282="","",INDEX('Per Line'!$S$2:$S$1501,$V282))</f>
        <v/>
      </c>
      <c r="E282">
        <f>IF($V282="","",INDEX('Per Line'!$F$2:$F$1501,$V282)&amp;"")</f>
        <v/>
      </c>
      <c r="F282">
        <f>IF($V282="","",INDEX('Per Line'!$L$2:$L$1501,$V282)&amp;"")</f>
        <v/>
      </c>
      <c r="G282">
        <f>IF($V282="","",INDEX('Per Line'!$O$2:$O$1501,$V282)&amp;"")</f>
        <v/>
      </c>
      <c r="H282">
        <f>IF($V282="","",INDEX('Per Line'!$P$2:$P$1501,$V282)&amp;"")</f>
        <v/>
      </c>
      <c r="I282">
        <f>IF($V282="","",INDEX('Per Line'!$N$2:$N$1501,$V282)&amp;"")</f>
        <v/>
      </c>
      <c r="J282">
        <f>IF($V282="","",INDEX('Per Line'!$Q$2:$Q$1501,$V282))</f>
        <v/>
      </c>
      <c r="K282" s="7">
        <f>IF($V282="","",J282*T282/100)</f>
        <v/>
      </c>
      <c r="L282">
        <f>IF($V282="","",Settings!$C$7)</f>
        <v/>
      </c>
      <c r="M282" s="7">
        <f>IF($V282="","",SUMIFS('Per Line'!$AC$2:$AC$1501,'Per Line'!$C$2:$C$1501,$C282,'Per Line'!$AK$2:$AK$1501,0))</f>
        <v/>
      </c>
      <c r="N282" s="7">
        <f>IF($V282="","",M282*L282)</f>
        <v/>
      </c>
      <c r="O282">
        <f>IF($V282="","",Settings!$C$6)</f>
        <v/>
      </c>
      <c r="P282" s="7">
        <f>IF($V282="","",SUMIFS('Per Line'!$AC$2:$AC$1501,'Per Line'!$C$2:$C$1501,$C282,'Per Line'!$AK$2:$AK$1501,1))</f>
        <v/>
      </c>
      <c r="Q282" s="7">
        <f>IF($V282="","",P282*O282)</f>
        <v/>
      </c>
      <c r="R282" s="7">
        <f>IF($V282="","",Q282+N282)</f>
        <v/>
      </c>
      <c r="S282" s="7">
        <f>IF($V282="","",T282-R282)</f>
        <v/>
      </c>
      <c r="T282" s="7">
        <f>IF($V282="","",M282+P282)</f>
        <v/>
      </c>
      <c r="U282" s="7">
        <f>IF($V282="","",T282-R282-K282)</f>
        <v/>
      </c>
      <c r="V282" s="13">
        <f>IF(ROWS($V$2:$V282)&lt;=MAX('Per Line'!$AJ$2:$AJ$1501),MATCH(ROWS($V$2:$V282),'Per Line'!$AJ$2:$AJ$1501,0),"")</f>
        <v/>
      </c>
    </row>
    <row r="283">
      <c r="A283" s="12" t="n"/>
      <c r="B283">
        <f>IF($V283="","",INDEX('Per Line'!$A$2:$A$1501,$V283)&amp;"")</f>
        <v/>
      </c>
      <c r="C283">
        <f>IF($V283="","",INDEX('Per Line'!$C$2:$C$1501,$V283)&amp;"")</f>
        <v/>
      </c>
      <c r="D283" s="11">
        <f>IF($V283="","",INDEX('Per Line'!$S$2:$S$1501,$V283))</f>
        <v/>
      </c>
      <c r="E283">
        <f>IF($V283="","",INDEX('Per Line'!$F$2:$F$1501,$V283)&amp;"")</f>
        <v/>
      </c>
      <c r="F283">
        <f>IF($V283="","",INDEX('Per Line'!$L$2:$L$1501,$V283)&amp;"")</f>
        <v/>
      </c>
      <c r="G283">
        <f>IF($V283="","",INDEX('Per Line'!$O$2:$O$1501,$V283)&amp;"")</f>
        <v/>
      </c>
      <c r="H283">
        <f>IF($V283="","",INDEX('Per Line'!$P$2:$P$1501,$V283)&amp;"")</f>
        <v/>
      </c>
      <c r="I283">
        <f>IF($V283="","",INDEX('Per Line'!$N$2:$N$1501,$V283)&amp;"")</f>
        <v/>
      </c>
      <c r="J283">
        <f>IF($V283="","",INDEX('Per Line'!$Q$2:$Q$1501,$V283))</f>
        <v/>
      </c>
      <c r="K283" s="7">
        <f>IF($V283="","",J283*T283/100)</f>
        <v/>
      </c>
      <c r="L283">
        <f>IF($V283="","",Settings!$C$7)</f>
        <v/>
      </c>
      <c r="M283" s="7">
        <f>IF($V283="","",SUMIFS('Per Line'!$AC$2:$AC$1501,'Per Line'!$C$2:$C$1501,$C283,'Per Line'!$AK$2:$AK$1501,0))</f>
        <v/>
      </c>
      <c r="N283" s="7">
        <f>IF($V283="","",M283*L283)</f>
        <v/>
      </c>
      <c r="O283">
        <f>IF($V283="","",Settings!$C$6)</f>
        <v/>
      </c>
      <c r="P283" s="7">
        <f>IF($V283="","",SUMIFS('Per Line'!$AC$2:$AC$1501,'Per Line'!$C$2:$C$1501,$C283,'Per Line'!$AK$2:$AK$1501,1))</f>
        <v/>
      </c>
      <c r="Q283" s="7">
        <f>IF($V283="","",P283*O283)</f>
        <v/>
      </c>
      <c r="R283" s="7">
        <f>IF($V283="","",Q283+N283)</f>
        <v/>
      </c>
      <c r="S283" s="7">
        <f>IF($V283="","",T283-R283)</f>
        <v/>
      </c>
      <c r="T283" s="7">
        <f>IF($V283="","",M283+P283)</f>
        <v/>
      </c>
      <c r="U283" s="7">
        <f>IF($V283="","",T283-R283-K283)</f>
        <v/>
      </c>
      <c r="V283" s="13">
        <f>IF(ROWS($V$2:$V283)&lt;=MAX('Per Line'!$AJ$2:$AJ$1501),MATCH(ROWS($V$2:$V283),'Per Line'!$AJ$2:$AJ$1501,0),"")</f>
        <v/>
      </c>
    </row>
    <row r="284">
      <c r="A284" s="12" t="n"/>
      <c r="B284">
        <f>IF($V284="","",INDEX('Per Line'!$A$2:$A$1501,$V284)&amp;"")</f>
        <v/>
      </c>
      <c r="C284">
        <f>IF($V284="","",INDEX('Per Line'!$C$2:$C$1501,$V284)&amp;"")</f>
        <v/>
      </c>
      <c r="D284" s="11">
        <f>IF($V284="","",INDEX('Per Line'!$S$2:$S$1501,$V284))</f>
        <v/>
      </c>
      <c r="E284">
        <f>IF($V284="","",INDEX('Per Line'!$F$2:$F$1501,$V284)&amp;"")</f>
        <v/>
      </c>
      <c r="F284">
        <f>IF($V284="","",INDEX('Per Line'!$L$2:$L$1501,$V284)&amp;"")</f>
        <v/>
      </c>
      <c r="G284">
        <f>IF($V284="","",INDEX('Per Line'!$O$2:$O$1501,$V284)&amp;"")</f>
        <v/>
      </c>
      <c r="H284">
        <f>IF($V284="","",INDEX('Per Line'!$P$2:$P$1501,$V284)&amp;"")</f>
        <v/>
      </c>
      <c r="I284">
        <f>IF($V284="","",INDEX('Per Line'!$N$2:$N$1501,$V284)&amp;"")</f>
        <v/>
      </c>
      <c r="J284">
        <f>IF($V284="","",INDEX('Per Line'!$Q$2:$Q$1501,$V284))</f>
        <v/>
      </c>
      <c r="K284" s="7">
        <f>IF($V284="","",J284*T284/100)</f>
        <v/>
      </c>
      <c r="L284">
        <f>IF($V284="","",Settings!$C$7)</f>
        <v/>
      </c>
      <c r="M284" s="7">
        <f>IF($V284="","",SUMIFS('Per Line'!$AC$2:$AC$1501,'Per Line'!$C$2:$C$1501,$C284,'Per Line'!$AK$2:$AK$1501,0))</f>
        <v/>
      </c>
      <c r="N284" s="7">
        <f>IF($V284="","",M284*L284)</f>
        <v/>
      </c>
      <c r="O284">
        <f>IF($V284="","",Settings!$C$6)</f>
        <v/>
      </c>
      <c r="P284" s="7">
        <f>IF($V284="","",SUMIFS('Per Line'!$AC$2:$AC$1501,'Per Line'!$C$2:$C$1501,$C284,'Per Line'!$AK$2:$AK$1501,1))</f>
        <v/>
      </c>
      <c r="Q284" s="7">
        <f>IF($V284="","",P284*O284)</f>
        <v/>
      </c>
      <c r="R284" s="7">
        <f>IF($V284="","",Q284+N284)</f>
        <v/>
      </c>
      <c r="S284" s="7">
        <f>IF($V284="","",T284-R284)</f>
        <v/>
      </c>
      <c r="T284" s="7">
        <f>IF($V284="","",M284+P284)</f>
        <v/>
      </c>
      <c r="U284" s="7">
        <f>IF($V284="","",T284-R284-K284)</f>
        <v/>
      </c>
      <c r="V284" s="13">
        <f>IF(ROWS($V$2:$V284)&lt;=MAX('Per Line'!$AJ$2:$AJ$1501),MATCH(ROWS($V$2:$V284),'Per Line'!$AJ$2:$AJ$1501,0),"")</f>
        <v/>
      </c>
    </row>
    <row r="285">
      <c r="A285" s="12" t="n"/>
      <c r="B285">
        <f>IF($V285="","",INDEX('Per Line'!$A$2:$A$1501,$V285)&amp;"")</f>
        <v/>
      </c>
      <c r="C285">
        <f>IF($V285="","",INDEX('Per Line'!$C$2:$C$1501,$V285)&amp;"")</f>
        <v/>
      </c>
      <c r="D285" s="11">
        <f>IF($V285="","",INDEX('Per Line'!$S$2:$S$1501,$V285))</f>
        <v/>
      </c>
      <c r="E285">
        <f>IF($V285="","",INDEX('Per Line'!$F$2:$F$1501,$V285)&amp;"")</f>
        <v/>
      </c>
      <c r="F285">
        <f>IF($V285="","",INDEX('Per Line'!$L$2:$L$1501,$V285)&amp;"")</f>
        <v/>
      </c>
      <c r="G285">
        <f>IF($V285="","",INDEX('Per Line'!$O$2:$O$1501,$V285)&amp;"")</f>
        <v/>
      </c>
      <c r="H285">
        <f>IF($V285="","",INDEX('Per Line'!$P$2:$P$1501,$V285)&amp;"")</f>
        <v/>
      </c>
      <c r="I285">
        <f>IF($V285="","",INDEX('Per Line'!$N$2:$N$1501,$V285)&amp;"")</f>
        <v/>
      </c>
      <c r="J285">
        <f>IF($V285="","",INDEX('Per Line'!$Q$2:$Q$1501,$V285))</f>
        <v/>
      </c>
      <c r="K285" s="7">
        <f>IF($V285="","",J285*T285/100)</f>
        <v/>
      </c>
      <c r="L285">
        <f>IF($V285="","",Settings!$C$7)</f>
        <v/>
      </c>
      <c r="M285" s="7">
        <f>IF($V285="","",SUMIFS('Per Line'!$AC$2:$AC$1501,'Per Line'!$C$2:$C$1501,$C285,'Per Line'!$AK$2:$AK$1501,0))</f>
        <v/>
      </c>
      <c r="N285" s="7">
        <f>IF($V285="","",M285*L285)</f>
        <v/>
      </c>
      <c r="O285">
        <f>IF($V285="","",Settings!$C$6)</f>
        <v/>
      </c>
      <c r="P285" s="7">
        <f>IF($V285="","",SUMIFS('Per Line'!$AC$2:$AC$1501,'Per Line'!$C$2:$C$1501,$C285,'Per Line'!$AK$2:$AK$1501,1))</f>
        <v/>
      </c>
      <c r="Q285" s="7">
        <f>IF($V285="","",P285*O285)</f>
        <v/>
      </c>
      <c r="R285" s="7">
        <f>IF($V285="","",Q285+N285)</f>
        <v/>
      </c>
      <c r="S285" s="7">
        <f>IF($V285="","",T285-R285)</f>
        <v/>
      </c>
      <c r="T285" s="7">
        <f>IF($V285="","",M285+P285)</f>
        <v/>
      </c>
      <c r="U285" s="7">
        <f>IF($V285="","",T285-R285-K285)</f>
        <v/>
      </c>
      <c r="V285" s="13">
        <f>IF(ROWS($V$2:$V285)&lt;=MAX('Per Line'!$AJ$2:$AJ$1501),MATCH(ROWS($V$2:$V285),'Per Line'!$AJ$2:$AJ$1501,0),"")</f>
        <v/>
      </c>
    </row>
    <row r="286">
      <c r="A286" s="12" t="n"/>
      <c r="B286">
        <f>IF($V286="","",INDEX('Per Line'!$A$2:$A$1501,$V286)&amp;"")</f>
        <v/>
      </c>
      <c r="C286">
        <f>IF($V286="","",INDEX('Per Line'!$C$2:$C$1501,$V286)&amp;"")</f>
        <v/>
      </c>
      <c r="D286" s="11">
        <f>IF($V286="","",INDEX('Per Line'!$S$2:$S$1501,$V286))</f>
        <v/>
      </c>
      <c r="E286">
        <f>IF($V286="","",INDEX('Per Line'!$F$2:$F$1501,$V286)&amp;"")</f>
        <v/>
      </c>
      <c r="F286">
        <f>IF($V286="","",INDEX('Per Line'!$L$2:$L$1501,$V286)&amp;"")</f>
        <v/>
      </c>
      <c r="G286">
        <f>IF($V286="","",INDEX('Per Line'!$O$2:$O$1501,$V286)&amp;"")</f>
        <v/>
      </c>
      <c r="H286">
        <f>IF($V286="","",INDEX('Per Line'!$P$2:$P$1501,$V286)&amp;"")</f>
        <v/>
      </c>
      <c r="I286">
        <f>IF($V286="","",INDEX('Per Line'!$N$2:$N$1501,$V286)&amp;"")</f>
        <v/>
      </c>
      <c r="J286">
        <f>IF($V286="","",INDEX('Per Line'!$Q$2:$Q$1501,$V286))</f>
        <v/>
      </c>
      <c r="K286" s="7">
        <f>IF($V286="","",J286*T286/100)</f>
        <v/>
      </c>
      <c r="L286">
        <f>IF($V286="","",Settings!$C$7)</f>
        <v/>
      </c>
      <c r="M286" s="7">
        <f>IF($V286="","",SUMIFS('Per Line'!$AC$2:$AC$1501,'Per Line'!$C$2:$C$1501,$C286,'Per Line'!$AK$2:$AK$1501,0))</f>
        <v/>
      </c>
      <c r="N286" s="7">
        <f>IF($V286="","",M286*L286)</f>
        <v/>
      </c>
      <c r="O286">
        <f>IF($V286="","",Settings!$C$6)</f>
        <v/>
      </c>
      <c r="P286" s="7">
        <f>IF($V286="","",SUMIFS('Per Line'!$AC$2:$AC$1501,'Per Line'!$C$2:$C$1501,$C286,'Per Line'!$AK$2:$AK$1501,1))</f>
        <v/>
      </c>
      <c r="Q286" s="7">
        <f>IF($V286="","",P286*O286)</f>
        <v/>
      </c>
      <c r="R286" s="7">
        <f>IF($V286="","",Q286+N286)</f>
        <v/>
      </c>
      <c r="S286" s="7">
        <f>IF($V286="","",T286-R286)</f>
        <v/>
      </c>
      <c r="T286" s="7">
        <f>IF($V286="","",M286+P286)</f>
        <v/>
      </c>
      <c r="U286" s="7">
        <f>IF($V286="","",T286-R286-K286)</f>
        <v/>
      </c>
      <c r="V286" s="13">
        <f>IF(ROWS($V$2:$V286)&lt;=MAX('Per Line'!$AJ$2:$AJ$1501),MATCH(ROWS($V$2:$V286),'Per Line'!$AJ$2:$AJ$1501,0),"")</f>
        <v/>
      </c>
    </row>
    <row r="287">
      <c r="A287" s="12" t="n"/>
      <c r="B287">
        <f>IF($V287="","",INDEX('Per Line'!$A$2:$A$1501,$V287)&amp;"")</f>
        <v/>
      </c>
      <c r="C287">
        <f>IF($V287="","",INDEX('Per Line'!$C$2:$C$1501,$V287)&amp;"")</f>
        <v/>
      </c>
      <c r="D287" s="11">
        <f>IF($V287="","",INDEX('Per Line'!$S$2:$S$1501,$V287))</f>
        <v/>
      </c>
      <c r="E287">
        <f>IF($V287="","",INDEX('Per Line'!$F$2:$F$1501,$V287)&amp;"")</f>
        <v/>
      </c>
      <c r="F287">
        <f>IF($V287="","",INDEX('Per Line'!$L$2:$L$1501,$V287)&amp;"")</f>
        <v/>
      </c>
      <c r="G287">
        <f>IF($V287="","",INDEX('Per Line'!$O$2:$O$1501,$V287)&amp;"")</f>
        <v/>
      </c>
      <c r="H287">
        <f>IF($V287="","",INDEX('Per Line'!$P$2:$P$1501,$V287)&amp;"")</f>
        <v/>
      </c>
      <c r="I287">
        <f>IF($V287="","",INDEX('Per Line'!$N$2:$N$1501,$V287)&amp;"")</f>
        <v/>
      </c>
      <c r="J287">
        <f>IF($V287="","",INDEX('Per Line'!$Q$2:$Q$1501,$V287))</f>
        <v/>
      </c>
      <c r="K287" s="7">
        <f>IF($V287="","",J287*T287/100)</f>
        <v/>
      </c>
      <c r="L287">
        <f>IF($V287="","",Settings!$C$7)</f>
        <v/>
      </c>
      <c r="M287" s="7">
        <f>IF($V287="","",SUMIFS('Per Line'!$AC$2:$AC$1501,'Per Line'!$C$2:$C$1501,$C287,'Per Line'!$AK$2:$AK$1501,0))</f>
        <v/>
      </c>
      <c r="N287" s="7">
        <f>IF($V287="","",M287*L287)</f>
        <v/>
      </c>
      <c r="O287">
        <f>IF($V287="","",Settings!$C$6)</f>
        <v/>
      </c>
      <c r="P287" s="7">
        <f>IF($V287="","",SUMIFS('Per Line'!$AC$2:$AC$1501,'Per Line'!$C$2:$C$1501,$C287,'Per Line'!$AK$2:$AK$1501,1))</f>
        <v/>
      </c>
      <c r="Q287" s="7">
        <f>IF($V287="","",P287*O287)</f>
        <v/>
      </c>
      <c r="R287" s="7">
        <f>IF($V287="","",Q287+N287)</f>
        <v/>
      </c>
      <c r="S287" s="7">
        <f>IF($V287="","",T287-R287)</f>
        <v/>
      </c>
      <c r="T287" s="7">
        <f>IF($V287="","",M287+P287)</f>
        <v/>
      </c>
      <c r="U287" s="7">
        <f>IF($V287="","",T287-R287-K287)</f>
        <v/>
      </c>
      <c r="V287" s="13">
        <f>IF(ROWS($V$2:$V287)&lt;=MAX('Per Line'!$AJ$2:$AJ$1501),MATCH(ROWS($V$2:$V287),'Per Line'!$AJ$2:$AJ$1501,0),"")</f>
        <v/>
      </c>
    </row>
    <row r="288">
      <c r="A288" s="12" t="n"/>
      <c r="B288">
        <f>IF($V288="","",INDEX('Per Line'!$A$2:$A$1501,$V288)&amp;"")</f>
        <v/>
      </c>
      <c r="C288">
        <f>IF($V288="","",INDEX('Per Line'!$C$2:$C$1501,$V288)&amp;"")</f>
        <v/>
      </c>
      <c r="D288" s="11">
        <f>IF($V288="","",INDEX('Per Line'!$S$2:$S$1501,$V288))</f>
        <v/>
      </c>
      <c r="E288">
        <f>IF($V288="","",INDEX('Per Line'!$F$2:$F$1501,$V288)&amp;"")</f>
        <v/>
      </c>
      <c r="F288">
        <f>IF($V288="","",INDEX('Per Line'!$L$2:$L$1501,$V288)&amp;"")</f>
        <v/>
      </c>
      <c r="G288">
        <f>IF($V288="","",INDEX('Per Line'!$O$2:$O$1501,$V288)&amp;"")</f>
        <v/>
      </c>
      <c r="H288">
        <f>IF($V288="","",INDEX('Per Line'!$P$2:$P$1501,$V288)&amp;"")</f>
        <v/>
      </c>
      <c r="I288">
        <f>IF($V288="","",INDEX('Per Line'!$N$2:$N$1501,$V288)&amp;"")</f>
        <v/>
      </c>
      <c r="J288">
        <f>IF($V288="","",INDEX('Per Line'!$Q$2:$Q$1501,$V288))</f>
        <v/>
      </c>
      <c r="K288" s="7">
        <f>IF($V288="","",J288*T288/100)</f>
        <v/>
      </c>
      <c r="L288">
        <f>IF($V288="","",Settings!$C$7)</f>
        <v/>
      </c>
      <c r="M288" s="7">
        <f>IF($V288="","",SUMIFS('Per Line'!$AC$2:$AC$1501,'Per Line'!$C$2:$C$1501,$C288,'Per Line'!$AK$2:$AK$1501,0))</f>
        <v/>
      </c>
      <c r="N288" s="7">
        <f>IF($V288="","",M288*L288)</f>
        <v/>
      </c>
      <c r="O288">
        <f>IF($V288="","",Settings!$C$6)</f>
        <v/>
      </c>
      <c r="P288" s="7">
        <f>IF($V288="","",SUMIFS('Per Line'!$AC$2:$AC$1501,'Per Line'!$C$2:$C$1501,$C288,'Per Line'!$AK$2:$AK$1501,1))</f>
        <v/>
      </c>
      <c r="Q288" s="7">
        <f>IF($V288="","",P288*O288)</f>
        <v/>
      </c>
      <c r="R288" s="7">
        <f>IF($V288="","",Q288+N288)</f>
        <v/>
      </c>
      <c r="S288" s="7">
        <f>IF($V288="","",T288-R288)</f>
        <v/>
      </c>
      <c r="T288" s="7">
        <f>IF($V288="","",M288+P288)</f>
        <v/>
      </c>
      <c r="U288" s="7">
        <f>IF($V288="","",T288-R288-K288)</f>
        <v/>
      </c>
      <c r="V288" s="13">
        <f>IF(ROWS($V$2:$V288)&lt;=MAX('Per Line'!$AJ$2:$AJ$1501),MATCH(ROWS($V$2:$V288),'Per Line'!$AJ$2:$AJ$1501,0),"")</f>
        <v/>
      </c>
    </row>
    <row r="289">
      <c r="A289" s="12" t="n"/>
      <c r="B289">
        <f>IF($V289="","",INDEX('Per Line'!$A$2:$A$1501,$V289)&amp;"")</f>
        <v/>
      </c>
      <c r="C289">
        <f>IF($V289="","",INDEX('Per Line'!$C$2:$C$1501,$V289)&amp;"")</f>
        <v/>
      </c>
      <c r="D289" s="11">
        <f>IF($V289="","",INDEX('Per Line'!$S$2:$S$1501,$V289))</f>
        <v/>
      </c>
      <c r="E289">
        <f>IF($V289="","",INDEX('Per Line'!$F$2:$F$1501,$V289)&amp;"")</f>
        <v/>
      </c>
      <c r="F289">
        <f>IF($V289="","",INDEX('Per Line'!$L$2:$L$1501,$V289)&amp;"")</f>
        <v/>
      </c>
      <c r="G289">
        <f>IF($V289="","",INDEX('Per Line'!$O$2:$O$1501,$V289)&amp;"")</f>
        <v/>
      </c>
      <c r="H289">
        <f>IF($V289="","",INDEX('Per Line'!$P$2:$P$1501,$V289)&amp;"")</f>
        <v/>
      </c>
      <c r="I289">
        <f>IF($V289="","",INDEX('Per Line'!$N$2:$N$1501,$V289)&amp;"")</f>
        <v/>
      </c>
      <c r="J289">
        <f>IF($V289="","",INDEX('Per Line'!$Q$2:$Q$1501,$V289))</f>
        <v/>
      </c>
      <c r="K289" s="7">
        <f>IF($V289="","",J289*T289/100)</f>
        <v/>
      </c>
      <c r="L289">
        <f>IF($V289="","",Settings!$C$7)</f>
        <v/>
      </c>
      <c r="M289" s="7">
        <f>IF($V289="","",SUMIFS('Per Line'!$AC$2:$AC$1501,'Per Line'!$C$2:$C$1501,$C289,'Per Line'!$AK$2:$AK$1501,0))</f>
        <v/>
      </c>
      <c r="N289" s="7">
        <f>IF($V289="","",M289*L289)</f>
        <v/>
      </c>
      <c r="O289">
        <f>IF($V289="","",Settings!$C$6)</f>
        <v/>
      </c>
      <c r="P289" s="7">
        <f>IF($V289="","",SUMIFS('Per Line'!$AC$2:$AC$1501,'Per Line'!$C$2:$C$1501,$C289,'Per Line'!$AK$2:$AK$1501,1))</f>
        <v/>
      </c>
      <c r="Q289" s="7">
        <f>IF($V289="","",P289*O289)</f>
        <v/>
      </c>
      <c r="R289" s="7">
        <f>IF($V289="","",Q289+N289)</f>
        <v/>
      </c>
      <c r="S289" s="7">
        <f>IF($V289="","",T289-R289)</f>
        <v/>
      </c>
      <c r="T289" s="7">
        <f>IF($V289="","",M289+P289)</f>
        <v/>
      </c>
      <c r="U289" s="7">
        <f>IF($V289="","",T289-R289-K289)</f>
        <v/>
      </c>
      <c r="V289" s="13">
        <f>IF(ROWS($V$2:$V289)&lt;=MAX('Per Line'!$AJ$2:$AJ$1501),MATCH(ROWS($V$2:$V289),'Per Line'!$AJ$2:$AJ$1501,0),"")</f>
        <v/>
      </c>
    </row>
    <row r="290">
      <c r="A290" s="12" t="n"/>
      <c r="B290">
        <f>IF($V290="","",INDEX('Per Line'!$A$2:$A$1501,$V290)&amp;"")</f>
        <v/>
      </c>
      <c r="C290">
        <f>IF($V290="","",INDEX('Per Line'!$C$2:$C$1501,$V290)&amp;"")</f>
        <v/>
      </c>
      <c r="D290" s="11">
        <f>IF($V290="","",INDEX('Per Line'!$S$2:$S$1501,$V290))</f>
        <v/>
      </c>
      <c r="E290">
        <f>IF($V290="","",INDEX('Per Line'!$F$2:$F$1501,$V290)&amp;"")</f>
        <v/>
      </c>
      <c r="F290">
        <f>IF($V290="","",INDEX('Per Line'!$L$2:$L$1501,$V290)&amp;"")</f>
        <v/>
      </c>
      <c r="G290">
        <f>IF($V290="","",INDEX('Per Line'!$O$2:$O$1501,$V290)&amp;"")</f>
        <v/>
      </c>
      <c r="H290">
        <f>IF($V290="","",INDEX('Per Line'!$P$2:$P$1501,$V290)&amp;"")</f>
        <v/>
      </c>
      <c r="I290">
        <f>IF($V290="","",INDEX('Per Line'!$N$2:$N$1501,$V290)&amp;"")</f>
        <v/>
      </c>
      <c r="J290">
        <f>IF($V290="","",INDEX('Per Line'!$Q$2:$Q$1501,$V290))</f>
        <v/>
      </c>
      <c r="K290" s="7">
        <f>IF($V290="","",J290*T290/100)</f>
        <v/>
      </c>
      <c r="L290">
        <f>IF($V290="","",Settings!$C$7)</f>
        <v/>
      </c>
      <c r="M290" s="7">
        <f>IF($V290="","",SUMIFS('Per Line'!$AC$2:$AC$1501,'Per Line'!$C$2:$C$1501,$C290,'Per Line'!$AK$2:$AK$1501,0))</f>
        <v/>
      </c>
      <c r="N290" s="7">
        <f>IF($V290="","",M290*L290)</f>
        <v/>
      </c>
      <c r="O290">
        <f>IF($V290="","",Settings!$C$6)</f>
        <v/>
      </c>
      <c r="P290" s="7">
        <f>IF($V290="","",SUMIFS('Per Line'!$AC$2:$AC$1501,'Per Line'!$C$2:$C$1501,$C290,'Per Line'!$AK$2:$AK$1501,1))</f>
        <v/>
      </c>
      <c r="Q290" s="7">
        <f>IF($V290="","",P290*O290)</f>
        <v/>
      </c>
      <c r="R290" s="7">
        <f>IF($V290="","",Q290+N290)</f>
        <v/>
      </c>
      <c r="S290" s="7">
        <f>IF($V290="","",T290-R290)</f>
        <v/>
      </c>
      <c r="T290" s="7">
        <f>IF($V290="","",M290+P290)</f>
        <v/>
      </c>
      <c r="U290" s="7">
        <f>IF($V290="","",T290-R290-K290)</f>
        <v/>
      </c>
      <c r="V290" s="13">
        <f>IF(ROWS($V$2:$V290)&lt;=MAX('Per Line'!$AJ$2:$AJ$1501),MATCH(ROWS($V$2:$V290),'Per Line'!$AJ$2:$AJ$1501,0),"")</f>
        <v/>
      </c>
    </row>
    <row r="291">
      <c r="A291" s="12" t="n"/>
      <c r="B291">
        <f>IF($V291="","",INDEX('Per Line'!$A$2:$A$1501,$V291)&amp;"")</f>
        <v/>
      </c>
      <c r="C291">
        <f>IF($V291="","",INDEX('Per Line'!$C$2:$C$1501,$V291)&amp;"")</f>
        <v/>
      </c>
      <c r="D291" s="11">
        <f>IF($V291="","",INDEX('Per Line'!$S$2:$S$1501,$V291))</f>
        <v/>
      </c>
      <c r="E291">
        <f>IF($V291="","",INDEX('Per Line'!$F$2:$F$1501,$V291)&amp;"")</f>
        <v/>
      </c>
      <c r="F291">
        <f>IF($V291="","",INDEX('Per Line'!$L$2:$L$1501,$V291)&amp;"")</f>
        <v/>
      </c>
      <c r="G291">
        <f>IF($V291="","",INDEX('Per Line'!$O$2:$O$1501,$V291)&amp;"")</f>
        <v/>
      </c>
      <c r="H291">
        <f>IF($V291="","",INDEX('Per Line'!$P$2:$P$1501,$V291)&amp;"")</f>
        <v/>
      </c>
      <c r="I291">
        <f>IF($V291="","",INDEX('Per Line'!$N$2:$N$1501,$V291)&amp;"")</f>
        <v/>
      </c>
      <c r="J291">
        <f>IF($V291="","",INDEX('Per Line'!$Q$2:$Q$1501,$V291))</f>
        <v/>
      </c>
      <c r="K291" s="7">
        <f>IF($V291="","",J291*T291/100)</f>
        <v/>
      </c>
      <c r="L291">
        <f>IF($V291="","",Settings!$C$7)</f>
        <v/>
      </c>
      <c r="M291" s="7">
        <f>IF($V291="","",SUMIFS('Per Line'!$AC$2:$AC$1501,'Per Line'!$C$2:$C$1501,$C291,'Per Line'!$AK$2:$AK$1501,0))</f>
        <v/>
      </c>
      <c r="N291" s="7">
        <f>IF($V291="","",M291*L291)</f>
        <v/>
      </c>
      <c r="O291">
        <f>IF($V291="","",Settings!$C$6)</f>
        <v/>
      </c>
      <c r="P291" s="7">
        <f>IF($V291="","",SUMIFS('Per Line'!$AC$2:$AC$1501,'Per Line'!$C$2:$C$1501,$C291,'Per Line'!$AK$2:$AK$1501,1))</f>
        <v/>
      </c>
      <c r="Q291" s="7">
        <f>IF($V291="","",P291*O291)</f>
        <v/>
      </c>
      <c r="R291" s="7">
        <f>IF($V291="","",Q291+N291)</f>
        <v/>
      </c>
      <c r="S291" s="7">
        <f>IF($V291="","",T291-R291)</f>
        <v/>
      </c>
      <c r="T291" s="7">
        <f>IF($V291="","",M291+P291)</f>
        <v/>
      </c>
      <c r="U291" s="7">
        <f>IF($V291="","",T291-R291-K291)</f>
        <v/>
      </c>
      <c r="V291" s="13">
        <f>IF(ROWS($V$2:$V291)&lt;=MAX('Per Line'!$AJ$2:$AJ$1501),MATCH(ROWS($V$2:$V291),'Per Line'!$AJ$2:$AJ$1501,0),"")</f>
        <v/>
      </c>
    </row>
    <row r="292">
      <c r="A292" s="12" t="n"/>
      <c r="B292">
        <f>IF($V292="","",INDEX('Per Line'!$A$2:$A$1501,$V292)&amp;"")</f>
        <v/>
      </c>
      <c r="C292">
        <f>IF($V292="","",INDEX('Per Line'!$C$2:$C$1501,$V292)&amp;"")</f>
        <v/>
      </c>
      <c r="D292" s="11">
        <f>IF($V292="","",INDEX('Per Line'!$S$2:$S$1501,$V292))</f>
        <v/>
      </c>
      <c r="E292">
        <f>IF($V292="","",INDEX('Per Line'!$F$2:$F$1501,$V292)&amp;"")</f>
        <v/>
      </c>
      <c r="F292">
        <f>IF($V292="","",INDEX('Per Line'!$L$2:$L$1501,$V292)&amp;"")</f>
        <v/>
      </c>
      <c r="G292">
        <f>IF($V292="","",INDEX('Per Line'!$O$2:$O$1501,$V292)&amp;"")</f>
        <v/>
      </c>
      <c r="H292">
        <f>IF($V292="","",INDEX('Per Line'!$P$2:$P$1501,$V292)&amp;"")</f>
        <v/>
      </c>
      <c r="I292">
        <f>IF($V292="","",INDEX('Per Line'!$N$2:$N$1501,$V292)&amp;"")</f>
        <v/>
      </c>
      <c r="J292">
        <f>IF($V292="","",INDEX('Per Line'!$Q$2:$Q$1501,$V292))</f>
        <v/>
      </c>
      <c r="K292" s="7">
        <f>IF($V292="","",J292*T292/100)</f>
        <v/>
      </c>
      <c r="L292">
        <f>IF($V292="","",Settings!$C$7)</f>
        <v/>
      </c>
      <c r="M292" s="7">
        <f>IF($V292="","",SUMIFS('Per Line'!$AC$2:$AC$1501,'Per Line'!$C$2:$C$1501,$C292,'Per Line'!$AK$2:$AK$1501,0))</f>
        <v/>
      </c>
      <c r="N292" s="7">
        <f>IF($V292="","",M292*L292)</f>
        <v/>
      </c>
      <c r="O292">
        <f>IF($V292="","",Settings!$C$6)</f>
        <v/>
      </c>
      <c r="P292" s="7">
        <f>IF($V292="","",SUMIFS('Per Line'!$AC$2:$AC$1501,'Per Line'!$C$2:$C$1501,$C292,'Per Line'!$AK$2:$AK$1501,1))</f>
        <v/>
      </c>
      <c r="Q292" s="7">
        <f>IF($V292="","",P292*O292)</f>
        <v/>
      </c>
      <c r="R292" s="7">
        <f>IF($V292="","",Q292+N292)</f>
        <v/>
      </c>
      <c r="S292" s="7">
        <f>IF($V292="","",T292-R292)</f>
        <v/>
      </c>
      <c r="T292" s="7">
        <f>IF($V292="","",M292+P292)</f>
        <v/>
      </c>
      <c r="U292" s="7">
        <f>IF($V292="","",T292-R292-K292)</f>
        <v/>
      </c>
      <c r="V292" s="13">
        <f>IF(ROWS($V$2:$V292)&lt;=MAX('Per Line'!$AJ$2:$AJ$1501),MATCH(ROWS($V$2:$V292),'Per Line'!$AJ$2:$AJ$1501,0),"")</f>
        <v/>
      </c>
    </row>
    <row r="293">
      <c r="A293" s="12" t="n"/>
      <c r="B293">
        <f>IF($V293="","",INDEX('Per Line'!$A$2:$A$1501,$V293)&amp;"")</f>
        <v/>
      </c>
      <c r="C293">
        <f>IF($V293="","",INDEX('Per Line'!$C$2:$C$1501,$V293)&amp;"")</f>
        <v/>
      </c>
      <c r="D293" s="11">
        <f>IF($V293="","",INDEX('Per Line'!$S$2:$S$1501,$V293))</f>
        <v/>
      </c>
      <c r="E293">
        <f>IF($V293="","",INDEX('Per Line'!$F$2:$F$1501,$V293)&amp;"")</f>
        <v/>
      </c>
      <c r="F293">
        <f>IF($V293="","",INDEX('Per Line'!$L$2:$L$1501,$V293)&amp;"")</f>
        <v/>
      </c>
      <c r="G293">
        <f>IF($V293="","",INDEX('Per Line'!$O$2:$O$1501,$V293)&amp;"")</f>
        <v/>
      </c>
      <c r="H293">
        <f>IF($V293="","",INDEX('Per Line'!$P$2:$P$1501,$V293)&amp;"")</f>
        <v/>
      </c>
      <c r="I293">
        <f>IF($V293="","",INDEX('Per Line'!$N$2:$N$1501,$V293)&amp;"")</f>
        <v/>
      </c>
      <c r="J293">
        <f>IF($V293="","",INDEX('Per Line'!$Q$2:$Q$1501,$V293))</f>
        <v/>
      </c>
      <c r="K293" s="7">
        <f>IF($V293="","",J293*T293/100)</f>
        <v/>
      </c>
      <c r="L293">
        <f>IF($V293="","",Settings!$C$7)</f>
        <v/>
      </c>
      <c r="M293" s="7">
        <f>IF($V293="","",SUMIFS('Per Line'!$AC$2:$AC$1501,'Per Line'!$C$2:$C$1501,$C293,'Per Line'!$AK$2:$AK$1501,0))</f>
        <v/>
      </c>
      <c r="N293" s="7">
        <f>IF($V293="","",M293*L293)</f>
        <v/>
      </c>
      <c r="O293">
        <f>IF($V293="","",Settings!$C$6)</f>
        <v/>
      </c>
      <c r="P293" s="7">
        <f>IF($V293="","",SUMIFS('Per Line'!$AC$2:$AC$1501,'Per Line'!$C$2:$C$1501,$C293,'Per Line'!$AK$2:$AK$1501,1))</f>
        <v/>
      </c>
      <c r="Q293" s="7">
        <f>IF($V293="","",P293*O293)</f>
        <v/>
      </c>
      <c r="R293" s="7">
        <f>IF($V293="","",Q293+N293)</f>
        <v/>
      </c>
      <c r="S293" s="7">
        <f>IF($V293="","",T293-R293)</f>
        <v/>
      </c>
      <c r="T293" s="7">
        <f>IF($V293="","",M293+P293)</f>
        <v/>
      </c>
      <c r="U293" s="7">
        <f>IF($V293="","",T293-R293-K293)</f>
        <v/>
      </c>
      <c r="V293" s="13">
        <f>IF(ROWS($V$2:$V293)&lt;=MAX('Per Line'!$AJ$2:$AJ$1501),MATCH(ROWS($V$2:$V293),'Per Line'!$AJ$2:$AJ$1501,0),"")</f>
        <v/>
      </c>
    </row>
    <row r="294">
      <c r="A294" s="12" t="n"/>
      <c r="B294">
        <f>IF($V294="","",INDEX('Per Line'!$A$2:$A$1501,$V294)&amp;"")</f>
        <v/>
      </c>
      <c r="C294">
        <f>IF($V294="","",INDEX('Per Line'!$C$2:$C$1501,$V294)&amp;"")</f>
        <v/>
      </c>
      <c r="D294" s="11">
        <f>IF($V294="","",INDEX('Per Line'!$S$2:$S$1501,$V294))</f>
        <v/>
      </c>
      <c r="E294">
        <f>IF($V294="","",INDEX('Per Line'!$F$2:$F$1501,$V294)&amp;"")</f>
        <v/>
      </c>
      <c r="F294">
        <f>IF($V294="","",INDEX('Per Line'!$L$2:$L$1501,$V294)&amp;"")</f>
        <v/>
      </c>
      <c r="G294">
        <f>IF($V294="","",INDEX('Per Line'!$O$2:$O$1501,$V294)&amp;"")</f>
        <v/>
      </c>
      <c r="H294">
        <f>IF($V294="","",INDEX('Per Line'!$P$2:$P$1501,$V294)&amp;"")</f>
        <v/>
      </c>
      <c r="I294">
        <f>IF($V294="","",INDEX('Per Line'!$N$2:$N$1501,$V294)&amp;"")</f>
        <v/>
      </c>
      <c r="J294">
        <f>IF($V294="","",INDEX('Per Line'!$Q$2:$Q$1501,$V294))</f>
        <v/>
      </c>
      <c r="K294" s="7">
        <f>IF($V294="","",J294*T294/100)</f>
        <v/>
      </c>
      <c r="L294">
        <f>IF($V294="","",Settings!$C$7)</f>
        <v/>
      </c>
      <c r="M294" s="7">
        <f>IF($V294="","",SUMIFS('Per Line'!$AC$2:$AC$1501,'Per Line'!$C$2:$C$1501,$C294,'Per Line'!$AK$2:$AK$1501,0))</f>
        <v/>
      </c>
      <c r="N294" s="7">
        <f>IF($V294="","",M294*L294)</f>
        <v/>
      </c>
      <c r="O294">
        <f>IF($V294="","",Settings!$C$6)</f>
        <v/>
      </c>
      <c r="P294" s="7">
        <f>IF($V294="","",SUMIFS('Per Line'!$AC$2:$AC$1501,'Per Line'!$C$2:$C$1501,$C294,'Per Line'!$AK$2:$AK$1501,1))</f>
        <v/>
      </c>
      <c r="Q294" s="7">
        <f>IF($V294="","",P294*O294)</f>
        <v/>
      </c>
      <c r="R294" s="7">
        <f>IF($V294="","",Q294+N294)</f>
        <v/>
      </c>
      <c r="S294" s="7">
        <f>IF($V294="","",T294-R294)</f>
        <v/>
      </c>
      <c r="T294" s="7">
        <f>IF($V294="","",M294+P294)</f>
        <v/>
      </c>
      <c r="U294" s="7">
        <f>IF($V294="","",T294-R294-K294)</f>
        <v/>
      </c>
      <c r="V294" s="13">
        <f>IF(ROWS($V$2:$V294)&lt;=MAX('Per Line'!$AJ$2:$AJ$1501),MATCH(ROWS($V$2:$V294),'Per Line'!$AJ$2:$AJ$1501,0),"")</f>
        <v/>
      </c>
    </row>
    <row r="295">
      <c r="A295" s="12" t="n"/>
      <c r="B295">
        <f>IF($V295="","",INDEX('Per Line'!$A$2:$A$1501,$V295)&amp;"")</f>
        <v/>
      </c>
      <c r="C295">
        <f>IF($V295="","",INDEX('Per Line'!$C$2:$C$1501,$V295)&amp;"")</f>
        <v/>
      </c>
      <c r="D295" s="11">
        <f>IF($V295="","",INDEX('Per Line'!$S$2:$S$1501,$V295))</f>
        <v/>
      </c>
      <c r="E295">
        <f>IF($V295="","",INDEX('Per Line'!$F$2:$F$1501,$V295)&amp;"")</f>
        <v/>
      </c>
      <c r="F295">
        <f>IF($V295="","",INDEX('Per Line'!$L$2:$L$1501,$V295)&amp;"")</f>
        <v/>
      </c>
      <c r="G295">
        <f>IF($V295="","",INDEX('Per Line'!$O$2:$O$1501,$V295)&amp;"")</f>
        <v/>
      </c>
      <c r="H295">
        <f>IF($V295="","",INDEX('Per Line'!$P$2:$P$1501,$V295)&amp;"")</f>
        <v/>
      </c>
      <c r="I295">
        <f>IF($V295="","",INDEX('Per Line'!$N$2:$N$1501,$V295)&amp;"")</f>
        <v/>
      </c>
      <c r="J295">
        <f>IF($V295="","",INDEX('Per Line'!$Q$2:$Q$1501,$V295))</f>
        <v/>
      </c>
      <c r="K295" s="7">
        <f>IF($V295="","",J295*T295/100)</f>
        <v/>
      </c>
      <c r="L295">
        <f>IF($V295="","",Settings!$C$7)</f>
        <v/>
      </c>
      <c r="M295" s="7">
        <f>IF($V295="","",SUMIFS('Per Line'!$AC$2:$AC$1501,'Per Line'!$C$2:$C$1501,$C295,'Per Line'!$AK$2:$AK$1501,0))</f>
        <v/>
      </c>
      <c r="N295" s="7">
        <f>IF($V295="","",M295*L295)</f>
        <v/>
      </c>
      <c r="O295">
        <f>IF($V295="","",Settings!$C$6)</f>
        <v/>
      </c>
      <c r="P295" s="7">
        <f>IF($V295="","",SUMIFS('Per Line'!$AC$2:$AC$1501,'Per Line'!$C$2:$C$1501,$C295,'Per Line'!$AK$2:$AK$1501,1))</f>
        <v/>
      </c>
      <c r="Q295" s="7">
        <f>IF($V295="","",P295*O295)</f>
        <v/>
      </c>
      <c r="R295" s="7">
        <f>IF($V295="","",Q295+N295)</f>
        <v/>
      </c>
      <c r="S295" s="7">
        <f>IF($V295="","",T295-R295)</f>
        <v/>
      </c>
      <c r="T295" s="7">
        <f>IF($V295="","",M295+P295)</f>
        <v/>
      </c>
      <c r="U295" s="7">
        <f>IF($V295="","",T295-R295-K295)</f>
        <v/>
      </c>
      <c r="V295" s="13">
        <f>IF(ROWS($V$2:$V295)&lt;=MAX('Per Line'!$AJ$2:$AJ$1501),MATCH(ROWS($V$2:$V295),'Per Line'!$AJ$2:$AJ$1501,0),"")</f>
        <v/>
      </c>
    </row>
    <row r="296">
      <c r="A296" s="12" t="n"/>
      <c r="B296">
        <f>IF($V296="","",INDEX('Per Line'!$A$2:$A$1501,$V296)&amp;"")</f>
        <v/>
      </c>
      <c r="C296">
        <f>IF($V296="","",INDEX('Per Line'!$C$2:$C$1501,$V296)&amp;"")</f>
        <v/>
      </c>
      <c r="D296" s="11">
        <f>IF($V296="","",INDEX('Per Line'!$S$2:$S$1501,$V296))</f>
        <v/>
      </c>
      <c r="E296">
        <f>IF($V296="","",INDEX('Per Line'!$F$2:$F$1501,$V296)&amp;"")</f>
        <v/>
      </c>
      <c r="F296">
        <f>IF($V296="","",INDEX('Per Line'!$L$2:$L$1501,$V296)&amp;"")</f>
        <v/>
      </c>
      <c r="G296">
        <f>IF($V296="","",INDEX('Per Line'!$O$2:$O$1501,$V296)&amp;"")</f>
        <v/>
      </c>
      <c r="H296">
        <f>IF($V296="","",INDEX('Per Line'!$P$2:$P$1501,$V296)&amp;"")</f>
        <v/>
      </c>
      <c r="I296">
        <f>IF($V296="","",INDEX('Per Line'!$N$2:$N$1501,$V296)&amp;"")</f>
        <v/>
      </c>
      <c r="J296">
        <f>IF($V296="","",INDEX('Per Line'!$Q$2:$Q$1501,$V296))</f>
        <v/>
      </c>
      <c r="K296" s="7">
        <f>IF($V296="","",J296*T296/100)</f>
        <v/>
      </c>
      <c r="L296">
        <f>IF($V296="","",Settings!$C$7)</f>
        <v/>
      </c>
      <c r="M296" s="7">
        <f>IF($V296="","",SUMIFS('Per Line'!$AC$2:$AC$1501,'Per Line'!$C$2:$C$1501,$C296,'Per Line'!$AK$2:$AK$1501,0))</f>
        <v/>
      </c>
      <c r="N296" s="7">
        <f>IF($V296="","",M296*L296)</f>
        <v/>
      </c>
      <c r="O296">
        <f>IF($V296="","",Settings!$C$6)</f>
        <v/>
      </c>
      <c r="P296" s="7">
        <f>IF($V296="","",SUMIFS('Per Line'!$AC$2:$AC$1501,'Per Line'!$C$2:$C$1501,$C296,'Per Line'!$AK$2:$AK$1501,1))</f>
        <v/>
      </c>
      <c r="Q296" s="7">
        <f>IF($V296="","",P296*O296)</f>
        <v/>
      </c>
      <c r="R296" s="7">
        <f>IF($V296="","",Q296+N296)</f>
        <v/>
      </c>
      <c r="S296" s="7">
        <f>IF($V296="","",T296-R296)</f>
        <v/>
      </c>
      <c r="T296" s="7">
        <f>IF($V296="","",M296+P296)</f>
        <v/>
      </c>
      <c r="U296" s="7">
        <f>IF($V296="","",T296-R296-K296)</f>
        <v/>
      </c>
      <c r="V296" s="13">
        <f>IF(ROWS($V$2:$V296)&lt;=MAX('Per Line'!$AJ$2:$AJ$1501),MATCH(ROWS($V$2:$V296),'Per Line'!$AJ$2:$AJ$1501,0),"")</f>
        <v/>
      </c>
    </row>
    <row r="297">
      <c r="A297" s="12" t="n"/>
      <c r="B297">
        <f>IF($V297="","",INDEX('Per Line'!$A$2:$A$1501,$V297)&amp;"")</f>
        <v/>
      </c>
      <c r="C297">
        <f>IF($V297="","",INDEX('Per Line'!$C$2:$C$1501,$V297)&amp;"")</f>
        <v/>
      </c>
      <c r="D297" s="11">
        <f>IF($V297="","",INDEX('Per Line'!$S$2:$S$1501,$V297))</f>
        <v/>
      </c>
      <c r="E297">
        <f>IF($V297="","",INDEX('Per Line'!$F$2:$F$1501,$V297)&amp;"")</f>
        <v/>
      </c>
      <c r="F297">
        <f>IF($V297="","",INDEX('Per Line'!$L$2:$L$1501,$V297)&amp;"")</f>
        <v/>
      </c>
      <c r="G297">
        <f>IF($V297="","",INDEX('Per Line'!$O$2:$O$1501,$V297)&amp;"")</f>
        <v/>
      </c>
      <c r="H297">
        <f>IF($V297="","",INDEX('Per Line'!$P$2:$P$1501,$V297)&amp;"")</f>
        <v/>
      </c>
      <c r="I297">
        <f>IF($V297="","",INDEX('Per Line'!$N$2:$N$1501,$V297)&amp;"")</f>
        <v/>
      </c>
      <c r="J297">
        <f>IF($V297="","",INDEX('Per Line'!$Q$2:$Q$1501,$V297))</f>
        <v/>
      </c>
      <c r="K297" s="7">
        <f>IF($V297="","",J297*T297/100)</f>
        <v/>
      </c>
      <c r="L297">
        <f>IF($V297="","",Settings!$C$7)</f>
        <v/>
      </c>
      <c r="M297" s="7">
        <f>IF($V297="","",SUMIFS('Per Line'!$AC$2:$AC$1501,'Per Line'!$C$2:$C$1501,$C297,'Per Line'!$AK$2:$AK$1501,0))</f>
        <v/>
      </c>
      <c r="N297" s="7">
        <f>IF($V297="","",M297*L297)</f>
        <v/>
      </c>
      <c r="O297">
        <f>IF($V297="","",Settings!$C$6)</f>
        <v/>
      </c>
      <c r="P297" s="7">
        <f>IF($V297="","",SUMIFS('Per Line'!$AC$2:$AC$1501,'Per Line'!$C$2:$C$1501,$C297,'Per Line'!$AK$2:$AK$1501,1))</f>
        <v/>
      </c>
      <c r="Q297" s="7">
        <f>IF($V297="","",P297*O297)</f>
        <v/>
      </c>
      <c r="R297" s="7">
        <f>IF($V297="","",Q297+N297)</f>
        <v/>
      </c>
      <c r="S297" s="7">
        <f>IF($V297="","",T297-R297)</f>
        <v/>
      </c>
      <c r="T297" s="7">
        <f>IF($V297="","",M297+P297)</f>
        <v/>
      </c>
      <c r="U297" s="7">
        <f>IF($V297="","",T297-R297-K297)</f>
        <v/>
      </c>
      <c r="V297" s="13">
        <f>IF(ROWS($V$2:$V297)&lt;=MAX('Per Line'!$AJ$2:$AJ$1501),MATCH(ROWS($V$2:$V297),'Per Line'!$AJ$2:$AJ$1501,0),"")</f>
        <v/>
      </c>
    </row>
    <row r="298">
      <c r="A298" s="12" t="n"/>
      <c r="B298">
        <f>IF($V298="","",INDEX('Per Line'!$A$2:$A$1501,$V298)&amp;"")</f>
        <v/>
      </c>
      <c r="C298">
        <f>IF($V298="","",INDEX('Per Line'!$C$2:$C$1501,$V298)&amp;"")</f>
        <v/>
      </c>
      <c r="D298" s="11">
        <f>IF($V298="","",INDEX('Per Line'!$S$2:$S$1501,$V298))</f>
        <v/>
      </c>
      <c r="E298">
        <f>IF($V298="","",INDEX('Per Line'!$F$2:$F$1501,$V298)&amp;"")</f>
        <v/>
      </c>
      <c r="F298">
        <f>IF($V298="","",INDEX('Per Line'!$L$2:$L$1501,$V298)&amp;"")</f>
        <v/>
      </c>
      <c r="G298">
        <f>IF($V298="","",INDEX('Per Line'!$O$2:$O$1501,$V298)&amp;"")</f>
        <v/>
      </c>
      <c r="H298">
        <f>IF($V298="","",INDEX('Per Line'!$P$2:$P$1501,$V298)&amp;"")</f>
        <v/>
      </c>
      <c r="I298">
        <f>IF($V298="","",INDEX('Per Line'!$N$2:$N$1501,$V298)&amp;"")</f>
        <v/>
      </c>
      <c r="J298">
        <f>IF($V298="","",INDEX('Per Line'!$Q$2:$Q$1501,$V298))</f>
        <v/>
      </c>
      <c r="K298" s="7">
        <f>IF($V298="","",J298*T298/100)</f>
        <v/>
      </c>
      <c r="L298">
        <f>IF($V298="","",Settings!$C$7)</f>
        <v/>
      </c>
      <c r="M298" s="7">
        <f>IF($V298="","",SUMIFS('Per Line'!$AC$2:$AC$1501,'Per Line'!$C$2:$C$1501,$C298,'Per Line'!$AK$2:$AK$1501,0))</f>
        <v/>
      </c>
      <c r="N298" s="7">
        <f>IF($V298="","",M298*L298)</f>
        <v/>
      </c>
      <c r="O298">
        <f>IF($V298="","",Settings!$C$6)</f>
        <v/>
      </c>
      <c r="P298" s="7">
        <f>IF($V298="","",SUMIFS('Per Line'!$AC$2:$AC$1501,'Per Line'!$C$2:$C$1501,$C298,'Per Line'!$AK$2:$AK$1501,1))</f>
        <v/>
      </c>
      <c r="Q298" s="7">
        <f>IF($V298="","",P298*O298)</f>
        <v/>
      </c>
      <c r="R298" s="7">
        <f>IF($V298="","",Q298+N298)</f>
        <v/>
      </c>
      <c r="S298" s="7">
        <f>IF($V298="","",T298-R298)</f>
        <v/>
      </c>
      <c r="T298" s="7">
        <f>IF($V298="","",M298+P298)</f>
        <v/>
      </c>
      <c r="U298" s="7">
        <f>IF($V298="","",T298-R298-K298)</f>
        <v/>
      </c>
      <c r="V298" s="13">
        <f>IF(ROWS($V$2:$V298)&lt;=MAX('Per Line'!$AJ$2:$AJ$1501),MATCH(ROWS($V$2:$V298),'Per Line'!$AJ$2:$AJ$1501,0),"")</f>
        <v/>
      </c>
    </row>
    <row r="299">
      <c r="A299" s="12" t="n"/>
      <c r="B299">
        <f>IF($V299="","",INDEX('Per Line'!$A$2:$A$1501,$V299)&amp;"")</f>
        <v/>
      </c>
      <c r="C299">
        <f>IF($V299="","",INDEX('Per Line'!$C$2:$C$1501,$V299)&amp;"")</f>
        <v/>
      </c>
      <c r="D299" s="11">
        <f>IF($V299="","",INDEX('Per Line'!$S$2:$S$1501,$V299))</f>
        <v/>
      </c>
      <c r="E299">
        <f>IF($V299="","",INDEX('Per Line'!$F$2:$F$1501,$V299)&amp;"")</f>
        <v/>
      </c>
      <c r="F299">
        <f>IF($V299="","",INDEX('Per Line'!$L$2:$L$1501,$V299)&amp;"")</f>
        <v/>
      </c>
      <c r="G299">
        <f>IF($V299="","",INDEX('Per Line'!$O$2:$O$1501,$V299)&amp;"")</f>
        <v/>
      </c>
      <c r="H299">
        <f>IF($V299="","",INDEX('Per Line'!$P$2:$P$1501,$V299)&amp;"")</f>
        <v/>
      </c>
      <c r="I299">
        <f>IF($V299="","",INDEX('Per Line'!$N$2:$N$1501,$V299)&amp;"")</f>
        <v/>
      </c>
      <c r="J299">
        <f>IF($V299="","",INDEX('Per Line'!$Q$2:$Q$1501,$V299))</f>
        <v/>
      </c>
      <c r="K299" s="7">
        <f>IF($V299="","",J299*T299/100)</f>
        <v/>
      </c>
      <c r="L299">
        <f>IF($V299="","",Settings!$C$7)</f>
        <v/>
      </c>
      <c r="M299" s="7">
        <f>IF($V299="","",SUMIFS('Per Line'!$AC$2:$AC$1501,'Per Line'!$C$2:$C$1501,$C299,'Per Line'!$AK$2:$AK$1501,0))</f>
        <v/>
      </c>
      <c r="N299" s="7">
        <f>IF($V299="","",M299*L299)</f>
        <v/>
      </c>
      <c r="O299">
        <f>IF($V299="","",Settings!$C$6)</f>
        <v/>
      </c>
      <c r="P299" s="7">
        <f>IF($V299="","",SUMIFS('Per Line'!$AC$2:$AC$1501,'Per Line'!$C$2:$C$1501,$C299,'Per Line'!$AK$2:$AK$1501,1))</f>
        <v/>
      </c>
      <c r="Q299" s="7">
        <f>IF($V299="","",P299*O299)</f>
        <v/>
      </c>
      <c r="R299" s="7">
        <f>IF($V299="","",Q299+N299)</f>
        <v/>
      </c>
      <c r="S299" s="7">
        <f>IF($V299="","",T299-R299)</f>
        <v/>
      </c>
      <c r="T299" s="7">
        <f>IF($V299="","",M299+P299)</f>
        <v/>
      </c>
      <c r="U299" s="7">
        <f>IF($V299="","",T299-R299-K299)</f>
        <v/>
      </c>
      <c r="V299" s="13">
        <f>IF(ROWS($V$2:$V299)&lt;=MAX('Per Line'!$AJ$2:$AJ$1501),MATCH(ROWS($V$2:$V299),'Per Line'!$AJ$2:$AJ$1501,0),"")</f>
        <v/>
      </c>
    </row>
    <row r="300">
      <c r="A300" s="12" t="n"/>
      <c r="B300">
        <f>IF($V300="","",INDEX('Per Line'!$A$2:$A$1501,$V300)&amp;"")</f>
        <v/>
      </c>
      <c r="C300">
        <f>IF($V300="","",INDEX('Per Line'!$C$2:$C$1501,$V300)&amp;"")</f>
        <v/>
      </c>
      <c r="D300" s="11">
        <f>IF($V300="","",INDEX('Per Line'!$S$2:$S$1501,$V300))</f>
        <v/>
      </c>
      <c r="E300">
        <f>IF($V300="","",INDEX('Per Line'!$F$2:$F$1501,$V300)&amp;"")</f>
        <v/>
      </c>
      <c r="F300">
        <f>IF($V300="","",INDEX('Per Line'!$L$2:$L$1501,$V300)&amp;"")</f>
        <v/>
      </c>
      <c r="G300">
        <f>IF($V300="","",INDEX('Per Line'!$O$2:$O$1501,$V300)&amp;"")</f>
        <v/>
      </c>
      <c r="H300">
        <f>IF($V300="","",INDEX('Per Line'!$P$2:$P$1501,$V300)&amp;"")</f>
        <v/>
      </c>
      <c r="I300">
        <f>IF($V300="","",INDEX('Per Line'!$N$2:$N$1501,$V300)&amp;"")</f>
        <v/>
      </c>
      <c r="J300">
        <f>IF($V300="","",INDEX('Per Line'!$Q$2:$Q$1501,$V300))</f>
        <v/>
      </c>
      <c r="K300" s="7">
        <f>IF($V300="","",J300*T300/100)</f>
        <v/>
      </c>
      <c r="L300">
        <f>IF($V300="","",Settings!$C$7)</f>
        <v/>
      </c>
      <c r="M300" s="7">
        <f>IF($V300="","",SUMIFS('Per Line'!$AC$2:$AC$1501,'Per Line'!$C$2:$C$1501,$C300,'Per Line'!$AK$2:$AK$1501,0))</f>
        <v/>
      </c>
      <c r="N300" s="7">
        <f>IF($V300="","",M300*L300)</f>
        <v/>
      </c>
      <c r="O300">
        <f>IF($V300="","",Settings!$C$6)</f>
        <v/>
      </c>
      <c r="P300" s="7">
        <f>IF($V300="","",SUMIFS('Per Line'!$AC$2:$AC$1501,'Per Line'!$C$2:$C$1501,$C300,'Per Line'!$AK$2:$AK$1501,1))</f>
        <v/>
      </c>
      <c r="Q300" s="7">
        <f>IF($V300="","",P300*O300)</f>
        <v/>
      </c>
      <c r="R300" s="7">
        <f>IF($V300="","",Q300+N300)</f>
        <v/>
      </c>
      <c r="S300" s="7">
        <f>IF($V300="","",T300-R300)</f>
        <v/>
      </c>
      <c r="T300" s="7">
        <f>IF($V300="","",M300+P300)</f>
        <v/>
      </c>
      <c r="U300" s="7">
        <f>IF($V300="","",T300-R300-K300)</f>
        <v/>
      </c>
      <c r="V300" s="13">
        <f>IF(ROWS($V$2:$V300)&lt;=MAX('Per Line'!$AJ$2:$AJ$1501),MATCH(ROWS($V$2:$V300),'Per Line'!$AJ$2:$AJ$1501,0),"")</f>
        <v/>
      </c>
    </row>
    <row r="301">
      <c r="A301" s="12" t="n"/>
      <c r="B301">
        <f>IF($V301="","",INDEX('Per Line'!$A$2:$A$1501,$V301)&amp;"")</f>
        <v/>
      </c>
      <c r="C301">
        <f>IF($V301="","",INDEX('Per Line'!$C$2:$C$1501,$V301)&amp;"")</f>
        <v/>
      </c>
      <c r="D301" s="11">
        <f>IF($V301="","",INDEX('Per Line'!$S$2:$S$1501,$V301))</f>
        <v/>
      </c>
      <c r="E301">
        <f>IF($V301="","",INDEX('Per Line'!$F$2:$F$1501,$V301)&amp;"")</f>
        <v/>
      </c>
      <c r="F301">
        <f>IF($V301="","",INDEX('Per Line'!$L$2:$L$1501,$V301)&amp;"")</f>
        <v/>
      </c>
      <c r="G301">
        <f>IF($V301="","",INDEX('Per Line'!$O$2:$O$1501,$V301)&amp;"")</f>
        <v/>
      </c>
      <c r="H301">
        <f>IF($V301="","",INDEX('Per Line'!$P$2:$P$1501,$V301)&amp;"")</f>
        <v/>
      </c>
      <c r="I301">
        <f>IF($V301="","",INDEX('Per Line'!$N$2:$N$1501,$V301)&amp;"")</f>
        <v/>
      </c>
      <c r="J301">
        <f>IF($V301="","",INDEX('Per Line'!$Q$2:$Q$1501,$V301))</f>
        <v/>
      </c>
      <c r="K301" s="7">
        <f>IF($V301="","",J301*T301/100)</f>
        <v/>
      </c>
      <c r="L301">
        <f>IF($V301="","",Settings!$C$7)</f>
        <v/>
      </c>
      <c r="M301" s="7">
        <f>IF($V301="","",SUMIFS('Per Line'!$AC$2:$AC$1501,'Per Line'!$C$2:$C$1501,$C301,'Per Line'!$AK$2:$AK$1501,0))</f>
        <v/>
      </c>
      <c r="N301" s="7">
        <f>IF($V301="","",M301*L301)</f>
        <v/>
      </c>
      <c r="O301">
        <f>IF($V301="","",Settings!$C$6)</f>
        <v/>
      </c>
      <c r="P301" s="7">
        <f>IF($V301="","",SUMIFS('Per Line'!$AC$2:$AC$1501,'Per Line'!$C$2:$C$1501,$C301,'Per Line'!$AK$2:$AK$1501,1))</f>
        <v/>
      </c>
      <c r="Q301" s="7">
        <f>IF($V301="","",P301*O301)</f>
        <v/>
      </c>
      <c r="R301" s="7">
        <f>IF($V301="","",Q301+N301)</f>
        <v/>
      </c>
      <c r="S301" s="7">
        <f>IF($V301="","",T301-R301)</f>
        <v/>
      </c>
      <c r="T301" s="7">
        <f>IF($V301="","",M301+P301)</f>
        <v/>
      </c>
      <c r="U301" s="7">
        <f>IF($V301="","",T301-R301-K301)</f>
        <v/>
      </c>
      <c r="V301" s="13">
        <f>IF(ROWS($V$2:$V301)&lt;=MAX('Per Line'!$AJ$2:$AJ$1501),MATCH(ROWS($V$2:$V301),'Per Line'!$AJ$2:$AJ$1501,0),"")</f>
        <v/>
      </c>
    </row>
    <row r="302">
      <c r="A302" s="12" t="n"/>
      <c r="B302">
        <f>IF($V302="","",INDEX('Per Line'!$A$2:$A$1501,$V302)&amp;"")</f>
        <v/>
      </c>
      <c r="C302">
        <f>IF($V302="","",INDEX('Per Line'!$C$2:$C$1501,$V302)&amp;"")</f>
        <v/>
      </c>
      <c r="D302" s="11">
        <f>IF($V302="","",INDEX('Per Line'!$S$2:$S$1501,$V302))</f>
        <v/>
      </c>
      <c r="E302">
        <f>IF($V302="","",INDEX('Per Line'!$F$2:$F$1501,$V302)&amp;"")</f>
        <v/>
      </c>
      <c r="F302">
        <f>IF($V302="","",INDEX('Per Line'!$L$2:$L$1501,$V302)&amp;"")</f>
        <v/>
      </c>
      <c r="G302">
        <f>IF($V302="","",INDEX('Per Line'!$O$2:$O$1501,$V302)&amp;"")</f>
        <v/>
      </c>
      <c r="H302">
        <f>IF($V302="","",INDEX('Per Line'!$P$2:$P$1501,$V302)&amp;"")</f>
        <v/>
      </c>
      <c r="I302">
        <f>IF($V302="","",INDEX('Per Line'!$N$2:$N$1501,$V302)&amp;"")</f>
        <v/>
      </c>
      <c r="J302">
        <f>IF($V302="","",INDEX('Per Line'!$Q$2:$Q$1501,$V302))</f>
        <v/>
      </c>
      <c r="K302" s="7">
        <f>IF($V302="","",J302*T302/100)</f>
        <v/>
      </c>
      <c r="L302">
        <f>IF($V302="","",Settings!$C$7)</f>
        <v/>
      </c>
      <c r="M302" s="7">
        <f>IF($V302="","",SUMIFS('Per Line'!$AC$2:$AC$1501,'Per Line'!$C$2:$C$1501,$C302,'Per Line'!$AK$2:$AK$1501,0))</f>
        <v/>
      </c>
      <c r="N302" s="7">
        <f>IF($V302="","",M302*L302)</f>
        <v/>
      </c>
      <c r="O302">
        <f>IF($V302="","",Settings!$C$6)</f>
        <v/>
      </c>
      <c r="P302" s="7">
        <f>IF($V302="","",SUMIFS('Per Line'!$AC$2:$AC$1501,'Per Line'!$C$2:$C$1501,$C302,'Per Line'!$AK$2:$AK$1501,1))</f>
        <v/>
      </c>
      <c r="Q302" s="7">
        <f>IF($V302="","",P302*O302)</f>
        <v/>
      </c>
      <c r="R302" s="7">
        <f>IF($V302="","",Q302+N302)</f>
        <v/>
      </c>
      <c r="S302" s="7">
        <f>IF($V302="","",T302-R302)</f>
        <v/>
      </c>
      <c r="T302" s="7">
        <f>IF($V302="","",M302+P302)</f>
        <v/>
      </c>
      <c r="U302" s="7">
        <f>IF($V302="","",T302-R302-K302)</f>
        <v/>
      </c>
      <c r="V302" s="13">
        <f>IF(ROWS($V$2:$V302)&lt;=MAX('Per Line'!$AJ$2:$AJ$1501),MATCH(ROWS($V$2:$V302),'Per Line'!$AJ$2:$AJ$1501,0),"")</f>
        <v/>
      </c>
    </row>
    <row r="303">
      <c r="A303" s="12" t="n"/>
      <c r="B303">
        <f>IF($V303="","",INDEX('Per Line'!$A$2:$A$1501,$V303)&amp;"")</f>
        <v/>
      </c>
      <c r="C303">
        <f>IF($V303="","",INDEX('Per Line'!$C$2:$C$1501,$V303)&amp;"")</f>
        <v/>
      </c>
      <c r="D303" s="11">
        <f>IF($V303="","",INDEX('Per Line'!$S$2:$S$1501,$V303))</f>
        <v/>
      </c>
      <c r="E303">
        <f>IF($V303="","",INDEX('Per Line'!$F$2:$F$1501,$V303)&amp;"")</f>
        <v/>
      </c>
      <c r="F303">
        <f>IF($V303="","",INDEX('Per Line'!$L$2:$L$1501,$V303)&amp;"")</f>
        <v/>
      </c>
      <c r="G303">
        <f>IF($V303="","",INDEX('Per Line'!$O$2:$O$1501,$V303)&amp;"")</f>
        <v/>
      </c>
      <c r="H303">
        <f>IF($V303="","",INDEX('Per Line'!$P$2:$P$1501,$V303)&amp;"")</f>
        <v/>
      </c>
      <c r="I303">
        <f>IF($V303="","",INDEX('Per Line'!$N$2:$N$1501,$V303)&amp;"")</f>
        <v/>
      </c>
      <c r="J303">
        <f>IF($V303="","",INDEX('Per Line'!$Q$2:$Q$1501,$V303))</f>
        <v/>
      </c>
      <c r="K303" s="7">
        <f>IF($V303="","",J303*T303/100)</f>
        <v/>
      </c>
      <c r="L303">
        <f>IF($V303="","",Settings!$C$7)</f>
        <v/>
      </c>
      <c r="M303" s="7">
        <f>IF($V303="","",SUMIFS('Per Line'!$AC$2:$AC$1501,'Per Line'!$C$2:$C$1501,$C303,'Per Line'!$AK$2:$AK$1501,0))</f>
        <v/>
      </c>
      <c r="N303" s="7">
        <f>IF($V303="","",M303*L303)</f>
        <v/>
      </c>
      <c r="O303">
        <f>IF($V303="","",Settings!$C$6)</f>
        <v/>
      </c>
      <c r="P303" s="7">
        <f>IF($V303="","",SUMIFS('Per Line'!$AC$2:$AC$1501,'Per Line'!$C$2:$C$1501,$C303,'Per Line'!$AK$2:$AK$1501,1))</f>
        <v/>
      </c>
      <c r="Q303" s="7">
        <f>IF($V303="","",P303*O303)</f>
        <v/>
      </c>
      <c r="R303" s="7">
        <f>IF($V303="","",Q303+N303)</f>
        <v/>
      </c>
      <c r="S303" s="7">
        <f>IF($V303="","",T303-R303)</f>
        <v/>
      </c>
      <c r="T303" s="7">
        <f>IF($V303="","",M303+P303)</f>
        <v/>
      </c>
      <c r="U303" s="7">
        <f>IF($V303="","",T303-R303-K303)</f>
        <v/>
      </c>
      <c r="V303" s="13">
        <f>IF(ROWS($V$2:$V303)&lt;=MAX('Per Line'!$AJ$2:$AJ$1501),MATCH(ROWS($V$2:$V303),'Per Line'!$AJ$2:$AJ$1501,0),"")</f>
        <v/>
      </c>
    </row>
    <row r="304">
      <c r="A304" s="12" t="n"/>
      <c r="B304">
        <f>IF($V304="","",INDEX('Per Line'!$A$2:$A$1501,$V304)&amp;"")</f>
        <v/>
      </c>
      <c r="C304">
        <f>IF($V304="","",INDEX('Per Line'!$C$2:$C$1501,$V304)&amp;"")</f>
        <v/>
      </c>
      <c r="D304" s="11">
        <f>IF($V304="","",INDEX('Per Line'!$S$2:$S$1501,$V304))</f>
        <v/>
      </c>
      <c r="E304">
        <f>IF($V304="","",INDEX('Per Line'!$F$2:$F$1501,$V304)&amp;"")</f>
        <v/>
      </c>
      <c r="F304">
        <f>IF($V304="","",INDEX('Per Line'!$L$2:$L$1501,$V304)&amp;"")</f>
        <v/>
      </c>
      <c r="G304">
        <f>IF($V304="","",INDEX('Per Line'!$O$2:$O$1501,$V304)&amp;"")</f>
        <v/>
      </c>
      <c r="H304">
        <f>IF($V304="","",INDEX('Per Line'!$P$2:$P$1501,$V304)&amp;"")</f>
        <v/>
      </c>
      <c r="I304">
        <f>IF($V304="","",INDEX('Per Line'!$N$2:$N$1501,$V304)&amp;"")</f>
        <v/>
      </c>
      <c r="J304">
        <f>IF($V304="","",INDEX('Per Line'!$Q$2:$Q$1501,$V304))</f>
        <v/>
      </c>
      <c r="K304" s="7">
        <f>IF($V304="","",J304*T304/100)</f>
        <v/>
      </c>
      <c r="L304">
        <f>IF($V304="","",Settings!$C$7)</f>
        <v/>
      </c>
      <c r="M304" s="7">
        <f>IF($V304="","",SUMIFS('Per Line'!$AC$2:$AC$1501,'Per Line'!$C$2:$C$1501,$C304,'Per Line'!$AK$2:$AK$1501,0))</f>
        <v/>
      </c>
      <c r="N304" s="7">
        <f>IF($V304="","",M304*L304)</f>
        <v/>
      </c>
      <c r="O304">
        <f>IF($V304="","",Settings!$C$6)</f>
        <v/>
      </c>
      <c r="P304" s="7">
        <f>IF($V304="","",SUMIFS('Per Line'!$AC$2:$AC$1501,'Per Line'!$C$2:$C$1501,$C304,'Per Line'!$AK$2:$AK$1501,1))</f>
        <v/>
      </c>
      <c r="Q304" s="7">
        <f>IF($V304="","",P304*O304)</f>
        <v/>
      </c>
      <c r="R304" s="7">
        <f>IF($V304="","",Q304+N304)</f>
        <v/>
      </c>
      <c r="S304" s="7">
        <f>IF($V304="","",T304-R304)</f>
        <v/>
      </c>
      <c r="T304" s="7">
        <f>IF($V304="","",M304+P304)</f>
        <v/>
      </c>
      <c r="U304" s="7">
        <f>IF($V304="","",T304-R304-K304)</f>
        <v/>
      </c>
      <c r="V304" s="13">
        <f>IF(ROWS($V$2:$V304)&lt;=MAX('Per Line'!$AJ$2:$AJ$1501),MATCH(ROWS($V$2:$V304),'Per Line'!$AJ$2:$AJ$1501,0),"")</f>
        <v/>
      </c>
    </row>
    <row r="305">
      <c r="A305" s="12" t="n"/>
      <c r="B305">
        <f>IF($V305="","",INDEX('Per Line'!$A$2:$A$1501,$V305)&amp;"")</f>
        <v/>
      </c>
      <c r="C305">
        <f>IF($V305="","",INDEX('Per Line'!$C$2:$C$1501,$V305)&amp;"")</f>
        <v/>
      </c>
      <c r="D305" s="11">
        <f>IF($V305="","",INDEX('Per Line'!$S$2:$S$1501,$V305))</f>
        <v/>
      </c>
      <c r="E305">
        <f>IF($V305="","",INDEX('Per Line'!$F$2:$F$1501,$V305)&amp;"")</f>
        <v/>
      </c>
      <c r="F305">
        <f>IF($V305="","",INDEX('Per Line'!$L$2:$L$1501,$V305)&amp;"")</f>
        <v/>
      </c>
      <c r="G305">
        <f>IF($V305="","",INDEX('Per Line'!$O$2:$O$1501,$V305)&amp;"")</f>
        <v/>
      </c>
      <c r="H305">
        <f>IF($V305="","",INDEX('Per Line'!$P$2:$P$1501,$V305)&amp;"")</f>
        <v/>
      </c>
      <c r="I305">
        <f>IF($V305="","",INDEX('Per Line'!$N$2:$N$1501,$V305)&amp;"")</f>
        <v/>
      </c>
      <c r="J305">
        <f>IF($V305="","",INDEX('Per Line'!$Q$2:$Q$1501,$V305))</f>
        <v/>
      </c>
      <c r="K305" s="7">
        <f>IF($V305="","",J305*T305/100)</f>
        <v/>
      </c>
      <c r="L305">
        <f>IF($V305="","",Settings!$C$7)</f>
        <v/>
      </c>
      <c r="M305" s="7">
        <f>IF($V305="","",SUMIFS('Per Line'!$AC$2:$AC$1501,'Per Line'!$C$2:$C$1501,$C305,'Per Line'!$AK$2:$AK$1501,0))</f>
        <v/>
      </c>
      <c r="N305" s="7">
        <f>IF($V305="","",M305*L305)</f>
        <v/>
      </c>
      <c r="O305">
        <f>IF($V305="","",Settings!$C$6)</f>
        <v/>
      </c>
      <c r="P305" s="7">
        <f>IF($V305="","",SUMIFS('Per Line'!$AC$2:$AC$1501,'Per Line'!$C$2:$C$1501,$C305,'Per Line'!$AK$2:$AK$1501,1))</f>
        <v/>
      </c>
      <c r="Q305" s="7">
        <f>IF($V305="","",P305*O305)</f>
        <v/>
      </c>
      <c r="R305" s="7">
        <f>IF($V305="","",Q305+N305)</f>
        <v/>
      </c>
      <c r="S305" s="7">
        <f>IF($V305="","",T305-R305)</f>
        <v/>
      </c>
      <c r="T305" s="7">
        <f>IF($V305="","",M305+P305)</f>
        <v/>
      </c>
      <c r="U305" s="7">
        <f>IF($V305="","",T305-R305-K305)</f>
        <v/>
      </c>
      <c r="V305" s="13">
        <f>IF(ROWS($V$2:$V305)&lt;=MAX('Per Line'!$AJ$2:$AJ$1501),MATCH(ROWS($V$2:$V305),'Per Line'!$AJ$2:$AJ$1501,0),"")</f>
        <v/>
      </c>
    </row>
    <row r="306">
      <c r="A306" s="12" t="n"/>
      <c r="B306">
        <f>IF($V306="","",INDEX('Per Line'!$A$2:$A$1501,$V306)&amp;"")</f>
        <v/>
      </c>
      <c r="C306">
        <f>IF($V306="","",INDEX('Per Line'!$C$2:$C$1501,$V306)&amp;"")</f>
        <v/>
      </c>
      <c r="D306" s="11">
        <f>IF($V306="","",INDEX('Per Line'!$S$2:$S$1501,$V306))</f>
        <v/>
      </c>
      <c r="E306">
        <f>IF($V306="","",INDEX('Per Line'!$F$2:$F$1501,$V306)&amp;"")</f>
        <v/>
      </c>
      <c r="F306">
        <f>IF($V306="","",INDEX('Per Line'!$L$2:$L$1501,$V306)&amp;"")</f>
        <v/>
      </c>
      <c r="G306">
        <f>IF($V306="","",INDEX('Per Line'!$O$2:$O$1501,$V306)&amp;"")</f>
        <v/>
      </c>
      <c r="H306">
        <f>IF($V306="","",INDEX('Per Line'!$P$2:$P$1501,$V306)&amp;"")</f>
        <v/>
      </c>
      <c r="I306">
        <f>IF($V306="","",INDEX('Per Line'!$N$2:$N$1501,$V306)&amp;"")</f>
        <v/>
      </c>
      <c r="J306">
        <f>IF($V306="","",INDEX('Per Line'!$Q$2:$Q$1501,$V306))</f>
        <v/>
      </c>
      <c r="K306" s="7">
        <f>IF($V306="","",J306*T306/100)</f>
        <v/>
      </c>
      <c r="L306">
        <f>IF($V306="","",Settings!$C$7)</f>
        <v/>
      </c>
      <c r="M306" s="7">
        <f>IF($V306="","",SUMIFS('Per Line'!$AC$2:$AC$1501,'Per Line'!$C$2:$C$1501,$C306,'Per Line'!$AK$2:$AK$1501,0))</f>
        <v/>
      </c>
      <c r="N306" s="7">
        <f>IF($V306="","",M306*L306)</f>
        <v/>
      </c>
      <c r="O306">
        <f>IF($V306="","",Settings!$C$6)</f>
        <v/>
      </c>
      <c r="P306" s="7">
        <f>IF($V306="","",SUMIFS('Per Line'!$AC$2:$AC$1501,'Per Line'!$C$2:$C$1501,$C306,'Per Line'!$AK$2:$AK$1501,1))</f>
        <v/>
      </c>
      <c r="Q306" s="7">
        <f>IF($V306="","",P306*O306)</f>
        <v/>
      </c>
      <c r="R306" s="7">
        <f>IF($V306="","",Q306+N306)</f>
        <v/>
      </c>
      <c r="S306" s="7">
        <f>IF($V306="","",T306-R306)</f>
        <v/>
      </c>
      <c r="T306" s="7">
        <f>IF($V306="","",M306+P306)</f>
        <v/>
      </c>
      <c r="U306" s="7">
        <f>IF($V306="","",T306-R306-K306)</f>
        <v/>
      </c>
      <c r="V306" s="13">
        <f>IF(ROWS($V$2:$V306)&lt;=MAX('Per Line'!$AJ$2:$AJ$1501),MATCH(ROWS($V$2:$V306),'Per Line'!$AJ$2:$AJ$1501,0),"")</f>
        <v/>
      </c>
    </row>
    <row r="307">
      <c r="A307" s="12" t="n"/>
      <c r="B307">
        <f>IF($V307="","",INDEX('Per Line'!$A$2:$A$1501,$V307)&amp;"")</f>
        <v/>
      </c>
      <c r="C307">
        <f>IF($V307="","",INDEX('Per Line'!$C$2:$C$1501,$V307)&amp;"")</f>
        <v/>
      </c>
      <c r="D307" s="11">
        <f>IF($V307="","",INDEX('Per Line'!$S$2:$S$1501,$V307))</f>
        <v/>
      </c>
      <c r="E307">
        <f>IF($V307="","",INDEX('Per Line'!$F$2:$F$1501,$V307)&amp;"")</f>
        <v/>
      </c>
      <c r="F307">
        <f>IF($V307="","",INDEX('Per Line'!$L$2:$L$1501,$V307)&amp;"")</f>
        <v/>
      </c>
      <c r="G307">
        <f>IF($V307="","",INDEX('Per Line'!$O$2:$O$1501,$V307)&amp;"")</f>
        <v/>
      </c>
      <c r="H307">
        <f>IF($V307="","",INDEX('Per Line'!$P$2:$P$1501,$V307)&amp;"")</f>
        <v/>
      </c>
      <c r="I307">
        <f>IF($V307="","",INDEX('Per Line'!$N$2:$N$1501,$V307)&amp;"")</f>
        <v/>
      </c>
      <c r="J307">
        <f>IF($V307="","",INDEX('Per Line'!$Q$2:$Q$1501,$V307))</f>
        <v/>
      </c>
      <c r="K307" s="7">
        <f>IF($V307="","",J307*T307/100)</f>
        <v/>
      </c>
      <c r="L307">
        <f>IF($V307="","",Settings!$C$7)</f>
        <v/>
      </c>
      <c r="M307" s="7">
        <f>IF($V307="","",SUMIFS('Per Line'!$AC$2:$AC$1501,'Per Line'!$C$2:$C$1501,$C307,'Per Line'!$AK$2:$AK$1501,0))</f>
        <v/>
      </c>
      <c r="N307" s="7">
        <f>IF($V307="","",M307*L307)</f>
        <v/>
      </c>
      <c r="O307">
        <f>IF($V307="","",Settings!$C$6)</f>
        <v/>
      </c>
      <c r="P307" s="7">
        <f>IF($V307="","",SUMIFS('Per Line'!$AC$2:$AC$1501,'Per Line'!$C$2:$C$1501,$C307,'Per Line'!$AK$2:$AK$1501,1))</f>
        <v/>
      </c>
      <c r="Q307" s="7">
        <f>IF($V307="","",P307*O307)</f>
        <v/>
      </c>
      <c r="R307" s="7">
        <f>IF($V307="","",Q307+N307)</f>
        <v/>
      </c>
      <c r="S307" s="7">
        <f>IF($V307="","",T307-R307)</f>
        <v/>
      </c>
      <c r="T307" s="7">
        <f>IF($V307="","",M307+P307)</f>
        <v/>
      </c>
      <c r="U307" s="7">
        <f>IF($V307="","",T307-R307-K307)</f>
        <v/>
      </c>
      <c r="V307" s="13">
        <f>IF(ROWS($V$2:$V307)&lt;=MAX('Per Line'!$AJ$2:$AJ$1501),MATCH(ROWS($V$2:$V307),'Per Line'!$AJ$2:$AJ$1501,0),"")</f>
        <v/>
      </c>
    </row>
    <row r="308">
      <c r="A308" s="12" t="n"/>
      <c r="B308">
        <f>IF($V308="","",INDEX('Per Line'!$A$2:$A$1501,$V308)&amp;"")</f>
        <v/>
      </c>
      <c r="C308">
        <f>IF($V308="","",INDEX('Per Line'!$C$2:$C$1501,$V308)&amp;"")</f>
        <v/>
      </c>
      <c r="D308" s="11">
        <f>IF($V308="","",INDEX('Per Line'!$S$2:$S$1501,$V308))</f>
        <v/>
      </c>
      <c r="E308">
        <f>IF($V308="","",INDEX('Per Line'!$F$2:$F$1501,$V308)&amp;"")</f>
        <v/>
      </c>
      <c r="F308">
        <f>IF($V308="","",INDEX('Per Line'!$L$2:$L$1501,$V308)&amp;"")</f>
        <v/>
      </c>
      <c r="G308">
        <f>IF($V308="","",INDEX('Per Line'!$O$2:$O$1501,$V308)&amp;"")</f>
        <v/>
      </c>
      <c r="H308">
        <f>IF($V308="","",INDEX('Per Line'!$P$2:$P$1501,$V308)&amp;"")</f>
        <v/>
      </c>
      <c r="I308">
        <f>IF($V308="","",INDEX('Per Line'!$N$2:$N$1501,$V308)&amp;"")</f>
        <v/>
      </c>
      <c r="J308">
        <f>IF($V308="","",INDEX('Per Line'!$Q$2:$Q$1501,$V308))</f>
        <v/>
      </c>
      <c r="K308" s="7">
        <f>IF($V308="","",J308*T308/100)</f>
        <v/>
      </c>
      <c r="L308">
        <f>IF($V308="","",Settings!$C$7)</f>
        <v/>
      </c>
      <c r="M308" s="7">
        <f>IF($V308="","",SUMIFS('Per Line'!$AC$2:$AC$1501,'Per Line'!$C$2:$C$1501,$C308,'Per Line'!$AK$2:$AK$1501,0))</f>
        <v/>
      </c>
      <c r="N308" s="7">
        <f>IF($V308="","",M308*L308)</f>
        <v/>
      </c>
      <c r="O308">
        <f>IF($V308="","",Settings!$C$6)</f>
        <v/>
      </c>
      <c r="P308" s="7">
        <f>IF($V308="","",SUMIFS('Per Line'!$AC$2:$AC$1501,'Per Line'!$C$2:$C$1501,$C308,'Per Line'!$AK$2:$AK$1501,1))</f>
        <v/>
      </c>
      <c r="Q308" s="7">
        <f>IF($V308="","",P308*O308)</f>
        <v/>
      </c>
      <c r="R308" s="7">
        <f>IF($V308="","",Q308+N308)</f>
        <v/>
      </c>
      <c r="S308" s="7">
        <f>IF($V308="","",T308-R308)</f>
        <v/>
      </c>
      <c r="T308" s="7">
        <f>IF($V308="","",M308+P308)</f>
        <v/>
      </c>
      <c r="U308" s="7">
        <f>IF($V308="","",T308-R308-K308)</f>
        <v/>
      </c>
      <c r="V308" s="13">
        <f>IF(ROWS($V$2:$V308)&lt;=MAX('Per Line'!$AJ$2:$AJ$1501),MATCH(ROWS($V$2:$V308),'Per Line'!$AJ$2:$AJ$1501,0),"")</f>
        <v/>
      </c>
    </row>
    <row r="309">
      <c r="A309" s="12" t="n"/>
      <c r="B309">
        <f>IF($V309="","",INDEX('Per Line'!$A$2:$A$1501,$V309)&amp;"")</f>
        <v/>
      </c>
      <c r="C309">
        <f>IF($V309="","",INDEX('Per Line'!$C$2:$C$1501,$V309)&amp;"")</f>
        <v/>
      </c>
      <c r="D309" s="11">
        <f>IF($V309="","",INDEX('Per Line'!$S$2:$S$1501,$V309))</f>
        <v/>
      </c>
      <c r="E309">
        <f>IF($V309="","",INDEX('Per Line'!$F$2:$F$1501,$V309)&amp;"")</f>
        <v/>
      </c>
      <c r="F309">
        <f>IF($V309="","",INDEX('Per Line'!$L$2:$L$1501,$V309)&amp;"")</f>
        <v/>
      </c>
      <c r="G309">
        <f>IF($V309="","",INDEX('Per Line'!$O$2:$O$1501,$V309)&amp;"")</f>
        <v/>
      </c>
      <c r="H309">
        <f>IF($V309="","",INDEX('Per Line'!$P$2:$P$1501,$V309)&amp;"")</f>
        <v/>
      </c>
      <c r="I309">
        <f>IF($V309="","",INDEX('Per Line'!$N$2:$N$1501,$V309)&amp;"")</f>
        <v/>
      </c>
      <c r="J309">
        <f>IF($V309="","",INDEX('Per Line'!$Q$2:$Q$1501,$V309))</f>
        <v/>
      </c>
      <c r="K309" s="7">
        <f>IF($V309="","",J309*T309/100)</f>
        <v/>
      </c>
      <c r="L309">
        <f>IF($V309="","",Settings!$C$7)</f>
        <v/>
      </c>
      <c r="M309" s="7">
        <f>IF($V309="","",SUMIFS('Per Line'!$AC$2:$AC$1501,'Per Line'!$C$2:$C$1501,$C309,'Per Line'!$AK$2:$AK$1501,0))</f>
        <v/>
      </c>
      <c r="N309" s="7">
        <f>IF($V309="","",M309*L309)</f>
        <v/>
      </c>
      <c r="O309">
        <f>IF($V309="","",Settings!$C$6)</f>
        <v/>
      </c>
      <c r="P309" s="7">
        <f>IF($V309="","",SUMIFS('Per Line'!$AC$2:$AC$1501,'Per Line'!$C$2:$C$1501,$C309,'Per Line'!$AK$2:$AK$1501,1))</f>
        <v/>
      </c>
      <c r="Q309" s="7">
        <f>IF($V309="","",P309*O309)</f>
        <v/>
      </c>
      <c r="R309" s="7">
        <f>IF($V309="","",Q309+N309)</f>
        <v/>
      </c>
      <c r="S309" s="7">
        <f>IF($V309="","",T309-R309)</f>
        <v/>
      </c>
      <c r="T309" s="7">
        <f>IF($V309="","",M309+P309)</f>
        <v/>
      </c>
      <c r="U309" s="7">
        <f>IF($V309="","",T309-R309-K309)</f>
        <v/>
      </c>
      <c r="V309" s="13">
        <f>IF(ROWS($V$2:$V309)&lt;=MAX('Per Line'!$AJ$2:$AJ$1501),MATCH(ROWS($V$2:$V309),'Per Line'!$AJ$2:$AJ$1501,0),"")</f>
        <v/>
      </c>
    </row>
    <row r="310">
      <c r="A310" s="12" t="n"/>
      <c r="B310">
        <f>IF($V310="","",INDEX('Per Line'!$A$2:$A$1501,$V310)&amp;"")</f>
        <v/>
      </c>
      <c r="C310">
        <f>IF($V310="","",INDEX('Per Line'!$C$2:$C$1501,$V310)&amp;"")</f>
        <v/>
      </c>
      <c r="D310" s="11">
        <f>IF($V310="","",INDEX('Per Line'!$S$2:$S$1501,$V310))</f>
        <v/>
      </c>
      <c r="E310">
        <f>IF($V310="","",INDEX('Per Line'!$F$2:$F$1501,$V310)&amp;"")</f>
        <v/>
      </c>
      <c r="F310">
        <f>IF($V310="","",INDEX('Per Line'!$L$2:$L$1501,$V310)&amp;"")</f>
        <v/>
      </c>
      <c r="G310">
        <f>IF($V310="","",INDEX('Per Line'!$O$2:$O$1501,$V310)&amp;"")</f>
        <v/>
      </c>
      <c r="H310">
        <f>IF($V310="","",INDEX('Per Line'!$P$2:$P$1501,$V310)&amp;"")</f>
        <v/>
      </c>
      <c r="I310">
        <f>IF($V310="","",INDEX('Per Line'!$N$2:$N$1501,$V310)&amp;"")</f>
        <v/>
      </c>
      <c r="J310">
        <f>IF($V310="","",INDEX('Per Line'!$Q$2:$Q$1501,$V310))</f>
        <v/>
      </c>
      <c r="K310" s="7">
        <f>IF($V310="","",J310*T310/100)</f>
        <v/>
      </c>
      <c r="L310">
        <f>IF($V310="","",Settings!$C$7)</f>
        <v/>
      </c>
      <c r="M310" s="7">
        <f>IF($V310="","",SUMIFS('Per Line'!$AC$2:$AC$1501,'Per Line'!$C$2:$C$1501,$C310,'Per Line'!$AK$2:$AK$1501,0))</f>
        <v/>
      </c>
      <c r="N310" s="7">
        <f>IF($V310="","",M310*L310)</f>
        <v/>
      </c>
      <c r="O310">
        <f>IF($V310="","",Settings!$C$6)</f>
        <v/>
      </c>
      <c r="P310" s="7">
        <f>IF($V310="","",SUMIFS('Per Line'!$AC$2:$AC$1501,'Per Line'!$C$2:$C$1501,$C310,'Per Line'!$AK$2:$AK$1501,1))</f>
        <v/>
      </c>
      <c r="Q310" s="7">
        <f>IF($V310="","",P310*O310)</f>
        <v/>
      </c>
      <c r="R310" s="7">
        <f>IF($V310="","",Q310+N310)</f>
        <v/>
      </c>
      <c r="S310" s="7">
        <f>IF($V310="","",T310-R310)</f>
        <v/>
      </c>
      <c r="T310" s="7">
        <f>IF($V310="","",M310+P310)</f>
        <v/>
      </c>
      <c r="U310" s="7">
        <f>IF($V310="","",T310-R310-K310)</f>
        <v/>
      </c>
      <c r="V310" s="13">
        <f>IF(ROWS($V$2:$V310)&lt;=MAX('Per Line'!$AJ$2:$AJ$1501),MATCH(ROWS($V$2:$V310),'Per Line'!$AJ$2:$AJ$1501,0),"")</f>
        <v/>
      </c>
    </row>
    <row r="311">
      <c r="A311" s="12" t="n"/>
      <c r="B311">
        <f>IF($V311="","",INDEX('Per Line'!$A$2:$A$1501,$V311)&amp;"")</f>
        <v/>
      </c>
      <c r="C311">
        <f>IF($V311="","",INDEX('Per Line'!$C$2:$C$1501,$V311)&amp;"")</f>
        <v/>
      </c>
      <c r="D311" s="11">
        <f>IF($V311="","",INDEX('Per Line'!$S$2:$S$1501,$V311))</f>
        <v/>
      </c>
      <c r="E311">
        <f>IF($V311="","",INDEX('Per Line'!$F$2:$F$1501,$V311)&amp;"")</f>
        <v/>
      </c>
      <c r="F311">
        <f>IF($V311="","",INDEX('Per Line'!$L$2:$L$1501,$V311)&amp;"")</f>
        <v/>
      </c>
      <c r="G311">
        <f>IF($V311="","",INDEX('Per Line'!$O$2:$O$1501,$V311)&amp;"")</f>
        <v/>
      </c>
      <c r="H311">
        <f>IF($V311="","",INDEX('Per Line'!$P$2:$P$1501,$V311)&amp;"")</f>
        <v/>
      </c>
      <c r="I311">
        <f>IF($V311="","",INDEX('Per Line'!$N$2:$N$1501,$V311)&amp;"")</f>
        <v/>
      </c>
      <c r="J311">
        <f>IF($V311="","",INDEX('Per Line'!$Q$2:$Q$1501,$V311))</f>
        <v/>
      </c>
      <c r="K311" s="7">
        <f>IF($V311="","",J311*T311/100)</f>
        <v/>
      </c>
      <c r="L311">
        <f>IF($V311="","",Settings!$C$7)</f>
        <v/>
      </c>
      <c r="M311" s="7">
        <f>IF($V311="","",SUMIFS('Per Line'!$AC$2:$AC$1501,'Per Line'!$C$2:$C$1501,$C311,'Per Line'!$AK$2:$AK$1501,0))</f>
        <v/>
      </c>
      <c r="N311" s="7">
        <f>IF($V311="","",M311*L311)</f>
        <v/>
      </c>
      <c r="O311">
        <f>IF($V311="","",Settings!$C$6)</f>
        <v/>
      </c>
      <c r="P311" s="7">
        <f>IF($V311="","",SUMIFS('Per Line'!$AC$2:$AC$1501,'Per Line'!$C$2:$C$1501,$C311,'Per Line'!$AK$2:$AK$1501,1))</f>
        <v/>
      </c>
      <c r="Q311" s="7">
        <f>IF($V311="","",P311*O311)</f>
        <v/>
      </c>
      <c r="R311" s="7">
        <f>IF($V311="","",Q311+N311)</f>
        <v/>
      </c>
      <c r="S311" s="7">
        <f>IF($V311="","",T311-R311)</f>
        <v/>
      </c>
      <c r="T311" s="7">
        <f>IF($V311="","",M311+P311)</f>
        <v/>
      </c>
      <c r="U311" s="7">
        <f>IF($V311="","",T311-R311-K311)</f>
        <v/>
      </c>
      <c r="V311" s="13">
        <f>IF(ROWS($V$2:$V311)&lt;=MAX('Per Line'!$AJ$2:$AJ$1501),MATCH(ROWS($V$2:$V311),'Per Line'!$AJ$2:$AJ$1501,0),"")</f>
        <v/>
      </c>
    </row>
    <row r="312">
      <c r="A312" s="12" t="n"/>
      <c r="B312">
        <f>IF($V312="","",INDEX('Per Line'!$A$2:$A$1501,$V312)&amp;"")</f>
        <v/>
      </c>
      <c r="C312">
        <f>IF($V312="","",INDEX('Per Line'!$C$2:$C$1501,$V312)&amp;"")</f>
        <v/>
      </c>
      <c r="D312" s="11">
        <f>IF($V312="","",INDEX('Per Line'!$S$2:$S$1501,$V312))</f>
        <v/>
      </c>
      <c r="E312">
        <f>IF($V312="","",INDEX('Per Line'!$F$2:$F$1501,$V312)&amp;"")</f>
        <v/>
      </c>
      <c r="F312">
        <f>IF($V312="","",INDEX('Per Line'!$L$2:$L$1501,$V312)&amp;"")</f>
        <v/>
      </c>
      <c r="G312">
        <f>IF($V312="","",INDEX('Per Line'!$O$2:$O$1501,$V312)&amp;"")</f>
        <v/>
      </c>
      <c r="H312">
        <f>IF($V312="","",INDEX('Per Line'!$P$2:$P$1501,$V312)&amp;"")</f>
        <v/>
      </c>
      <c r="I312">
        <f>IF($V312="","",INDEX('Per Line'!$N$2:$N$1501,$V312)&amp;"")</f>
        <v/>
      </c>
      <c r="J312">
        <f>IF($V312="","",INDEX('Per Line'!$Q$2:$Q$1501,$V312))</f>
        <v/>
      </c>
      <c r="K312" s="7">
        <f>IF($V312="","",J312*T312/100)</f>
        <v/>
      </c>
      <c r="L312">
        <f>IF($V312="","",Settings!$C$7)</f>
        <v/>
      </c>
      <c r="M312" s="7">
        <f>IF($V312="","",SUMIFS('Per Line'!$AC$2:$AC$1501,'Per Line'!$C$2:$C$1501,$C312,'Per Line'!$AK$2:$AK$1501,0))</f>
        <v/>
      </c>
      <c r="N312" s="7">
        <f>IF($V312="","",M312*L312)</f>
        <v/>
      </c>
      <c r="O312">
        <f>IF($V312="","",Settings!$C$6)</f>
        <v/>
      </c>
      <c r="P312" s="7">
        <f>IF($V312="","",SUMIFS('Per Line'!$AC$2:$AC$1501,'Per Line'!$C$2:$C$1501,$C312,'Per Line'!$AK$2:$AK$1501,1))</f>
        <v/>
      </c>
      <c r="Q312" s="7">
        <f>IF($V312="","",P312*O312)</f>
        <v/>
      </c>
      <c r="R312" s="7">
        <f>IF($V312="","",Q312+N312)</f>
        <v/>
      </c>
      <c r="S312" s="7">
        <f>IF($V312="","",T312-R312)</f>
        <v/>
      </c>
      <c r="T312" s="7">
        <f>IF($V312="","",M312+P312)</f>
        <v/>
      </c>
      <c r="U312" s="7">
        <f>IF($V312="","",T312-R312-K312)</f>
        <v/>
      </c>
      <c r="V312" s="13">
        <f>IF(ROWS($V$2:$V312)&lt;=MAX('Per Line'!$AJ$2:$AJ$1501),MATCH(ROWS($V$2:$V312),'Per Line'!$AJ$2:$AJ$1501,0),"")</f>
        <v/>
      </c>
    </row>
    <row r="313">
      <c r="A313" s="12" t="n"/>
      <c r="B313">
        <f>IF($V313="","",INDEX('Per Line'!$A$2:$A$1501,$V313)&amp;"")</f>
        <v/>
      </c>
      <c r="C313">
        <f>IF($V313="","",INDEX('Per Line'!$C$2:$C$1501,$V313)&amp;"")</f>
        <v/>
      </c>
      <c r="D313" s="11">
        <f>IF($V313="","",INDEX('Per Line'!$S$2:$S$1501,$V313))</f>
        <v/>
      </c>
      <c r="E313">
        <f>IF($V313="","",INDEX('Per Line'!$F$2:$F$1501,$V313)&amp;"")</f>
        <v/>
      </c>
      <c r="F313">
        <f>IF($V313="","",INDEX('Per Line'!$L$2:$L$1501,$V313)&amp;"")</f>
        <v/>
      </c>
      <c r="G313">
        <f>IF($V313="","",INDEX('Per Line'!$O$2:$O$1501,$V313)&amp;"")</f>
        <v/>
      </c>
      <c r="H313">
        <f>IF($V313="","",INDEX('Per Line'!$P$2:$P$1501,$V313)&amp;"")</f>
        <v/>
      </c>
      <c r="I313">
        <f>IF($V313="","",INDEX('Per Line'!$N$2:$N$1501,$V313)&amp;"")</f>
        <v/>
      </c>
      <c r="J313">
        <f>IF($V313="","",INDEX('Per Line'!$Q$2:$Q$1501,$V313))</f>
        <v/>
      </c>
      <c r="K313" s="7">
        <f>IF($V313="","",J313*T313/100)</f>
        <v/>
      </c>
      <c r="L313">
        <f>IF($V313="","",Settings!$C$7)</f>
        <v/>
      </c>
      <c r="M313" s="7">
        <f>IF($V313="","",SUMIFS('Per Line'!$AC$2:$AC$1501,'Per Line'!$C$2:$C$1501,$C313,'Per Line'!$AK$2:$AK$1501,0))</f>
        <v/>
      </c>
      <c r="N313" s="7">
        <f>IF($V313="","",M313*L313)</f>
        <v/>
      </c>
      <c r="O313">
        <f>IF($V313="","",Settings!$C$6)</f>
        <v/>
      </c>
      <c r="P313" s="7">
        <f>IF($V313="","",SUMIFS('Per Line'!$AC$2:$AC$1501,'Per Line'!$C$2:$C$1501,$C313,'Per Line'!$AK$2:$AK$1501,1))</f>
        <v/>
      </c>
      <c r="Q313" s="7">
        <f>IF($V313="","",P313*O313)</f>
        <v/>
      </c>
      <c r="R313" s="7">
        <f>IF($V313="","",Q313+N313)</f>
        <v/>
      </c>
      <c r="S313" s="7">
        <f>IF($V313="","",T313-R313)</f>
        <v/>
      </c>
      <c r="T313" s="7">
        <f>IF($V313="","",M313+P313)</f>
        <v/>
      </c>
      <c r="U313" s="7">
        <f>IF($V313="","",T313-R313-K313)</f>
        <v/>
      </c>
      <c r="V313" s="13">
        <f>IF(ROWS($V$2:$V313)&lt;=MAX('Per Line'!$AJ$2:$AJ$1501),MATCH(ROWS($V$2:$V313),'Per Line'!$AJ$2:$AJ$1501,0),"")</f>
        <v/>
      </c>
    </row>
    <row r="314">
      <c r="A314" s="12" t="n"/>
      <c r="B314">
        <f>IF($V314="","",INDEX('Per Line'!$A$2:$A$1501,$V314)&amp;"")</f>
        <v/>
      </c>
      <c r="C314">
        <f>IF($V314="","",INDEX('Per Line'!$C$2:$C$1501,$V314)&amp;"")</f>
        <v/>
      </c>
      <c r="D314" s="11">
        <f>IF($V314="","",INDEX('Per Line'!$S$2:$S$1501,$V314))</f>
        <v/>
      </c>
      <c r="E314">
        <f>IF($V314="","",INDEX('Per Line'!$F$2:$F$1501,$V314)&amp;"")</f>
        <v/>
      </c>
      <c r="F314">
        <f>IF($V314="","",INDEX('Per Line'!$L$2:$L$1501,$V314)&amp;"")</f>
        <v/>
      </c>
      <c r="G314">
        <f>IF($V314="","",INDEX('Per Line'!$O$2:$O$1501,$V314)&amp;"")</f>
        <v/>
      </c>
      <c r="H314">
        <f>IF($V314="","",INDEX('Per Line'!$P$2:$P$1501,$V314)&amp;"")</f>
        <v/>
      </c>
      <c r="I314">
        <f>IF($V314="","",INDEX('Per Line'!$N$2:$N$1501,$V314)&amp;"")</f>
        <v/>
      </c>
      <c r="J314">
        <f>IF($V314="","",INDEX('Per Line'!$Q$2:$Q$1501,$V314))</f>
        <v/>
      </c>
      <c r="K314" s="7">
        <f>IF($V314="","",J314*T314/100)</f>
        <v/>
      </c>
      <c r="L314">
        <f>IF($V314="","",Settings!$C$7)</f>
        <v/>
      </c>
      <c r="M314" s="7">
        <f>IF($V314="","",SUMIFS('Per Line'!$AC$2:$AC$1501,'Per Line'!$C$2:$C$1501,$C314,'Per Line'!$AK$2:$AK$1501,0))</f>
        <v/>
      </c>
      <c r="N314" s="7">
        <f>IF($V314="","",M314*L314)</f>
        <v/>
      </c>
      <c r="O314">
        <f>IF($V314="","",Settings!$C$6)</f>
        <v/>
      </c>
      <c r="P314" s="7">
        <f>IF($V314="","",SUMIFS('Per Line'!$AC$2:$AC$1501,'Per Line'!$C$2:$C$1501,$C314,'Per Line'!$AK$2:$AK$1501,1))</f>
        <v/>
      </c>
      <c r="Q314" s="7">
        <f>IF($V314="","",P314*O314)</f>
        <v/>
      </c>
      <c r="R314" s="7">
        <f>IF($V314="","",Q314+N314)</f>
        <v/>
      </c>
      <c r="S314" s="7">
        <f>IF($V314="","",T314-R314)</f>
        <v/>
      </c>
      <c r="T314" s="7">
        <f>IF($V314="","",M314+P314)</f>
        <v/>
      </c>
      <c r="U314" s="7">
        <f>IF($V314="","",T314-R314-K314)</f>
        <v/>
      </c>
      <c r="V314" s="13">
        <f>IF(ROWS($V$2:$V314)&lt;=MAX('Per Line'!$AJ$2:$AJ$1501),MATCH(ROWS($V$2:$V314),'Per Line'!$AJ$2:$AJ$1501,0),"")</f>
        <v/>
      </c>
    </row>
    <row r="315">
      <c r="A315" s="12" t="n"/>
      <c r="B315">
        <f>IF($V315="","",INDEX('Per Line'!$A$2:$A$1501,$V315)&amp;"")</f>
        <v/>
      </c>
      <c r="C315">
        <f>IF($V315="","",INDEX('Per Line'!$C$2:$C$1501,$V315)&amp;"")</f>
        <v/>
      </c>
      <c r="D315" s="11">
        <f>IF($V315="","",INDEX('Per Line'!$S$2:$S$1501,$V315))</f>
        <v/>
      </c>
      <c r="E315">
        <f>IF($V315="","",INDEX('Per Line'!$F$2:$F$1501,$V315)&amp;"")</f>
        <v/>
      </c>
      <c r="F315">
        <f>IF($V315="","",INDEX('Per Line'!$L$2:$L$1501,$V315)&amp;"")</f>
        <v/>
      </c>
      <c r="G315">
        <f>IF($V315="","",INDEX('Per Line'!$O$2:$O$1501,$V315)&amp;"")</f>
        <v/>
      </c>
      <c r="H315">
        <f>IF($V315="","",INDEX('Per Line'!$P$2:$P$1501,$V315)&amp;"")</f>
        <v/>
      </c>
      <c r="I315">
        <f>IF($V315="","",INDEX('Per Line'!$N$2:$N$1501,$V315)&amp;"")</f>
        <v/>
      </c>
      <c r="J315">
        <f>IF($V315="","",INDEX('Per Line'!$Q$2:$Q$1501,$V315))</f>
        <v/>
      </c>
      <c r="K315" s="7">
        <f>IF($V315="","",J315*T315/100)</f>
        <v/>
      </c>
      <c r="L315">
        <f>IF($V315="","",Settings!$C$7)</f>
        <v/>
      </c>
      <c r="M315" s="7">
        <f>IF($V315="","",SUMIFS('Per Line'!$AC$2:$AC$1501,'Per Line'!$C$2:$C$1501,$C315,'Per Line'!$AK$2:$AK$1501,0))</f>
        <v/>
      </c>
      <c r="N315" s="7">
        <f>IF($V315="","",M315*L315)</f>
        <v/>
      </c>
      <c r="O315">
        <f>IF($V315="","",Settings!$C$6)</f>
        <v/>
      </c>
      <c r="P315" s="7">
        <f>IF($V315="","",SUMIFS('Per Line'!$AC$2:$AC$1501,'Per Line'!$C$2:$C$1501,$C315,'Per Line'!$AK$2:$AK$1501,1))</f>
        <v/>
      </c>
      <c r="Q315" s="7">
        <f>IF($V315="","",P315*O315)</f>
        <v/>
      </c>
      <c r="R315" s="7">
        <f>IF($V315="","",Q315+N315)</f>
        <v/>
      </c>
      <c r="S315" s="7">
        <f>IF($V315="","",T315-R315)</f>
        <v/>
      </c>
      <c r="T315" s="7">
        <f>IF($V315="","",M315+P315)</f>
        <v/>
      </c>
      <c r="U315" s="7">
        <f>IF($V315="","",T315-R315-K315)</f>
        <v/>
      </c>
      <c r="V315" s="13">
        <f>IF(ROWS($V$2:$V315)&lt;=MAX('Per Line'!$AJ$2:$AJ$1501),MATCH(ROWS($V$2:$V315),'Per Line'!$AJ$2:$AJ$1501,0),"")</f>
        <v/>
      </c>
    </row>
    <row r="316">
      <c r="A316" s="12" t="n"/>
      <c r="B316">
        <f>IF($V316="","",INDEX('Per Line'!$A$2:$A$1501,$V316)&amp;"")</f>
        <v/>
      </c>
      <c r="C316">
        <f>IF($V316="","",INDEX('Per Line'!$C$2:$C$1501,$V316)&amp;"")</f>
        <v/>
      </c>
      <c r="D316" s="11">
        <f>IF($V316="","",INDEX('Per Line'!$S$2:$S$1501,$V316))</f>
        <v/>
      </c>
      <c r="E316">
        <f>IF($V316="","",INDEX('Per Line'!$F$2:$F$1501,$V316)&amp;"")</f>
        <v/>
      </c>
      <c r="F316">
        <f>IF($V316="","",INDEX('Per Line'!$L$2:$L$1501,$V316)&amp;"")</f>
        <v/>
      </c>
      <c r="G316">
        <f>IF($V316="","",INDEX('Per Line'!$O$2:$O$1501,$V316)&amp;"")</f>
        <v/>
      </c>
      <c r="H316">
        <f>IF($V316="","",INDEX('Per Line'!$P$2:$P$1501,$V316)&amp;"")</f>
        <v/>
      </c>
      <c r="I316">
        <f>IF($V316="","",INDEX('Per Line'!$N$2:$N$1501,$V316)&amp;"")</f>
        <v/>
      </c>
      <c r="J316">
        <f>IF($V316="","",INDEX('Per Line'!$Q$2:$Q$1501,$V316))</f>
        <v/>
      </c>
      <c r="K316" s="7">
        <f>IF($V316="","",J316*T316/100)</f>
        <v/>
      </c>
      <c r="L316">
        <f>IF($V316="","",Settings!$C$7)</f>
        <v/>
      </c>
      <c r="M316" s="7">
        <f>IF($V316="","",SUMIFS('Per Line'!$AC$2:$AC$1501,'Per Line'!$C$2:$C$1501,$C316,'Per Line'!$AK$2:$AK$1501,0))</f>
        <v/>
      </c>
      <c r="N316" s="7">
        <f>IF($V316="","",M316*L316)</f>
        <v/>
      </c>
      <c r="O316">
        <f>IF($V316="","",Settings!$C$6)</f>
        <v/>
      </c>
      <c r="P316" s="7">
        <f>IF($V316="","",SUMIFS('Per Line'!$AC$2:$AC$1501,'Per Line'!$C$2:$C$1501,$C316,'Per Line'!$AK$2:$AK$1501,1))</f>
        <v/>
      </c>
      <c r="Q316" s="7">
        <f>IF($V316="","",P316*O316)</f>
        <v/>
      </c>
      <c r="R316" s="7">
        <f>IF($V316="","",Q316+N316)</f>
        <v/>
      </c>
      <c r="S316" s="7">
        <f>IF($V316="","",T316-R316)</f>
        <v/>
      </c>
      <c r="T316" s="7">
        <f>IF($V316="","",M316+P316)</f>
        <v/>
      </c>
      <c r="U316" s="7">
        <f>IF($V316="","",T316-R316-K316)</f>
        <v/>
      </c>
      <c r="V316" s="13">
        <f>IF(ROWS($V$2:$V316)&lt;=MAX('Per Line'!$AJ$2:$AJ$1501),MATCH(ROWS($V$2:$V316),'Per Line'!$AJ$2:$AJ$1501,0),"")</f>
        <v/>
      </c>
    </row>
    <row r="317">
      <c r="A317" s="12" t="n"/>
      <c r="B317">
        <f>IF($V317="","",INDEX('Per Line'!$A$2:$A$1501,$V317)&amp;"")</f>
        <v/>
      </c>
      <c r="C317">
        <f>IF($V317="","",INDEX('Per Line'!$C$2:$C$1501,$V317)&amp;"")</f>
        <v/>
      </c>
      <c r="D317" s="11">
        <f>IF($V317="","",INDEX('Per Line'!$S$2:$S$1501,$V317))</f>
        <v/>
      </c>
      <c r="E317">
        <f>IF($V317="","",INDEX('Per Line'!$F$2:$F$1501,$V317)&amp;"")</f>
        <v/>
      </c>
      <c r="F317">
        <f>IF($V317="","",INDEX('Per Line'!$L$2:$L$1501,$V317)&amp;"")</f>
        <v/>
      </c>
      <c r="G317">
        <f>IF($V317="","",INDEX('Per Line'!$O$2:$O$1501,$V317)&amp;"")</f>
        <v/>
      </c>
      <c r="H317">
        <f>IF($V317="","",INDEX('Per Line'!$P$2:$P$1501,$V317)&amp;"")</f>
        <v/>
      </c>
      <c r="I317">
        <f>IF($V317="","",INDEX('Per Line'!$N$2:$N$1501,$V317)&amp;"")</f>
        <v/>
      </c>
      <c r="J317">
        <f>IF($V317="","",INDEX('Per Line'!$Q$2:$Q$1501,$V317))</f>
        <v/>
      </c>
      <c r="K317" s="7">
        <f>IF($V317="","",J317*T317/100)</f>
        <v/>
      </c>
      <c r="L317">
        <f>IF($V317="","",Settings!$C$7)</f>
        <v/>
      </c>
      <c r="M317" s="7">
        <f>IF($V317="","",SUMIFS('Per Line'!$AC$2:$AC$1501,'Per Line'!$C$2:$C$1501,$C317,'Per Line'!$AK$2:$AK$1501,0))</f>
        <v/>
      </c>
      <c r="N317" s="7">
        <f>IF($V317="","",M317*L317)</f>
        <v/>
      </c>
      <c r="O317">
        <f>IF($V317="","",Settings!$C$6)</f>
        <v/>
      </c>
      <c r="P317" s="7">
        <f>IF($V317="","",SUMIFS('Per Line'!$AC$2:$AC$1501,'Per Line'!$C$2:$C$1501,$C317,'Per Line'!$AK$2:$AK$1501,1))</f>
        <v/>
      </c>
      <c r="Q317" s="7">
        <f>IF($V317="","",P317*O317)</f>
        <v/>
      </c>
      <c r="R317" s="7">
        <f>IF($V317="","",Q317+N317)</f>
        <v/>
      </c>
      <c r="S317" s="7">
        <f>IF($V317="","",T317-R317)</f>
        <v/>
      </c>
      <c r="T317" s="7">
        <f>IF($V317="","",M317+P317)</f>
        <v/>
      </c>
      <c r="U317" s="7">
        <f>IF($V317="","",T317-R317-K317)</f>
        <v/>
      </c>
      <c r="V317" s="13">
        <f>IF(ROWS($V$2:$V317)&lt;=MAX('Per Line'!$AJ$2:$AJ$1501),MATCH(ROWS($V$2:$V317),'Per Line'!$AJ$2:$AJ$1501,0),"")</f>
        <v/>
      </c>
    </row>
    <row r="318">
      <c r="A318" s="12" t="n"/>
      <c r="B318">
        <f>IF($V318="","",INDEX('Per Line'!$A$2:$A$1501,$V318)&amp;"")</f>
        <v/>
      </c>
      <c r="C318">
        <f>IF($V318="","",INDEX('Per Line'!$C$2:$C$1501,$V318)&amp;"")</f>
        <v/>
      </c>
      <c r="D318" s="11">
        <f>IF($V318="","",INDEX('Per Line'!$S$2:$S$1501,$V318))</f>
        <v/>
      </c>
      <c r="E318">
        <f>IF($V318="","",INDEX('Per Line'!$F$2:$F$1501,$V318)&amp;"")</f>
        <v/>
      </c>
      <c r="F318">
        <f>IF($V318="","",INDEX('Per Line'!$L$2:$L$1501,$V318)&amp;"")</f>
        <v/>
      </c>
      <c r="G318">
        <f>IF($V318="","",INDEX('Per Line'!$O$2:$O$1501,$V318)&amp;"")</f>
        <v/>
      </c>
      <c r="H318">
        <f>IF($V318="","",INDEX('Per Line'!$P$2:$P$1501,$V318)&amp;"")</f>
        <v/>
      </c>
      <c r="I318">
        <f>IF($V318="","",INDEX('Per Line'!$N$2:$N$1501,$V318)&amp;"")</f>
        <v/>
      </c>
      <c r="J318">
        <f>IF($V318="","",INDEX('Per Line'!$Q$2:$Q$1501,$V318))</f>
        <v/>
      </c>
      <c r="K318" s="7">
        <f>IF($V318="","",J318*T318/100)</f>
        <v/>
      </c>
      <c r="L318">
        <f>IF($V318="","",Settings!$C$7)</f>
        <v/>
      </c>
      <c r="M318" s="7">
        <f>IF($V318="","",SUMIFS('Per Line'!$AC$2:$AC$1501,'Per Line'!$C$2:$C$1501,$C318,'Per Line'!$AK$2:$AK$1501,0))</f>
        <v/>
      </c>
      <c r="N318" s="7">
        <f>IF($V318="","",M318*L318)</f>
        <v/>
      </c>
      <c r="O318">
        <f>IF($V318="","",Settings!$C$6)</f>
        <v/>
      </c>
      <c r="P318" s="7">
        <f>IF($V318="","",SUMIFS('Per Line'!$AC$2:$AC$1501,'Per Line'!$C$2:$C$1501,$C318,'Per Line'!$AK$2:$AK$1501,1))</f>
        <v/>
      </c>
      <c r="Q318" s="7">
        <f>IF($V318="","",P318*O318)</f>
        <v/>
      </c>
      <c r="R318" s="7">
        <f>IF($V318="","",Q318+N318)</f>
        <v/>
      </c>
      <c r="S318" s="7">
        <f>IF($V318="","",T318-R318)</f>
        <v/>
      </c>
      <c r="T318" s="7">
        <f>IF($V318="","",M318+P318)</f>
        <v/>
      </c>
      <c r="U318" s="7">
        <f>IF($V318="","",T318-R318-K318)</f>
        <v/>
      </c>
      <c r="V318" s="13">
        <f>IF(ROWS($V$2:$V318)&lt;=MAX('Per Line'!$AJ$2:$AJ$1501),MATCH(ROWS($V$2:$V318),'Per Line'!$AJ$2:$AJ$1501,0),"")</f>
        <v/>
      </c>
    </row>
    <row r="319">
      <c r="A319" s="12" t="n"/>
      <c r="B319">
        <f>IF($V319="","",INDEX('Per Line'!$A$2:$A$1501,$V319)&amp;"")</f>
        <v/>
      </c>
      <c r="C319">
        <f>IF($V319="","",INDEX('Per Line'!$C$2:$C$1501,$V319)&amp;"")</f>
        <v/>
      </c>
      <c r="D319" s="11">
        <f>IF($V319="","",INDEX('Per Line'!$S$2:$S$1501,$V319))</f>
        <v/>
      </c>
      <c r="E319">
        <f>IF($V319="","",INDEX('Per Line'!$F$2:$F$1501,$V319)&amp;"")</f>
        <v/>
      </c>
      <c r="F319">
        <f>IF($V319="","",INDEX('Per Line'!$L$2:$L$1501,$V319)&amp;"")</f>
        <v/>
      </c>
      <c r="G319">
        <f>IF($V319="","",INDEX('Per Line'!$O$2:$O$1501,$V319)&amp;"")</f>
        <v/>
      </c>
      <c r="H319">
        <f>IF($V319="","",INDEX('Per Line'!$P$2:$P$1501,$V319)&amp;"")</f>
        <v/>
      </c>
      <c r="I319">
        <f>IF($V319="","",INDEX('Per Line'!$N$2:$N$1501,$V319)&amp;"")</f>
        <v/>
      </c>
      <c r="J319">
        <f>IF($V319="","",INDEX('Per Line'!$Q$2:$Q$1501,$V319))</f>
        <v/>
      </c>
      <c r="K319" s="7">
        <f>IF($V319="","",J319*T319/100)</f>
        <v/>
      </c>
      <c r="L319">
        <f>IF($V319="","",Settings!$C$7)</f>
        <v/>
      </c>
      <c r="M319" s="7">
        <f>IF($V319="","",SUMIFS('Per Line'!$AC$2:$AC$1501,'Per Line'!$C$2:$C$1501,$C319,'Per Line'!$AK$2:$AK$1501,0))</f>
        <v/>
      </c>
      <c r="N319" s="7">
        <f>IF($V319="","",M319*L319)</f>
        <v/>
      </c>
      <c r="O319">
        <f>IF($V319="","",Settings!$C$6)</f>
        <v/>
      </c>
      <c r="P319" s="7">
        <f>IF($V319="","",SUMIFS('Per Line'!$AC$2:$AC$1501,'Per Line'!$C$2:$C$1501,$C319,'Per Line'!$AK$2:$AK$1501,1))</f>
        <v/>
      </c>
      <c r="Q319" s="7">
        <f>IF($V319="","",P319*O319)</f>
        <v/>
      </c>
      <c r="R319" s="7">
        <f>IF($V319="","",Q319+N319)</f>
        <v/>
      </c>
      <c r="S319" s="7">
        <f>IF($V319="","",T319-R319)</f>
        <v/>
      </c>
      <c r="T319" s="7">
        <f>IF($V319="","",M319+P319)</f>
        <v/>
      </c>
      <c r="U319" s="7">
        <f>IF($V319="","",T319-R319-K319)</f>
        <v/>
      </c>
      <c r="V319" s="13">
        <f>IF(ROWS($V$2:$V319)&lt;=MAX('Per Line'!$AJ$2:$AJ$1501),MATCH(ROWS($V$2:$V319),'Per Line'!$AJ$2:$AJ$1501,0),"")</f>
        <v/>
      </c>
    </row>
    <row r="320">
      <c r="A320" s="12" t="n"/>
      <c r="B320">
        <f>IF($V320="","",INDEX('Per Line'!$A$2:$A$1501,$V320)&amp;"")</f>
        <v/>
      </c>
      <c r="C320">
        <f>IF($V320="","",INDEX('Per Line'!$C$2:$C$1501,$V320)&amp;"")</f>
        <v/>
      </c>
      <c r="D320" s="11">
        <f>IF($V320="","",INDEX('Per Line'!$S$2:$S$1501,$V320))</f>
        <v/>
      </c>
      <c r="E320">
        <f>IF($V320="","",INDEX('Per Line'!$F$2:$F$1501,$V320)&amp;"")</f>
        <v/>
      </c>
      <c r="F320">
        <f>IF($V320="","",INDEX('Per Line'!$L$2:$L$1501,$V320)&amp;"")</f>
        <v/>
      </c>
      <c r="G320">
        <f>IF($V320="","",INDEX('Per Line'!$O$2:$O$1501,$V320)&amp;"")</f>
        <v/>
      </c>
      <c r="H320">
        <f>IF($V320="","",INDEX('Per Line'!$P$2:$P$1501,$V320)&amp;"")</f>
        <v/>
      </c>
      <c r="I320">
        <f>IF($V320="","",INDEX('Per Line'!$N$2:$N$1501,$V320)&amp;"")</f>
        <v/>
      </c>
      <c r="J320">
        <f>IF($V320="","",INDEX('Per Line'!$Q$2:$Q$1501,$V320))</f>
        <v/>
      </c>
      <c r="K320" s="7">
        <f>IF($V320="","",J320*T320/100)</f>
        <v/>
      </c>
      <c r="L320">
        <f>IF($V320="","",Settings!$C$7)</f>
        <v/>
      </c>
      <c r="M320" s="7">
        <f>IF($V320="","",SUMIFS('Per Line'!$AC$2:$AC$1501,'Per Line'!$C$2:$C$1501,$C320,'Per Line'!$AK$2:$AK$1501,0))</f>
        <v/>
      </c>
      <c r="N320" s="7">
        <f>IF($V320="","",M320*L320)</f>
        <v/>
      </c>
      <c r="O320">
        <f>IF($V320="","",Settings!$C$6)</f>
        <v/>
      </c>
      <c r="P320" s="7">
        <f>IF($V320="","",SUMIFS('Per Line'!$AC$2:$AC$1501,'Per Line'!$C$2:$C$1501,$C320,'Per Line'!$AK$2:$AK$1501,1))</f>
        <v/>
      </c>
      <c r="Q320" s="7">
        <f>IF($V320="","",P320*O320)</f>
        <v/>
      </c>
      <c r="R320" s="7">
        <f>IF($V320="","",Q320+N320)</f>
        <v/>
      </c>
      <c r="S320" s="7">
        <f>IF($V320="","",T320-R320)</f>
        <v/>
      </c>
      <c r="T320" s="7">
        <f>IF($V320="","",M320+P320)</f>
        <v/>
      </c>
      <c r="U320" s="7">
        <f>IF($V320="","",T320-R320-K320)</f>
        <v/>
      </c>
      <c r="V320" s="13">
        <f>IF(ROWS($V$2:$V320)&lt;=MAX('Per Line'!$AJ$2:$AJ$1501),MATCH(ROWS($V$2:$V320),'Per Line'!$AJ$2:$AJ$1501,0),"")</f>
        <v/>
      </c>
    </row>
    <row r="321">
      <c r="A321" s="12" t="n"/>
      <c r="B321">
        <f>IF($V321="","",INDEX('Per Line'!$A$2:$A$1501,$V321)&amp;"")</f>
        <v/>
      </c>
      <c r="C321">
        <f>IF($V321="","",INDEX('Per Line'!$C$2:$C$1501,$V321)&amp;"")</f>
        <v/>
      </c>
      <c r="D321" s="11">
        <f>IF($V321="","",INDEX('Per Line'!$S$2:$S$1501,$V321))</f>
        <v/>
      </c>
      <c r="E321">
        <f>IF($V321="","",INDEX('Per Line'!$F$2:$F$1501,$V321)&amp;"")</f>
        <v/>
      </c>
      <c r="F321">
        <f>IF($V321="","",INDEX('Per Line'!$L$2:$L$1501,$V321)&amp;"")</f>
        <v/>
      </c>
      <c r="G321">
        <f>IF($V321="","",INDEX('Per Line'!$O$2:$O$1501,$V321)&amp;"")</f>
        <v/>
      </c>
      <c r="H321">
        <f>IF($V321="","",INDEX('Per Line'!$P$2:$P$1501,$V321)&amp;"")</f>
        <v/>
      </c>
      <c r="I321">
        <f>IF($V321="","",INDEX('Per Line'!$N$2:$N$1501,$V321)&amp;"")</f>
        <v/>
      </c>
      <c r="J321">
        <f>IF($V321="","",INDEX('Per Line'!$Q$2:$Q$1501,$V321))</f>
        <v/>
      </c>
      <c r="K321" s="7">
        <f>IF($V321="","",J321*T321/100)</f>
        <v/>
      </c>
      <c r="L321">
        <f>IF($V321="","",Settings!$C$7)</f>
        <v/>
      </c>
      <c r="M321" s="7">
        <f>IF($V321="","",SUMIFS('Per Line'!$AC$2:$AC$1501,'Per Line'!$C$2:$C$1501,$C321,'Per Line'!$AK$2:$AK$1501,0))</f>
        <v/>
      </c>
      <c r="N321" s="7">
        <f>IF($V321="","",M321*L321)</f>
        <v/>
      </c>
      <c r="O321">
        <f>IF($V321="","",Settings!$C$6)</f>
        <v/>
      </c>
      <c r="P321" s="7">
        <f>IF($V321="","",SUMIFS('Per Line'!$AC$2:$AC$1501,'Per Line'!$C$2:$C$1501,$C321,'Per Line'!$AK$2:$AK$1501,1))</f>
        <v/>
      </c>
      <c r="Q321" s="7">
        <f>IF($V321="","",P321*O321)</f>
        <v/>
      </c>
      <c r="R321" s="7">
        <f>IF($V321="","",Q321+N321)</f>
        <v/>
      </c>
      <c r="S321" s="7">
        <f>IF($V321="","",T321-R321)</f>
        <v/>
      </c>
      <c r="T321" s="7">
        <f>IF($V321="","",M321+P321)</f>
        <v/>
      </c>
      <c r="U321" s="7">
        <f>IF($V321="","",T321-R321-K321)</f>
        <v/>
      </c>
      <c r="V321" s="13">
        <f>IF(ROWS($V$2:$V321)&lt;=MAX('Per Line'!$AJ$2:$AJ$1501),MATCH(ROWS($V$2:$V321),'Per Line'!$AJ$2:$AJ$1501,0),"")</f>
        <v/>
      </c>
    </row>
    <row r="322">
      <c r="A322" s="12" t="n"/>
      <c r="B322">
        <f>IF($V322="","",INDEX('Per Line'!$A$2:$A$1501,$V322)&amp;"")</f>
        <v/>
      </c>
      <c r="C322">
        <f>IF($V322="","",INDEX('Per Line'!$C$2:$C$1501,$V322)&amp;"")</f>
        <v/>
      </c>
      <c r="D322" s="11">
        <f>IF($V322="","",INDEX('Per Line'!$S$2:$S$1501,$V322))</f>
        <v/>
      </c>
      <c r="E322">
        <f>IF($V322="","",INDEX('Per Line'!$F$2:$F$1501,$V322)&amp;"")</f>
        <v/>
      </c>
      <c r="F322">
        <f>IF($V322="","",INDEX('Per Line'!$L$2:$L$1501,$V322)&amp;"")</f>
        <v/>
      </c>
      <c r="G322">
        <f>IF($V322="","",INDEX('Per Line'!$O$2:$O$1501,$V322)&amp;"")</f>
        <v/>
      </c>
      <c r="H322">
        <f>IF($V322="","",INDEX('Per Line'!$P$2:$P$1501,$V322)&amp;"")</f>
        <v/>
      </c>
      <c r="I322">
        <f>IF($V322="","",INDEX('Per Line'!$N$2:$N$1501,$V322)&amp;"")</f>
        <v/>
      </c>
      <c r="J322">
        <f>IF($V322="","",INDEX('Per Line'!$Q$2:$Q$1501,$V322))</f>
        <v/>
      </c>
      <c r="K322" s="7">
        <f>IF($V322="","",J322*T322/100)</f>
        <v/>
      </c>
      <c r="L322">
        <f>IF($V322="","",Settings!$C$7)</f>
        <v/>
      </c>
      <c r="M322" s="7">
        <f>IF($V322="","",SUMIFS('Per Line'!$AC$2:$AC$1501,'Per Line'!$C$2:$C$1501,$C322,'Per Line'!$AK$2:$AK$1501,0))</f>
        <v/>
      </c>
      <c r="N322" s="7">
        <f>IF($V322="","",M322*L322)</f>
        <v/>
      </c>
      <c r="O322">
        <f>IF($V322="","",Settings!$C$6)</f>
        <v/>
      </c>
      <c r="P322" s="7">
        <f>IF($V322="","",SUMIFS('Per Line'!$AC$2:$AC$1501,'Per Line'!$C$2:$C$1501,$C322,'Per Line'!$AK$2:$AK$1501,1))</f>
        <v/>
      </c>
      <c r="Q322" s="7">
        <f>IF($V322="","",P322*O322)</f>
        <v/>
      </c>
      <c r="R322" s="7">
        <f>IF($V322="","",Q322+N322)</f>
        <v/>
      </c>
      <c r="S322" s="7">
        <f>IF($V322="","",T322-R322)</f>
        <v/>
      </c>
      <c r="T322" s="7">
        <f>IF($V322="","",M322+P322)</f>
        <v/>
      </c>
      <c r="U322" s="7">
        <f>IF($V322="","",T322-R322-K322)</f>
        <v/>
      </c>
      <c r="V322" s="13">
        <f>IF(ROWS($V$2:$V322)&lt;=MAX('Per Line'!$AJ$2:$AJ$1501),MATCH(ROWS($V$2:$V322),'Per Line'!$AJ$2:$AJ$1501,0),"")</f>
        <v/>
      </c>
    </row>
    <row r="323">
      <c r="A323" s="12" t="n"/>
      <c r="B323">
        <f>IF($V323="","",INDEX('Per Line'!$A$2:$A$1501,$V323)&amp;"")</f>
        <v/>
      </c>
      <c r="C323">
        <f>IF($V323="","",INDEX('Per Line'!$C$2:$C$1501,$V323)&amp;"")</f>
        <v/>
      </c>
      <c r="D323" s="11">
        <f>IF($V323="","",INDEX('Per Line'!$S$2:$S$1501,$V323))</f>
        <v/>
      </c>
      <c r="E323">
        <f>IF($V323="","",INDEX('Per Line'!$F$2:$F$1501,$V323)&amp;"")</f>
        <v/>
      </c>
      <c r="F323">
        <f>IF($V323="","",INDEX('Per Line'!$L$2:$L$1501,$V323)&amp;"")</f>
        <v/>
      </c>
      <c r="G323">
        <f>IF($V323="","",INDEX('Per Line'!$O$2:$O$1501,$V323)&amp;"")</f>
        <v/>
      </c>
      <c r="H323">
        <f>IF($V323="","",INDEX('Per Line'!$P$2:$P$1501,$V323)&amp;"")</f>
        <v/>
      </c>
      <c r="I323">
        <f>IF($V323="","",INDEX('Per Line'!$N$2:$N$1501,$V323)&amp;"")</f>
        <v/>
      </c>
      <c r="J323">
        <f>IF($V323="","",INDEX('Per Line'!$Q$2:$Q$1501,$V323))</f>
        <v/>
      </c>
      <c r="K323" s="7">
        <f>IF($V323="","",J323*T323/100)</f>
        <v/>
      </c>
      <c r="L323">
        <f>IF($V323="","",Settings!$C$7)</f>
        <v/>
      </c>
      <c r="M323" s="7">
        <f>IF($V323="","",SUMIFS('Per Line'!$AC$2:$AC$1501,'Per Line'!$C$2:$C$1501,$C323,'Per Line'!$AK$2:$AK$1501,0))</f>
        <v/>
      </c>
      <c r="N323" s="7">
        <f>IF($V323="","",M323*L323)</f>
        <v/>
      </c>
      <c r="O323">
        <f>IF($V323="","",Settings!$C$6)</f>
        <v/>
      </c>
      <c r="P323" s="7">
        <f>IF($V323="","",SUMIFS('Per Line'!$AC$2:$AC$1501,'Per Line'!$C$2:$C$1501,$C323,'Per Line'!$AK$2:$AK$1501,1))</f>
        <v/>
      </c>
      <c r="Q323" s="7">
        <f>IF($V323="","",P323*O323)</f>
        <v/>
      </c>
      <c r="R323" s="7">
        <f>IF($V323="","",Q323+N323)</f>
        <v/>
      </c>
      <c r="S323" s="7">
        <f>IF($V323="","",T323-R323)</f>
        <v/>
      </c>
      <c r="T323" s="7">
        <f>IF($V323="","",M323+P323)</f>
        <v/>
      </c>
      <c r="U323" s="7">
        <f>IF($V323="","",T323-R323-K323)</f>
        <v/>
      </c>
      <c r="V323" s="13">
        <f>IF(ROWS($V$2:$V323)&lt;=MAX('Per Line'!$AJ$2:$AJ$1501),MATCH(ROWS($V$2:$V323),'Per Line'!$AJ$2:$AJ$1501,0),"")</f>
        <v/>
      </c>
    </row>
    <row r="324">
      <c r="A324" s="12" t="n"/>
      <c r="B324">
        <f>IF($V324="","",INDEX('Per Line'!$A$2:$A$1501,$V324)&amp;"")</f>
        <v/>
      </c>
      <c r="C324">
        <f>IF($V324="","",INDEX('Per Line'!$C$2:$C$1501,$V324)&amp;"")</f>
        <v/>
      </c>
      <c r="D324" s="11">
        <f>IF($V324="","",INDEX('Per Line'!$S$2:$S$1501,$V324))</f>
        <v/>
      </c>
      <c r="E324">
        <f>IF($V324="","",INDEX('Per Line'!$F$2:$F$1501,$V324)&amp;"")</f>
        <v/>
      </c>
      <c r="F324">
        <f>IF($V324="","",INDEX('Per Line'!$L$2:$L$1501,$V324)&amp;"")</f>
        <v/>
      </c>
      <c r="G324">
        <f>IF($V324="","",INDEX('Per Line'!$O$2:$O$1501,$V324)&amp;"")</f>
        <v/>
      </c>
      <c r="H324">
        <f>IF($V324="","",INDEX('Per Line'!$P$2:$P$1501,$V324)&amp;"")</f>
        <v/>
      </c>
      <c r="I324">
        <f>IF($V324="","",INDEX('Per Line'!$N$2:$N$1501,$V324)&amp;"")</f>
        <v/>
      </c>
      <c r="J324">
        <f>IF($V324="","",INDEX('Per Line'!$Q$2:$Q$1501,$V324))</f>
        <v/>
      </c>
      <c r="K324" s="7">
        <f>IF($V324="","",J324*T324/100)</f>
        <v/>
      </c>
      <c r="L324">
        <f>IF($V324="","",Settings!$C$7)</f>
        <v/>
      </c>
      <c r="M324" s="7">
        <f>IF($V324="","",SUMIFS('Per Line'!$AC$2:$AC$1501,'Per Line'!$C$2:$C$1501,$C324,'Per Line'!$AK$2:$AK$1501,0))</f>
        <v/>
      </c>
      <c r="N324" s="7">
        <f>IF($V324="","",M324*L324)</f>
        <v/>
      </c>
      <c r="O324">
        <f>IF($V324="","",Settings!$C$6)</f>
        <v/>
      </c>
      <c r="P324" s="7">
        <f>IF($V324="","",SUMIFS('Per Line'!$AC$2:$AC$1501,'Per Line'!$C$2:$C$1501,$C324,'Per Line'!$AK$2:$AK$1501,1))</f>
        <v/>
      </c>
      <c r="Q324" s="7">
        <f>IF($V324="","",P324*O324)</f>
        <v/>
      </c>
      <c r="R324" s="7">
        <f>IF($V324="","",Q324+N324)</f>
        <v/>
      </c>
      <c r="S324" s="7">
        <f>IF($V324="","",T324-R324)</f>
        <v/>
      </c>
      <c r="T324" s="7">
        <f>IF($V324="","",M324+P324)</f>
        <v/>
      </c>
      <c r="U324" s="7">
        <f>IF($V324="","",T324-R324-K324)</f>
        <v/>
      </c>
      <c r="V324" s="13">
        <f>IF(ROWS($V$2:$V324)&lt;=MAX('Per Line'!$AJ$2:$AJ$1501),MATCH(ROWS($V$2:$V324),'Per Line'!$AJ$2:$AJ$1501,0),"")</f>
        <v/>
      </c>
    </row>
    <row r="325">
      <c r="A325" s="12" t="n"/>
      <c r="B325">
        <f>IF($V325="","",INDEX('Per Line'!$A$2:$A$1501,$V325)&amp;"")</f>
        <v/>
      </c>
      <c r="C325">
        <f>IF($V325="","",INDEX('Per Line'!$C$2:$C$1501,$V325)&amp;"")</f>
        <v/>
      </c>
      <c r="D325" s="11">
        <f>IF($V325="","",INDEX('Per Line'!$S$2:$S$1501,$V325))</f>
        <v/>
      </c>
      <c r="E325">
        <f>IF($V325="","",INDEX('Per Line'!$F$2:$F$1501,$V325)&amp;"")</f>
        <v/>
      </c>
      <c r="F325">
        <f>IF($V325="","",INDEX('Per Line'!$L$2:$L$1501,$V325)&amp;"")</f>
        <v/>
      </c>
      <c r="G325">
        <f>IF($V325="","",INDEX('Per Line'!$O$2:$O$1501,$V325)&amp;"")</f>
        <v/>
      </c>
      <c r="H325">
        <f>IF($V325="","",INDEX('Per Line'!$P$2:$P$1501,$V325)&amp;"")</f>
        <v/>
      </c>
      <c r="I325">
        <f>IF($V325="","",INDEX('Per Line'!$N$2:$N$1501,$V325)&amp;"")</f>
        <v/>
      </c>
      <c r="J325">
        <f>IF($V325="","",INDEX('Per Line'!$Q$2:$Q$1501,$V325))</f>
        <v/>
      </c>
      <c r="K325" s="7">
        <f>IF($V325="","",J325*T325/100)</f>
        <v/>
      </c>
      <c r="L325">
        <f>IF($V325="","",Settings!$C$7)</f>
        <v/>
      </c>
      <c r="M325" s="7">
        <f>IF($V325="","",SUMIFS('Per Line'!$AC$2:$AC$1501,'Per Line'!$C$2:$C$1501,$C325,'Per Line'!$AK$2:$AK$1501,0))</f>
        <v/>
      </c>
      <c r="N325" s="7">
        <f>IF($V325="","",M325*L325)</f>
        <v/>
      </c>
      <c r="O325">
        <f>IF($V325="","",Settings!$C$6)</f>
        <v/>
      </c>
      <c r="P325" s="7">
        <f>IF($V325="","",SUMIFS('Per Line'!$AC$2:$AC$1501,'Per Line'!$C$2:$C$1501,$C325,'Per Line'!$AK$2:$AK$1501,1))</f>
        <v/>
      </c>
      <c r="Q325" s="7">
        <f>IF($V325="","",P325*O325)</f>
        <v/>
      </c>
      <c r="R325" s="7">
        <f>IF($V325="","",Q325+N325)</f>
        <v/>
      </c>
      <c r="S325" s="7">
        <f>IF($V325="","",T325-R325)</f>
        <v/>
      </c>
      <c r="T325" s="7">
        <f>IF($V325="","",M325+P325)</f>
        <v/>
      </c>
      <c r="U325" s="7">
        <f>IF($V325="","",T325-R325-K325)</f>
        <v/>
      </c>
      <c r="V325" s="13">
        <f>IF(ROWS($V$2:$V325)&lt;=MAX('Per Line'!$AJ$2:$AJ$1501),MATCH(ROWS($V$2:$V325),'Per Line'!$AJ$2:$AJ$1501,0),"")</f>
        <v/>
      </c>
    </row>
    <row r="326">
      <c r="A326" s="12" t="n"/>
      <c r="B326">
        <f>IF($V326="","",INDEX('Per Line'!$A$2:$A$1501,$V326)&amp;"")</f>
        <v/>
      </c>
      <c r="C326">
        <f>IF($V326="","",INDEX('Per Line'!$C$2:$C$1501,$V326)&amp;"")</f>
        <v/>
      </c>
      <c r="D326" s="11">
        <f>IF($V326="","",INDEX('Per Line'!$S$2:$S$1501,$V326))</f>
        <v/>
      </c>
      <c r="E326">
        <f>IF($V326="","",INDEX('Per Line'!$F$2:$F$1501,$V326)&amp;"")</f>
        <v/>
      </c>
      <c r="F326">
        <f>IF($V326="","",INDEX('Per Line'!$L$2:$L$1501,$V326)&amp;"")</f>
        <v/>
      </c>
      <c r="G326">
        <f>IF($V326="","",INDEX('Per Line'!$O$2:$O$1501,$V326)&amp;"")</f>
        <v/>
      </c>
      <c r="H326">
        <f>IF($V326="","",INDEX('Per Line'!$P$2:$P$1501,$V326)&amp;"")</f>
        <v/>
      </c>
      <c r="I326">
        <f>IF($V326="","",INDEX('Per Line'!$N$2:$N$1501,$V326)&amp;"")</f>
        <v/>
      </c>
      <c r="J326">
        <f>IF($V326="","",INDEX('Per Line'!$Q$2:$Q$1501,$V326))</f>
        <v/>
      </c>
      <c r="K326" s="7">
        <f>IF($V326="","",J326*T326/100)</f>
        <v/>
      </c>
      <c r="L326">
        <f>IF($V326="","",Settings!$C$7)</f>
        <v/>
      </c>
      <c r="M326" s="7">
        <f>IF($V326="","",SUMIFS('Per Line'!$AC$2:$AC$1501,'Per Line'!$C$2:$C$1501,$C326,'Per Line'!$AK$2:$AK$1501,0))</f>
        <v/>
      </c>
      <c r="N326" s="7">
        <f>IF($V326="","",M326*L326)</f>
        <v/>
      </c>
      <c r="O326">
        <f>IF($V326="","",Settings!$C$6)</f>
        <v/>
      </c>
      <c r="P326" s="7">
        <f>IF($V326="","",SUMIFS('Per Line'!$AC$2:$AC$1501,'Per Line'!$C$2:$C$1501,$C326,'Per Line'!$AK$2:$AK$1501,1))</f>
        <v/>
      </c>
      <c r="Q326" s="7">
        <f>IF($V326="","",P326*O326)</f>
        <v/>
      </c>
      <c r="R326" s="7">
        <f>IF($V326="","",Q326+N326)</f>
        <v/>
      </c>
      <c r="S326" s="7">
        <f>IF($V326="","",T326-R326)</f>
        <v/>
      </c>
      <c r="T326" s="7">
        <f>IF($V326="","",M326+P326)</f>
        <v/>
      </c>
      <c r="U326" s="7">
        <f>IF($V326="","",T326-R326-K326)</f>
        <v/>
      </c>
      <c r="V326" s="13">
        <f>IF(ROWS($V$2:$V326)&lt;=MAX('Per Line'!$AJ$2:$AJ$1501),MATCH(ROWS($V$2:$V326),'Per Line'!$AJ$2:$AJ$1501,0),"")</f>
        <v/>
      </c>
    </row>
    <row r="327">
      <c r="A327" s="12" t="n"/>
      <c r="B327">
        <f>IF($V327="","",INDEX('Per Line'!$A$2:$A$1501,$V327)&amp;"")</f>
        <v/>
      </c>
      <c r="C327">
        <f>IF($V327="","",INDEX('Per Line'!$C$2:$C$1501,$V327)&amp;"")</f>
        <v/>
      </c>
      <c r="D327" s="11">
        <f>IF($V327="","",INDEX('Per Line'!$S$2:$S$1501,$V327))</f>
        <v/>
      </c>
      <c r="E327">
        <f>IF($V327="","",INDEX('Per Line'!$F$2:$F$1501,$V327)&amp;"")</f>
        <v/>
      </c>
      <c r="F327">
        <f>IF($V327="","",INDEX('Per Line'!$L$2:$L$1501,$V327)&amp;"")</f>
        <v/>
      </c>
      <c r="G327">
        <f>IF($V327="","",INDEX('Per Line'!$O$2:$O$1501,$V327)&amp;"")</f>
        <v/>
      </c>
      <c r="H327">
        <f>IF($V327="","",INDEX('Per Line'!$P$2:$P$1501,$V327)&amp;"")</f>
        <v/>
      </c>
      <c r="I327">
        <f>IF($V327="","",INDEX('Per Line'!$N$2:$N$1501,$V327)&amp;"")</f>
        <v/>
      </c>
      <c r="J327">
        <f>IF($V327="","",INDEX('Per Line'!$Q$2:$Q$1501,$V327))</f>
        <v/>
      </c>
      <c r="K327" s="7">
        <f>IF($V327="","",J327*T327/100)</f>
        <v/>
      </c>
      <c r="L327">
        <f>IF($V327="","",Settings!$C$7)</f>
        <v/>
      </c>
      <c r="M327" s="7">
        <f>IF($V327="","",SUMIFS('Per Line'!$AC$2:$AC$1501,'Per Line'!$C$2:$C$1501,$C327,'Per Line'!$AK$2:$AK$1501,0))</f>
        <v/>
      </c>
      <c r="N327" s="7">
        <f>IF($V327="","",M327*L327)</f>
        <v/>
      </c>
      <c r="O327">
        <f>IF($V327="","",Settings!$C$6)</f>
        <v/>
      </c>
      <c r="P327" s="7">
        <f>IF($V327="","",SUMIFS('Per Line'!$AC$2:$AC$1501,'Per Line'!$C$2:$C$1501,$C327,'Per Line'!$AK$2:$AK$1501,1))</f>
        <v/>
      </c>
      <c r="Q327" s="7">
        <f>IF($V327="","",P327*O327)</f>
        <v/>
      </c>
      <c r="R327" s="7">
        <f>IF($V327="","",Q327+N327)</f>
        <v/>
      </c>
      <c r="S327" s="7">
        <f>IF($V327="","",T327-R327)</f>
        <v/>
      </c>
      <c r="T327" s="7">
        <f>IF($V327="","",M327+P327)</f>
        <v/>
      </c>
      <c r="U327" s="7">
        <f>IF($V327="","",T327-R327-K327)</f>
        <v/>
      </c>
      <c r="V327" s="13">
        <f>IF(ROWS($V$2:$V327)&lt;=MAX('Per Line'!$AJ$2:$AJ$1501),MATCH(ROWS($V$2:$V327),'Per Line'!$AJ$2:$AJ$1501,0),"")</f>
        <v/>
      </c>
    </row>
    <row r="328">
      <c r="A328" s="12" t="n"/>
      <c r="B328">
        <f>IF($V328="","",INDEX('Per Line'!$A$2:$A$1501,$V328)&amp;"")</f>
        <v/>
      </c>
      <c r="C328">
        <f>IF($V328="","",INDEX('Per Line'!$C$2:$C$1501,$V328)&amp;"")</f>
        <v/>
      </c>
      <c r="D328" s="11">
        <f>IF($V328="","",INDEX('Per Line'!$S$2:$S$1501,$V328))</f>
        <v/>
      </c>
      <c r="E328">
        <f>IF($V328="","",INDEX('Per Line'!$F$2:$F$1501,$V328)&amp;"")</f>
        <v/>
      </c>
      <c r="F328">
        <f>IF($V328="","",INDEX('Per Line'!$L$2:$L$1501,$V328)&amp;"")</f>
        <v/>
      </c>
      <c r="G328">
        <f>IF($V328="","",INDEX('Per Line'!$O$2:$O$1501,$V328)&amp;"")</f>
        <v/>
      </c>
      <c r="H328">
        <f>IF($V328="","",INDEX('Per Line'!$P$2:$P$1501,$V328)&amp;"")</f>
        <v/>
      </c>
      <c r="I328">
        <f>IF($V328="","",INDEX('Per Line'!$N$2:$N$1501,$V328)&amp;"")</f>
        <v/>
      </c>
      <c r="J328">
        <f>IF($V328="","",INDEX('Per Line'!$Q$2:$Q$1501,$V328))</f>
        <v/>
      </c>
      <c r="K328" s="7">
        <f>IF($V328="","",J328*T328/100)</f>
        <v/>
      </c>
      <c r="L328">
        <f>IF($V328="","",Settings!$C$7)</f>
        <v/>
      </c>
      <c r="M328" s="7">
        <f>IF($V328="","",SUMIFS('Per Line'!$AC$2:$AC$1501,'Per Line'!$C$2:$C$1501,$C328,'Per Line'!$AK$2:$AK$1501,0))</f>
        <v/>
      </c>
      <c r="N328" s="7">
        <f>IF($V328="","",M328*L328)</f>
        <v/>
      </c>
      <c r="O328">
        <f>IF($V328="","",Settings!$C$6)</f>
        <v/>
      </c>
      <c r="P328" s="7">
        <f>IF($V328="","",SUMIFS('Per Line'!$AC$2:$AC$1501,'Per Line'!$C$2:$C$1501,$C328,'Per Line'!$AK$2:$AK$1501,1))</f>
        <v/>
      </c>
      <c r="Q328" s="7">
        <f>IF($V328="","",P328*O328)</f>
        <v/>
      </c>
      <c r="R328" s="7">
        <f>IF($V328="","",Q328+N328)</f>
        <v/>
      </c>
      <c r="S328" s="7">
        <f>IF($V328="","",T328-R328)</f>
        <v/>
      </c>
      <c r="T328" s="7">
        <f>IF($V328="","",M328+P328)</f>
        <v/>
      </c>
      <c r="U328" s="7">
        <f>IF($V328="","",T328-R328-K328)</f>
        <v/>
      </c>
      <c r="V328" s="13">
        <f>IF(ROWS($V$2:$V328)&lt;=MAX('Per Line'!$AJ$2:$AJ$1501),MATCH(ROWS($V$2:$V328),'Per Line'!$AJ$2:$AJ$1501,0),"")</f>
        <v/>
      </c>
    </row>
    <row r="329">
      <c r="A329" s="12" t="n"/>
      <c r="B329">
        <f>IF($V329="","",INDEX('Per Line'!$A$2:$A$1501,$V329)&amp;"")</f>
        <v/>
      </c>
      <c r="C329">
        <f>IF($V329="","",INDEX('Per Line'!$C$2:$C$1501,$V329)&amp;"")</f>
        <v/>
      </c>
      <c r="D329" s="11">
        <f>IF($V329="","",INDEX('Per Line'!$S$2:$S$1501,$V329))</f>
        <v/>
      </c>
      <c r="E329">
        <f>IF($V329="","",INDEX('Per Line'!$F$2:$F$1501,$V329)&amp;"")</f>
        <v/>
      </c>
      <c r="F329">
        <f>IF($V329="","",INDEX('Per Line'!$L$2:$L$1501,$V329)&amp;"")</f>
        <v/>
      </c>
      <c r="G329">
        <f>IF($V329="","",INDEX('Per Line'!$O$2:$O$1501,$V329)&amp;"")</f>
        <v/>
      </c>
      <c r="H329">
        <f>IF($V329="","",INDEX('Per Line'!$P$2:$P$1501,$V329)&amp;"")</f>
        <v/>
      </c>
      <c r="I329">
        <f>IF($V329="","",INDEX('Per Line'!$N$2:$N$1501,$V329)&amp;"")</f>
        <v/>
      </c>
      <c r="J329">
        <f>IF($V329="","",INDEX('Per Line'!$Q$2:$Q$1501,$V329))</f>
        <v/>
      </c>
      <c r="K329" s="7">
        <f>IF($V329="","",J329*T329/100)</f>
        <v/>
      </c>
      <c r="L329">
        <f>IF($V329="","",Settings!$C$7)</f>
        <v/>
      </c>
      <c r="M329" s="7">
        <f>IF($V329="","",SUMIFS('Per Line'!$AC$2:$AC$1501,'Per Line'!$C$2:$C$1501,$C329,'Per Line'!$AK$2:$AK$1501,0))</f>
        <v/>
      </c>
      <c r="N329" s="7">
        <f>IF($V329="","",M329*L329)</f>
        <v/>
      </c>
      <c r="O329">
        <f>IF($V329="","",Settings!$C$6)</f>
        <v/>
      </c>
      <c r="P329" s="7">
        <f>IF($V329="","",SUMIFS('Per Line'!$AC$2:$AC$1501,'Per Line'!$C$2:$C$1501,$C329,'Per Line'!$AK$2:$AK$1501,1))</f>
        <v/>
      </c>
      <c r="Q329" s="7">
        <f>IF($V329="","",P329*O329)</f>
        <v/>
      </c>
      <c r="R329" s="7">
        <f>IF($V329="","",Q329+N329)</f>
        <v/>
      </c>
      <c r="S329" s="7">
        <f>IF($V329="","",T329-R329)</f>
        <v/>
      </c>
      <c r="T329" s="7">
        <f>IF($V329="","",M329+P329)</f>
        <v/>
      </c>
      <c r="U329" s="7">
        <f>IF($V329="","",T329-R329-K329)</f>
        <v/>
      </c>
      <c r="V329" s="13">
        <f>IF(ROWS($V$2:$V329)&lt;=MAX('Per Line'!$AJ$2:$AJ$1501),MATCH(ROWS($V$2:$V329),'Per Line'!$AJ$2:$AJ$1501,0),"")</f>
        <v/>
      </c>
    </row>
    <row r="330">
      <c r="A330" s="12" t="n"/>
      <c r="B330">
        <f>IF($V330="","",INDEX('Per Line'!$A$2:$A$1501,$V330)&amp;"")</f>
        <v/>
      </c>
      <c r="C330">
        <f>IF($V330="","",INDEX('Per Line'!$C$2:$C$1501,$V330)&amp;"")</f>
        <v/>
      </c>
      <c r="D330" s="11">
        <f>IF($V330="","",INDEX('Per Line'!$S$2:$S$1501,$V330))</f>
        <v/>
      </c>
      <c r="E330">
        <f>IF($V330="","",INDEX('Per Line'!$F$2:$F$1501,$V330)&amp;"")</f>
        <v/>
      </c>
      <c r="F330">
        <f>IF($V330="","",INDEX('Per Line'!$L$2:$L$1501,$V330)&amp;"")</f>
        <v/>
      </c>
      <c r="G330">
        <f>IF($V330="","",INDEX('Per Line'!$O$2:$O$1501,$V330)&amp;"")</f>
        <v/>
      </c>
      <c r="H330">
        <f>IF($V330="","",INDEX('Per Line'!$P$2:$P$1501,$V330)&amp;"")</f>
        <v/>
      </c>
      <c r="I330">
        <f>IF($V330="","",INDEX('Per Line'!$N$2:$N$1501,$V330)&amp;"")</f>
        <v/>
      </c>
      <c r="J330">
        <f>IF($V330="","",INDEX('Per Line'!$Q$2:$Q$1501,$V330))</f>
        <v/>
      </c>
      <c r="K330" s="7">
        <f>IF($V330="","",J330*T330/100)</f>
        <v/>
      </c>
      <c r="L330">
        <f>IF($V330="","",Settings!$C$7)</f>
        <v/>
      </c>
      <c r="M330" s="7">
        <f>IF($V330="","",SUMIFS('Per Line'!$AC$2:$AC$1501,'Per Line'!$C$2:$C$1501,$C330,'Per Line'!$AK$2:$AK$1501,0))</f>
        <v/>
      </c>
      <c r="N330" s="7">
        <f>IF($V330="","",M330*L330)</f>
        <v/>
      </c>
      <c r="O330">
        <f>IF($V330="","",Settings!$C$6)</f>
        <v/>
      </c>
      <c r="P330" s="7">
        <f>IF($V330="","",SUMIFS('Per Line'!$AC$2:$AC$1501,'Per Line'!$C$2:$C$1501,$C330,'Per Line'!$AK$2:$AK$1501,1))</f>
        <v/>
      </c>
      <c r="Q330" s="7">
        <f>IF($V330="","",P330*O330)</f>
        <v/>
      </c>
      <c r="R330" s="7">
        <f>IF($V330="","",Q330+N330)</f>
        <v/>
      </c>
      <c r="S330" s="7">
        <f>IF($V330="","",T330-R330)</f>
        <v/>
      </c>
      <c r="T330" s="7">
        <f>IF($V330="","",M330+P330)</f>
        <v/>
      </c>
      <c r="U330" s="7">
        <f>IF($V330="","",T330-R330-K330)</f>
        <v/>
      </c>
      <c r="V330" s="13">
        <f>IF(ROWS($V$2:$V330)&lt;=MAX('Per Line'!$AJ$2:$AJ$1501),MATCH(ROWS($V$2:$V330),'Per Line'!$AJ$2:$AJ$1501,0),"")</f>
        <v/>
      </c>
    </row>
    <row r="331">
      <c r="A331" s="12" t="n"/>
      <c r="B331">
        <f>IF($V331="","",INDEX('Per Line'!$A$2:$A$1501,$V331)&amp;"")</f>
        <v/>
      </c>
      <c r="C331">
        <f>IF($V331="","",INDEX('Per Line'!$C$2:$C$1501,$V331)&amp;"")</f>
        <v/>
      </c>
      <c r="D331" s="11">
        <f>IF($V331="","",INDEX('Per Line'!$S$2:$S$1501,$V331))</f>
        <v/>
      </c>
      <c r="E331">
        <f>IF($V331="","",INDEX('Per Line'!$F$2:$F$1501,$V331)&amp;"")</f>
        <v/>
      </c>
      <c r="F331">
        <f>IF($V331="","",INDEX('Per Line'!$L$2:$L$1501,$V331)&amp;"")</f>
        <v/>
      </c>
      <c r="G331">
        <f>IF($V331="","",INDEX('Per Line'!$O$2:$O$1501,$V331)&amp;"")</f>
        <v/>
      </c>
      <c r="H331">
        <f>IF($V331="","",INDEX('Per Line'!$P$2:$P$1501,$V331)&amp;"")</f>
        <v/>
      </c>
      <c r="I331">
        <f>IF($V331="","",INDEX('Per Line'!$N$2:$N$1501,$V331)&amp;"")</f>
        <v/>
      </c>
      <c r="J331">
        <f>IF($V331="","",INDEX('Per Line'!$Q$2:$Q$1501,$V331))</f>
        <v/>
      </c>
      <c r="K331" s="7">
        <f>IF($V331="","",J331*T331/100)</f>
        <v/>
      </c>
      <c r="L331">
        <f>IF($V331="","",Settings!$C$7)</f>
        <v/>
      </c>
      <c r="M331" s="7">
        <f>IF($V331="","",SUMIFS('Per Line'!$AC$2:$AC$1501,'Per Line'!$C$2:$C$1501,$C331,'Per Line'!$AK$2:$AK$1501,0))</f>
        <v/>
      </c>
      <c r="N331" s="7">
        <f>IF($V331="","",M331*L331)</f>
        <v/>
      </c>
      <c r="O331">
        <f>IF($V331="","",Settings!$C$6)</f>
        <v/>
      </c>
      <c r="P331" s="7">
        <f>IF($V331="","",SUMIFS('Per Line'!$AC$2:$AC$1501,'Per Line'!$C$2:$C$1501,$C331,'Per Line'!$AK$2:$AK$1501,1))</f>
        <v/>
      </c>
      <c r="Q331" s="7">
        <f>IF($V331="","",P331*O331)</f>
        <v/>
      </c>
      <c r="R331" s="7">
        <f>IF($V331="","",Q331+N331)</f>
        <v/>
      </c>
      <c r="S331" s="7">
        <f>IF($V331="","",T331-R331)</f>
        <v/>
      </c>
      <c r="T331" s="7">
        <f>IF($V331="","",M331+P331)</f>
        <v/>
      </c>
      <c r="U331" s="7">
        <f>IF($V331="","",T331-R331-K331)</f>
        <v/>
      </c>
      <c r="V331" s="13">
        <f>IF(ROWS($V$2:$V331)&lt;=MAX('Per Line'!$AJ$2:$AJ$1501),MATCH(ROWS($V$2:$V331),'Per Line'!$AJ$2:$AJ$1501,0),"")</f>
        <v/>
      </c>
    </row>
    <row r="332">
      <c r="A332" s="12" t="n"/>
      <c r="B332">
        <f>IF($V332="","",INDEX('Per Line'!$A$2:$A$1501,$V332)&amp;"")</f>
        <v/>
      </c>
      <c r="C332">
        <f>IF($V332="","",INDEX('Per Line'!$C$2:$C$1501,$V332)&amp;"")</f>
        <v/>
      </c>
      <c r="D332" s="11">
        <f>IF($V332="","",INDEX('Per Line'!$S$2:$S$1501,$V332))</f>
        <v/>
      </c>
      <c r="E332">
        <f>IF($V332="","",INDEX('Per Line'!$F$2:$F$1501,$V332)&amp;"")</f>
        <v/>
      </c>
      <c r="F332">
        <f>IF($V332="","",INDEX('Per Line'!$L$2:$L$1501,$V332)&amp;"")</f>
        <v/>
      </c>
      <c r="G332">
        <f>IF($V332="","",INDEX('Per Line'!$O$2:$O$1501,$V332)&amp;"")</f>
        <v/>
      </c>
      <c r="H332">
        <f>IF($V332="","",INDEX('Per Line'!$P$2:$P$1501,$V332)&amp;"")</f>
        <v/>
      </c>
      <c r="I332">
        <f>IF($V332="","",INDEX('Per Line'!$N$2:$N$1501,$V332)&amp;"")</f>
        <v/>
      </c>
      <c r="J332">
        <f>IF($V332="","",INDEX('Per Line'!$Q$2:$Q$1501,$V332))</f>
        <v/>
      </c>
      <c r="K332" s="7">
        <f>IF($V332="","",J332*T332/100)</f>
        <v/>
      </c>
      <c r="L332">
        <f>IF($V332="","",Settings!$C$7)</f>
        <v/>
      </c>
      <c r="M332" s="7">
        <f>IF($V332="","",SUMIFS('Per Line'!$AC$2:$AC$1501,'Per Line'!$C$2:$C$1501,$C332,'Per Line'!$AK$2:$AK$1501,0))</f>
        <v/>
      </c>
      <c r="N332" s="7">
        <f>IF($V332="","",M332*L332)</f>
        <v/>
      </c>
      <c r="O332">
        <f>IF($V332="","",Settings!$C$6)</f>
        <v/>
      </c>
      <c r="P332" s="7">
        <f>IF($V332="","",SUMIFS('Per Line'!$AC$2:$AC$1501,'Per Line'!$C$2:$C$1501,$C332,'Per Line'!$AK$2:$AK$1501,1))</f>
        <v/>
      </c>
      <c r="Q332" s="7">
        <f>IF($V332="","",P332*O332)</f>
        <v/>
      </c>
      <c r="R332" s="7">
        <f>IF($V332="","",Q332+N332)</f>
        <v/>
      </c>
      <c r="S332" s="7">
        <f>IF($V332="","",T332-R332)</f>
        <v/>
      </c>
      <c r="T332" s="7">
        <f>IF($V332="","",M332+P332)</f>
        <v/>
      </c>
      <c r="U332" s="7">
        <f>IF($V332="","",T332-R332-K332)</f>
        <v/>
      </c>
      <c r="V332" s="13">
        <f>IF(ROWS($V$2:$V332)&lt;=MAX('Per Line'!$AJ$2:$AJ$1501),MATCH(ROWS($V$2:$V332),'Per Line'!$AJ$2:$AJ$1501,0),"")</f>
        <v/>
      </c>
    </row>
    <row r="333">
      <c r="A333" s="12" t="n"/>
      <c r="B333">
        <f>IF($V333="","",INDEX('Per Line'!$A$2:$A$1501,$V333)&amp;"")</f>
        <v/>
      </c>
      <c r="C333">
        <f>IF($V333="","",INDEX('Per Line'!$C$2:$C$1501,$V333)&amp;"")</f>
        <v/>
      </c>
      <c r="D333" s="11">
        <f>IF($V333="","",INDEX('Per Line'!$S$2:$S$1501,$V333))</f>
        <v/>
      </c>
      <c r="E333">
        <f>IF($V333="","",INDEX('Per Line'!$F$2:$F$1501,$V333)&amp;"")</f>
        <v/>
      </c>
      <c r="F333">
        <f>IF($V333="","",INDEX('Per Line'!$L$2:$L$1501,$V333)&amp;"")</f>
        <v/>
      </c>
      <c r="G333">
        <f>IF($V333="","",INDEX('Per Line'!$O$2:$O$1501,$V333)&amp;"")</f>
        <v/>
      </c>
      <c r="H333">
        <f>IF($V333="","",INDEX('Per Line'!$P$2:$P$1501,$V333)&amp;"")</f>
        <v/>
      </c>
      <c r="I333">
        <f>IF($V333="","",INDEX('Per Line'!$N$2:$N$1501,$V333)&amp;"")</f>
        <v/>
      </c>
      <c r="J333">
        <f>IF($V333="","",INDEX('Per Line'!$Q$2:$Q$1501,$V333))</f>
        <v/>
      </c>
      <c r="K333" s="7">
        <f>IF($V333="","",J333*T333/100)</f>
        <v/>
      </c>
      <c r="L333">
        <f>IF($V333="","",Settings!$C$7)</f>
        <v/>
      </c>
      <c r="M333" s="7">
        <f>IF($V333="","",SUMIFS('Per Line'!$AC$2:$AC$1501,'Per Line'!$C$2:$C$1501,$C333,'Per Line'!$AK$2:$AK$1501,0))</f>
        <v/>
      </c>
      <c r="N333" s="7">
        <f>IF($V333="","",M333*L333)</f>
        <v/>
      </c>
      <c r="O333">
        <f>IF($V333="","",Settings!$C$6)</f>
        <v/>
      </c>
      <c r="P333" s="7">
        <f>IF($V333="","",SUMIFS('Per Line'!$AC$2:$AC$1501,'Per Line'!$C$2:$C$1501,$C333,'Per Line'!$AK$2:$AK$1501,1))</f>
        <v/>
      </c>
      <c r="Q333" s="7">
        <f>IF($V333="","",P333*O333)</f>
        <v/>
      </c>
      <c r="R333" s="7">
        <f>IF($V333="","",Q333+N333)</f>
        <v/>
      </c>
      <c r="S333" s="7">
        <f>IF($V333="","",T333-R333)</f>
        <v/>
      </c>
      <c r="T333" s="7">
        <f>IF($V333="","",M333+P333)</f>
        <v/>
      </c>
      <c r="U333" s="7">
        <f>IF($V333="","",T333-R333-K333)</f>
        <v/>
      </c>
      <c r="V333" s="13">
        <f>IF(ROWS($V$2:$V333)&lt;=MAX('Per Line'!$AJ$2:$AJ$1501),MATCH(ROWS($V$2:$V333),'Per Line'!$AJ$2:$AJ$1501,0),"")</f>
        <v/>
      </c>
    </row>
    <row r="334">
      <c r="A334" s="12" t="n"/>
      <c r="B334">
        <f>IF($V334="","",INDEX('Per Line'!$A$2:$A$1501,$V334)&amp;"")</f>
        <v/>
      </c>
      <c r="C334">
        <f>IF($V334="","",INDEX('Per Line'!$C$2:$C$1501,$V334)&amp;"")</f>
        <v/>
      </c>
      <c r="D334" s="11">
        <f>IF($V334="","",INDEX('Per Line'!$S$2:$S$1501,$V334))</f>
        <v/>
      </c>
      <c r="E334">
        <f>IF($V334="","",INDEX('Per Line'!$F$2:$F$1501,$V334)&amp;"")</f>
        <v/>
      </c>
      <c r="F334">
        <f>IF($V334="","",INDEX('Per Line'!$L$2:$L$1501,$V334)&amp;"")</f>
        <v/>
      </c>
      <c r="G334">
        <f>IF($V334="","",INDEX('Per Line'!$O$2:$O$1501,$V334)&amp;"")</f>
        <v/>
      </c>
      <c r="H334">
        <f>IF($V334="","",INDEX('Per Line'!$P$2:$P$1501,$V334)&amp;"")</f>
        <v/>
      </c>
      <c r="I334">
        <f>IF($V334="","",INDEX('Per Line'!$N$2:$N$1501,$V334)&amp;"")</f>
        <v/>
      </c>
      <c r="J334">
        <f>IF($V334="","",INDEX('Per Line'!$Q$2:$Q$1501,$V334))</f>
        <v/>
      </c>
      <c r="K334" s="7">
        <f>IF($V334="","",J334*T334/100)</f>
        <v/>
      </c>
      <c r="L334">
        <f>IF($V334="","",Settings!$C$7)</f>
        <v/>
      </c>
      <c r="M334" s="7">
        <f>IF($V334="","",SUMIFS('Per Line'!$AC$2:$AC$1501,'Per Line'!$C$2:$C$1501,$C334,'Per Line'!$AK$2:$AK$1501,0))</f>
        <v/>
      </c>
      <c r="N334" s="7">
        <f>IF($V334="","",M334*L334)</f>
        <v/>
      </c>
      <c r="O334">
        <f>IF($V334="","",Settings!$C$6)</f>
        <v/>
      </c>
      <c r="P334" s="7">
        <f>IF($V334="","",SUMIFS('Per Line'!$AC$2:$AC$1501,'Per Line'!$C$2:$C$1501,$C334,'Per Line'!$AK$2:$AK$1501,1))</f>
        <v/>
      </c>
      <c r="Q334" s="7">
        <f>IF($V334="","",P334*O334)</f>
        <v/>
      </c>
      <c r="R334" s="7">
        <f>IF($V334="","",Q334+N334)</f>
        <v/>
      </c>
      <c r="S334" s="7">
        <f>IF($V334="","",T334-R334)</f>
        <v/>
      </c>
      <c r="T334" s="7">
        <f>IF($V334="","",M334+P334)</f>
        <v/>
      </c>
      <c r="U334" s="7">
        <f>IF($V334="","",T334-R334-K334)</f>
        <v/>
      </c>
      <c r="V334" s="13">
        <f>IF(ROWS($V$2:$V334)&lt;=MAX('Per Line'!$AJ$2:$AJ$1501),MATCH(ROWS($V$2:$V334),'Per Line'!$AJ$2:$AJ$1501,0),"")</f>
        <v/>
      </c>
    </row>
    <row r="335">
      <c r="A335" s="12" t="n"/>
      <c r="B335">
        <f>IF($V335="","",INDEX('Per Line'!$A$2:$A$1501,$V335)&amp;"")</f>
        <v/>
      </c>
      <c r="C335">
        <f>IF($V335="","",INDEX('Per Line'!$C$2:$C$1501,$V335)&amp;"")</f>
        <v/>
      </c>
      <c r="D335" s="11">
        <f>IF($V335="","",INDEX('Per Line'!$S$2:$S$1501,$V335))</f>
        <v/>
      </c>
      <c r="E335">
        <f>IF($V335="","",INDEX('Per Line'!$F$2:$F$1501,$V335)&amp;"")</f>
        <v/>
      </c>
      <c r="F335">
        <f>IF($V335="","",INDEX('Per Line'!$L$2:$L$1501,$V335)&amp;"")</f>
        <v/>
      </c>
      <c r="G335">
        <f>IF($V335="","",INDEX('Per Line'!$O$2:$O$1501,$V335)&amp;"")</f>
        <v/>
      </c>
      <c r="H335">
        <f>IF($V335="","",INDEX('Per Line'!$P$2:$P$1501,$V335)&amp;"")</f>
        <v/>
      </c>
      <c r="I335">
        <f>IF($V335="","",INDEX('Per Line'!$N$2:$N$1501,$V335)&amp;"")</f>
        <v/>
      </c>
      <c r="J335">
        <f>IF($V335="","",INDEX('Per Line'!$Q$2:$Q$1501,$V335))</f>
        <v/>
      </c>
      <c r="K335" s="7">
        <f>IF($V335="","",J335*T335/100)</f>
        <v/>
      </c>
      <c r="L335">
        <f>IF($V335="","",Settings!$C$7)</f>
        <v/>
      </c>
      <c r="M335" s="7">
        <f>IF($V335="","",SUMIFS('Per Line'!$AC$2:$AC$1501,'Per Line'!$C$2:$C$1501,$C335,'Per Line'!$AK$2:$AK$1501,0))</f>
        <v/>
      </c>
      <c r="N335" s="7">
        <f>IF($V335="","",M335*L335)</f>
        <v/>
      </c>
      <c r="O335">
        <f>IF($V335="","",Settings!$C$6)</f>
        <v/>
      </c>
      <c r="P335" s="7">
        <f>IF($V335="","",SUMIFS('Per Line'!$AC$2:$AC$1501,'Per Line'!$C$2:$C$1501,$C335,'Per Line'!$AK$2:$AK$1501,1))</f>
        <v/>
      </c>
      <c r="Q335" s="7">
        <f>IF($V335="","",P335*O335)</f>
        <v/>
      </c>
      <c r="R335" s="7">
        <f>IF($V335="","",Q335+N335)</f>
        <v/>
      </c>
      <c r="S335" s="7">
        <f>IF($V335="","",T335-R335)</f>
        <v/>
      </c>
      <c r="T335" s="7">
        <f>IF($V335="","",M335+P335)</f>
        <v/>
      </c>
      <c r="U335" s="7">
        <f>IF($V335="","",T335-R335-K335)</f>
        <v/>
      </c>
      <c r="V335" s="13">
        <f>IF(ROWS($V$2:$V335)&lt;=MAX('Per Line'!$AJ$2:$AJ$1501),MATCH(ROWS($V$2:$V335),'Per Line'!$AJ$2:$AJ$1501,0),"")</f>
        <v/>
      </c>
    </row>
    <row r="336">
      <c r="A336" s="12" t="n"/>
      <c r="B336">
        <f>IF($V336="","",INDEX('Per Line'!$A$2:$A$1501,$V336)&amp;"")</f>
        <v/>
      </c>
      <c r="C336">
        <f>IF($V336="","",INDEX('Per Line'!$C$2:$C$1501,$V336)&amp;"")</f>
        <v/>
      </c>
      <c r="D336" s="11">
        <f>IF($V336="","",INDEX('Per Line'!$S$2:$S$1501,$V336))</f>
        <v/>
      </c>
      <c r="E336">
        <f>IF($V336="","",INDEX('Per Line'!$F$2:$F$1501,$V336)&amp;"")</f>
        <v/>
      </c>
      <c r="F336">
        <f>IF($V336="","",INDEX('Per Line'!$L$2:$L$1501,$V336)&amp;"")</f>
        <v/>
      </c>
      <c r="G336">
        <f>IF($V336="","",INDEX('Per Line'!$O$2:$O$1501,$V336)&amp;"")</f>
        <v/>
      </c>
      <c r="H336">
        <f>IF($V336="","",INDEX('Per Line'!$P$2:$P$1501,$V336)&amp;"")</f>
        <v/>
      </c>
      <c r="I336">
        <f>IF($V336="","",INDEX('Per Line'!$N$2:$N$1501,$V336)&amp;"")</f>
        <v/>
      </c>
      <c r="J336">
        <f>IF($V336="","",INDEX('Per Line'!$Q$2:$Q$1501,$V336))</f>
        <v/>
      </c>
      <c r="K336" s="7">
        <f>IF($V336="","",J336*T336/100)</f>
        <v/>
      </c>
      <c r="L336">
        <f>IF($V336="","",Settings!$C$7)</f>
        <v/>
      </c>
      <c r="M336" s="7">
        <f>IF($V336="","",SUMIFS('Per Line'!$AC$2:$AC$1501,'Per Line'!$C$2:$C$1501,$C336,'Per Line'!$AK$2:$AK$1501,0))</f>
        <v/>
      </c>
      <c r="N336" s="7">
        <f>IF($V336="","",M336*L336)</f>
        <v/>
      </c>
      <c r="O336">
        <f>IF($V336="","",Settings!$C$6)</f>
        <v/>
      </c>
      <c r="P336" s="7">
        <f>IF($V336="","",SUMIFS('Per Line'!$AC$2:$AC$1501,'Per Line'!$C$2:$C$1501,$C336,'Per Line'!$AK$2:$AK$1501,1))</f>
        <v/>
      </c>
      <c r="Q336" s="7">
        <f>IF($V336="","",P336*O336)</f>
        <v/>
      </c>
      <c r="R336" s="7">
        <f>IF($V336="","",Q336+N336)</f>
        <v/>
      </c>
      <c r="S336" s="7">
        <f>IF($V336="","",T336-R336)</f>
        <v/>
      </c>
      <c r="T336" s="7">
        <f>IF($V336="","",M336+P336)</f>
        <v/>
      </c>
      <c r="U336" s="7">
        <f>IF($V336="","",T336-R336-K336)</f>
        <v/>
      </c>
      <c r="V336" s="13">
        <f>IF(ROWS($V$2:$V336)&lt;=MAX('Per Line'!$AJ$2:$AJ$1501),MATCH(ROWS($V$2:$V336),'Per Line'!$AJ$2:$AJ$1501,0),"")</f>
        <v/>
      </c>
    </row>
    <row r="337">
      <c r="A337" s="12" t="n"/>
      <c r="B337">
        <f>IF($V337="","",INDEX('Per Line'!$A$2:$A$1501,$V337)&amp;"")</f>
        <v/>
      </c>
      <c r="C337">
        <f>IF($V337="","",INDEX('Per Line'!$C$2:$C$1501,$V337)&amp;"")</f>
        <v/>
      </c>
      <c r="D337" s="11">
        <f>IF($V337="","",INDEX('Per Line'!$S$2:$S$1501,$V337))</f>
        <v/>
      </c>
      <c r="E337">
        <f>IF($V337="","",INDEX('Per Line'!$F$2:$F$1501,$V337)&amp;"")</f>
        <v/>
      </c>
      <c r="F337">
        <f>IF($V337="","",INDEX('Per Line'!$L$2:$L$1501,$V337)&amp;"")</f>
        <v/>
      </c>
      <c r="G337">
        <f>IF($V337="","",INDEX('Per Line'!$O$2:$O$1501,$V337)&amp;"")</f>
        <v/>
      </c>
      <c r="H337">
        <f>IF($V337="","",INDEX('Per Line'!$P$2:$P$1501,$V337)&amp;"")</f>
        <v/>
      </c>
      <c r="I337">
        <f>IF($V337="","",INDEX('Per Line'!$N$2:$N$1501,$V337)&amp;"")</f>
        <v/>
      </c>
      <c r="J337">
        <f>IF($V337="","",INDEX('Per Line'!$Q$2:$Q$1501,$V337))</f>
        <v/>
      </c>
      <c r="K337" s="7">
        <f>IF($V337="","",J337*T337/100)</f>
        <v/>
      </c>
      <c r="L337">
        <f>IF($V337="","",Settings!$C$7)</f>
        <v/>
      </c>
      <c r="M337" s="7">
        <f>IF($V337="","",SUMIFS('Per Line'!$AC$2:$AC$1501,'Per Line'!$C$2:$C$1501,$C337,'Per Line'!$AK$2:$AK$1501,0))</f>
        <v/>
      </c>
      <c r="N337" s="7">
        <f>IF($V337="","",M337*L337)</f>
        <v/>
      </c>
      <c r="O337">
        <f>IF($V337="","",Settings!$C$6)</f>
        <v/>
      </c>
      <c r="P337" s="7">
        <f>IF($V337="","",SUMIFS('Per Line'!$AC$2:$AC$1501,'Per Line'!$C$2:$C$1501,$C337,'Per Line'!$AK$2:$AK$1501,1))</f>
        <v/>
      </c>
      <c r="Q337" s="7">
        <f>IF($V337="","",P337*O337)</f>
        <v/>
      </c>
      <c r="R337" s="7">
        <f>IF($V337="","",Q337+N337)</f>
        <v/>
      </c>
      <c r="S337" s="7">
        <f>IF($V337="","",T337-R337)</f>
        <v/>
      </c>
      <c r="T337" s="7">
        <f>IF($V337="","",M337+P337)</f>
        <v/>
      </c>
      <c r="U337" s="7">
        <f>IF($V337="","",T337-R337-K337)</f>
        <v/>
      </c>
      <c r="V337" s="13">
        <f>IF(ROWS($V$2:$V337)&lt;=MAX('Per Line'!$AJ$2:$AJ$1501),MATCH(ROWS($V$2:$V337),'Per Line'!$AJ$2:$AJ$1501,0),"")</f>
        <v/>
      </c>
    </row>
    <row r="338">
      <c r="A338" s="12" t="n"/>
      <c r="B338">
        <f>IF($V338="","",INDEX('Per Line'!$A$2:$A$1501,$V338)&amp;"")</f>
        <v/>
      </c>
      <c r="C338">
        <f>IF($V338="","",INDEX('Per Line'!$C$2:$C$1501,$V338)&amp;"")</f>
        <v/>
      </c>
      <c r="D338" s="11">
        <f>IF($V338="","",INDEX('Per Line'!$S$2:$S$1501,$V338))</f>
        <v/>
      </c>
      <c r="E338">
        <f>IF($V338="","",INDEX('Per Line'!$F$2:$F$1501,$V338)&amp;"")</f>
        <v/>
      </c>
      <c r="F338">
        <f>IF($V338="","",INDEX('Per Line'!$L$2:$L$1501,$V338)&amp;"")</f>
        <v/>
      </c>
      <c r="G338">
        <f>IF($V338="","",INDEX('Per Line'!$O$2:$O$1501,$V338)&amp;"")</f>
        <v/>
      </c>
      <c r="H338">
        <f>IF($V338="","",INDEX('Per Line'!$P$2:$P$1501,$V338)&amp;"")</f>
        <v/>
      </c>
      <c r="I338">
        <f>IF($V338="","",INDEX('Per Line'!$N$2:$N$1501,$V338)&amp;"")</f>
        <v/>
      </c>
      <c r="J338">
        <f>IF($V338="","",INDEX('Per Line'!$Q$2:$Q$1501,$V338))</f>
        <v/>
      </c>
      <c r="K338" s="7">
        <f>IF($V338="","",J338*T338/100)</f>
        <v/>
      </c>
      <c r="L338">
        <f>IF($V338="","",Settings!$C$7)</f>
        <v/>
      </c>
      <c r="M338" s="7">
        <f>IF($V338="","",SUMIFS('Per Line'!$AC$2:$AC$1501,'Per Line'!$C$2:$C$1501,$C338,'Per Line'!$AK$2:$AK$1501,0))</f>
        <v/>
      </c>
      <c r="N338" s="7">
        <f>IF($V338="","",M338*L338)</f>
        <v/>
      </c>
      <c r="O338">
        <f>IF($V338="","",Settings!$C$6)</f>
        <v/>
      </c>
      <c r="P338" s="7">
        <f>IF($V338="","",SUMIFS('Per Line'!$AC$2:$AC$1501,'Per Line'!$C$2:$C$1501,$C338,'Per Line'!$AK$2:$AK$1501,1))</f>
        <v/>
      </c>
      <c r="Q338" s="7">
        <f>IF($V338="","",P338*O338)</f>
        <v/>
      </c>
      <c r="R338" s="7">
        <f>IF($V338="","",Q338+N338)</f>
        <v/>
      </c>
      <c r="S338" s="7">
        <f>IF($V338="","",T338-R338)</f>
        <v/>
      </c>
      <c r="T338" s="7">
        <f>IF($V338="","",M338+P338)</f>
        <v/>
      </c>
      <c r="U338" s="7">
        <f>IF($V338="","",T338-R338-K338)</f>
        <v/>
      </c>
      <c r="V338" s="13">
        <f>IF(ROWS($V$2:$V338)&lt;=MAX('Per Line'!$AJ$2:$AJ$1501),MATCH(ROWS($V$2:$V338),'Per Line'!$AJ$2:$AJ$1501,0),"")</f>
        <v/>
      </c>
    </row>
    <row r="339">
      <c r="A339" s="12" t="n"/>
      <c r="B339">
        <f>IF($V339="","",INDEX('Per Line'!$A$2:$A$1501,$V339)&amp;"")</f>
        <v/>
      </c>
      <c r="C339">
        <f>IF($V339="","",INDEX('Per Line'!$C$2:$C$1501,$V339)&amp;"")</f>
        <v/>
      </c>
      <c r="D339" s="11">
        <f>IF($V339="","",INDEX('Per Line'!$S$2:$S$1501,$V339))</f>
        <v/>
      </c>
      <c r="E339">
        <f>IF($V339="","",INDEX('Per Line'!$F$2:$F$1501,$V339)&amp;"")</f>
        <v/>
      </c>
      <c r="F339">
        <f>IF($V339="","",INDEX('Per Line'!$L$2:$L$1501,$V339)&amp;"")</f>
        <v/>
      </c>
      <c r="G339">
        <f>IF($V339="","",INDEX('Per Line'!$O$2:$O$1501,$V339)&amp;"")</f>
        <v/>
      </c>
      <c r="H339">
        <f>IF($V339="","",INDEX('Per Line'!$P$2:$P$1501,$V339)&amp;"")</f>
        <v/>
      </c>
      <c r="I339">
        <f>IF($V339="","",INDEX('Per Line'!$N$2:$N$1501,$V339)&amp;"")</f>
        <v/>
      </c>
      <c r="J339">
        <f>IF($V339="","",INDEX('Per Line'!$Q$2:$Q$1501,$V339))</f>
        <v/>
      </c>
      <c r="K339" s="7">
        <f>IF($V339="","",J339*T339/100)</f>
        <v/>
      </c>
      <c r="L339">
        <f>IF($V339="","",Settings!$C$7)</f>
        <v/>
      </c>
      <c r="M339" s="7">
        <f>IF($V339="","",SUMIFS('Per Line'!$AC$2:$AC$1501,'Per Line'!$C$2:$C$1501,$C339,'Per Line'!$AK$2:$AK$1501,0))</f>
        <v/>
      </c>
      <c r="N339" s="7">
        <f>IF($V339="","",M339*L339)</f>
        <v/>
      </c>
      <c r="O339">
        <f>IF($V339="","",Settings!$C$6)</f>
        <v/>
      </c>
      <c r="P339" s="7">
        <f>IF($V339="","",SUMIFS('Per Line'!$AC$2:$AC$1501,'Per Line'!$C$2:$C$1501,$C339,'Per Line'!$AK$2:$AK$1501,1))</f>
        <v/>
      </c>
      <c r="Q339" s="7">
        <f>IF($V339="","",P339*O339)</f>
        <v/>
      </c>
      <c r="R339" s="7">
        <f>IF($V339="","",Q339+N339)</f>
        <v/>
      </c>
      <c r="S339" s="7">
        <f>IF($V339="","",T339-R339)</f>
        <v/>
      </c>
      <c r="T339" s="7">
        <f>IF($V339="","",M339+P339)</f>
        <v/>
      </c>
      <c r="U339" s="7">
        <f>IF($V339="","",T339-R339-K339)</f>
        <v/>
      </c>
      <c r="V339" s="13">
        <f>IF(ROWS($V$2:$V339)&lt;=MAX('Per Line'!$AJ$2:$AJ$1501),MATCH(ROWS($V$2:$V339),'Per Line'!$AJ$2:$AJ$1501,0),"")</f>
        <v/>
      </c>
    </row>
    <row r="340">
      <c r="A340" s="12" t="n"/>
      <c r="B340">
        <f>IF($V340="","",INDEX('Per Line'!$A$2:$A$1501,$V340)&amp;"")</f>
        <v/>
      </c>
      <c r="C340">
        <f>IF($V340="","",INDEX('Per Line'!$C$2:$C$1501,$V340)&amp;"")</f>
        <v/>
      </c>
      <c r="D340" s="11">
        <f>IF($V340="","",INDEX('Per Line'!$S$2:$S$1501,$V340))</f>
        <v/>
      </c>
      <c r="E340">
        <f>IF($V340="","",INDEX('Per Line'!$F$2:$F$1501,$V340)&amp;"")</f>
        <v/>
      </c>
      <c r="F340">
        <f>IF($V340="","",INDEX('Per Line'!$L$2:$L$1501,$V340)&amp;"")</f>
        <v/>
      </c>
      <c r="G340">
        <f>IF($V340="","",INDEX('Per Line'!$O$2:$O$1501,$V340)&amp;"")</f>
        <v/>
      </c>
      <c r="H340">
        <f>IF($V340="","",INDEX('Per Line'!$P$2:$P$1501,$V340)&amp;"")</f>
        <v/>
      </c>
      <c r="I340">
        <f>IF($V340="","",INDEX('Per Line'!$N$2:$N$1501,$V340)&amp;"")</f>
        <v/>
      </c>
      <c r="J340">
        <f>IF($V340="","",INDEX('Per Line'!$Q$2:$Q$1501,$V340))</f>
        <v/>
      </c>
      <c r="K340" s="7">
        <f>IF($V340="","",J340*T340/100)</f>
        <v/>
      </c>
      <c r="L340">
        <f>IF($V340="","",Settings!$C$7)</f>
        <v/>
      </c>
      <c r="M340" s="7">
        <f>IF($V340="","",SUMIFS('Per Line'!$AC$2:$AC$1501,'Per Line'!$C$2:$C$1501,$C340,'Per Line'!$AK$2:$AK$1501,0))</f>
        <v/>
      </c>
      <c r="N340" s="7">
        <f>IF($V340="","",M340*L340)</f>
        <v/>
      </c>
      <c r="O340">
        <f>IF($V340="","",Settings!$C$6)</f>
        <v/>
      </c>
      <c r="P340" s="7">
        <f>IF($V340="","",SUMIFS('Per Line'!$AC$2:$AC$1501,'Per Line'!$C$2:$C$1501,$C340,'Per Line'!$AK$2:$AK$1501,1))</f>
        <v/>
      </c>
      <c r="Q340" s="7">
        <f>IF($V340="","",P340*O340)</f>
        <v/>
      </c>
      <c r="R340" s="7">
        <f>IF($V340="","",Q340+N340)</f>
        <v/>
      </c>
      <c r="S340" s="7">
        <f>IF($V340="","",T340-R340)</f>
        <v/>
      </c>
      <c r="T340" s="7">
        <f>IF($V340="","",M340+P340)</f>
        <v/>
      </c>
      <c r="U340" s="7">
        <f>IF($V340="","",T340-R340-K340)</f>
        <v/>
      </c>
      <c r="V340" s="13">
        <f>IF(ROWS($V$2:$V340)&lt;=MAX('Per Line'!$AJ$2:$AJ$1501),MATCH(ROWS($V$2:$V340),'Per Line'!$AJ$2:$AJ$1501,0),"")</f>
        <v/>
      </c>
    </row>
    <row r="341">
      <c r="A341" s="12" t="n"/>
      <c r="B341">
        <f>IF($V341="","",INDEX('Per Line'!$A$2:$A$1501,$V341)&amp;"")</f>
        <v/>
      </c>
      <c r="C341">
        <f>IF($V341="","",INDEX('Per Line'!$C$2:$C$1501,$V341)&amp;"")</f>
        <v/>
      </c>
      <c r="D341" s="11">
        <f>IF($V341="","",INDEX('Per Line'!$S$2:$S$1501,$V341))</f>
        <v/>
      </c>
      <c r="E341">
        <f>IF($V341="","",INDEX('Per Line'!$F$2:$F$1501,$V341)&amp;"")</f>
        <v/>
      </c>
      <c r="F341">
        <f>IF($V341="","",INDEX('Per Line'!$L$2:$L$1501,$V341)&amp;"")</f>
        <v/>
      </c>
      <c r="G341">
        <f>IF($V341="","",INDEX('Per Line'!$O$2:$O$1501,$V341)&amp;"")</f>
        <v/>
      </c>
      <c r="H341">
        <f>IF($V341="","",INDEX('Per Line'!$P$2:$P$1501,$V341)&amp;"")</f>
        <v/>
      </c>
      <c r="I341">
        <f>IF($V341="","",INDEX('Per Line'!$N$2:$N$1501,$V341)&amp;"")</f>
        <v/>
      </c>
      <c r="J341">
        <f>IF($V341="","",INDEX('Per Line'!$Q$2:$Q$1501,$V341))</f>
        <v/>
      </c>
      <c r="K341" s="7">
        <f>IF($V341="","",J341*T341/100)</f>
        <v/>
      </c>
      <c r="L341">
        <f>IF($V341="","",Settings!$C$7)</f>
        <v/>
      </c>
      <c r="M341" s="7">
        <f>IF($V341="","",SUMIFS('Per Line'!$AC$2:$AC$1501,'Per Line'!$C$2:$C$1501,$C341,'Per Line'!$AK$2:$AK$1501,0))</f>
        <v/>
      </c>
      <c r="N341" s="7">
        <f>IF($V341="","",M341*L341)</f>
        <v/>
      </c>
      <c r="O341">
        <f>IF($V341="","",Settings!$C$6)</f>
        <v/>
      </c>
      <c r="P341" s="7">
        <f>IF($V341="","",SUMIFS('Per Line'!$AC$2:$AC$1501,'Per Line'!$C$2:$C$1501,$C341,'Per Line'!$AK$2:$AK$1501,1))</f>
        <v/>
      </c>
      <c r="Q341" s="7">
        <f>IF($V341="","",P341*O341)</f>
        <v/>
      </c>
      <c r="R341" s="7">
        <f>IF($V341="","",Q341+N341)</f>
        <v/>
      </c>
      <c r="S341" s="7">
        <f>IF($V341="","",T341-R341)</f>
        <v/>
      </c>
      <c r="T341" s="7">
        <f>IF($V341="","",M341+P341)</f>
        <v/>
      </c>
      <c r="U341" s="7">
        <f>IF($V341="","",T341-R341-K341)</f>
        <v/>
      </c>
      <c r="V341" s="13">
        <f>IF(ROWS($V$2:$V341)&lt;=MAX('Per Line'!$AJ$2:$AJ$1501),MATCH(ROWS($V$2:$V341),'Per Line'!$AJ$2:$AJ$1501,0),"")</f>
        <v/>
      </c>
    </row>
    <row r="342">
      <c r="A342" s="12" t="n"/>
      <c r="B342">
        <f>IF($V342="","",INDEX('Per Line'!$A$2:$A$1501,$V342)&amp;"")</f>
        <v/>
      </c>
      <c r="C342">
        <f>IF($V342="","",INDEX('Per Line'!$C$2:$C$1501,$V342)&amp;"")</f>
        <v/>
      </c>
      <c r="D342" s="11">
        <f>IF($V342="","",INDEX('Per Line'!$S$2:$S$1501,$V342))</f>
        <v/>
      </c>
      <c r="E342">
        <f>IF($V342="","",INDEX('Per Line'!$F$2:$F$1501,$V342)&amp;"")</f>
        <v/>
      </c>
      <c r="F342">
        <f>IF($V342="","",INDEX('Per Line'!$L$2:$L$1501,$V342)&amp;"")</f>
        <v/>
      </c>
      <c r="G342">
        <f>IF($V342="","",INDEX('Per Line'!$O$2:$O$1501,$V342)&amp;"")</f>
        <v/>
      </c>
      <c r="H342">
        <f>IF($V342="","",INDEX('Per Line'!$P$2:$P$1501,$V342)&amp;"")</f>
        <v/>
      </c>
      <c r="I342">
        <f>IF($V342="","",INDEX('Per Line'!$N$2:$N$1501,$V342)&amp;"")</f>
        <v/>
      </c>
      <c r="J342">
        <f>IF($V342="","",INDEX('Per Line'!$Q$2:$Q$1501,$V342))</f>
        <v/>
      </c>
      <c r="K342" s="7">
        <f>IF($V342="","",J342*T342/100)</f>
        <v/>
      </c>
      <c r="L342">
        <f>IF($V342="","",Settings!$C$7)</f>
        <v/>
      </c>
      <c r="M342" s="7">
        <f>IF($V342="","",SUMIFS('Per Line'!$AC$2:$AC$1501,'Per Line'!$C$2:$C$1501,$C342,'Per Line'!$AK$2:$AK$1501,0))</f>
        <v/>
      </c>
      <c r="N342" s="7">
        <f>IF($V342="","",M342*L342)</f>
        <v/>
      </c>
      <c r="O342">
        <f>IF($V342="","",Settings!$C$6)</f>
        <v/>
      </c>
      <c r="P342" s="7">
        <f>IF($V342="","",SUMIFS('Per Line'!$AC$2:$AC$1501,'Per Line'!$C$2:$C$1501,$C342,'Per Line'!$AK$2:$AK$1501,1))</f>
        <v/>
      </c>
      <c r="Q342" s="7">
        <f>IF($V342="","",P342*O342)</f>
        <v/>
      </c>
      <c r="R342" s="7">
        <f>IF($V342="","",Q342+N342)</f>
        <v/>
      </c>
      <c r="S342" s="7">
        <f>IF($V342="","",T342-R342)</f>
        <v/>
      </c>
      <c r="T342" s="7">
        <f>IF($V342="","",M342+P342)</f>
        <v/>
      </c>
      <c r="U342" s="7">
        <f>IF($V342="","",T342-R342-K342)</f>
        <v/>
      </c>
      <c r="V342" s="13">
        <f>IF(ROWS($V$2:$V342)&lt;=MAX('Per Line'!$AJ$2:$AJ$1501),MATCH(ROWS($V$2:$V342),'Per Line'!$AJ$2:$AJ$1501,0),"")</f>
        <v/>
      </c>
    </row>
    <row r="343">
      <c r="A343" s="12" t="n"/>
      <c r="B343">
        <f>IF($V343="","",INDEX('Per Line'!$A$2:$A$1501,$V343)&amp;"")</f>
        <v/>
      </c>
      <c r="C343">
        <f>IF($V343="","",INDEX('Per Line'!$C$2:$C$1501,$V343)&amp;"")</f>
        <v/>
      </c>
      <c r="D343" s="11">
        <f>IF($V343="","",INDEX('Per Line'!$S$2:$S$1501,$V343))</f>
        <v/>
      </c>
      <c r="E343">
        <f>IF($V343="","",INDEX('Per Line'!$F$2:$F$1501,$V343)&amp;"")</f>
        <v/>
      </c>
      <c r="F343">
        <f>IF($V343="","",INDEX('Per Line'!$L$2:$L$1501,$V343)&amp;"")</f>
        <v/>
      </c>
      <c r="G343">
        <f>IF($V343="","",INDEX('Per Line'!$O$2:$O$1501,$V343)&amp;"")</f>
        <v/>
      </c>
      <c r="H343">
        <f>IF($V343="","",INDEX('Per Line'!$P$2:$P$1501,$V343)&amp;"")</f>
        <v/>
      </c>
      <c r="I343">
        <f>IF($V343="","",INDEX('Per Line'!$N$2:$N$1501,$V343)&amp;"")</f>
        <v/>
      </c>
      <c r="J343">
        <f>IF($V343="","",INDEX('Per Line'!$Q$2:$Q$1501,$V343))</f>
        <v/>
      </c>
      <c r="K343" s="7">
        <f>IF($V343="","",J343*T343/100)</f>
        <v/>
      </c>
      <c r="L343">
        <f>IF($V343="","",Settings!$C$7)</f>
        <v/>
      </c>
      <c r="M343" s="7">
        <f>IF($V343="","",SUMIFS('Per Line'!$AC$2:$AC$1501,'Per Line'!$C$2:$C$1501,$C343,'Per Line'!$AK$2:$AK$1501,0))</f>
        <v/>
      </c>
      <c r="N343" s="7">
        <f>IF($V343="","",M343*L343)</f>
        <v/>
      </c>
      <c r="O343">
        <f>IF($V343="","",Settings!$C$6)</f>
        <v/>
      </c>
      <c r="P343" s="7">
        <f>IF($V343="","",SUMIFS('Per Line'!$AC$2:$AC$1501,'Per Line'!$C$2:$C$1501,$C343,'Per Line'!$AK$2:$AK$1501,1))</f>
        <v/>
      </c>
      <c r="Q343" s="7">
        <f>IF($V343="","",P343*O343)</f>
        <v/>
      </c>
      <c r="R343" s="7">
        <f>IF($V343="","",Q343+N343)</f>
        <v/>
      </c>
      <c r="S343" s="7">
        <f>IF($V343="","",T343-R343)</f>
        <v/>
      </c>
      <c r="T343" s="7">
        <f>IF($V343="","",M343+P343)</f>
        <v/>
      </c>
      <c r="U343" s="7">
        <f>IF($V343="","",T343-R343-K343)</f>
        <v/>
      </c>
      <c r="V343" s="13">
        <f>IF(ROWS($V$2:$V343)&lt;=MAX('Per Line'!$AJ$2:$AJ$1501),MATCH(ROWS($V$2:$V343),'Per Line'!$AJ$2:$AJ$1501,0),"")</f>
        <v/>
      </c>
    </row>
    <row r="344">
      <c r="A344" s="12" t="n"/>
      <c r="B344">
        <f>IF($V344="","",INDEX('Per Line'!$A$2:$A$1501,$V344)&amp;"")</f>
        <v/>
      </c>
      <c r="C344">
        <f>IF($V344="","",INDEX('Per Line'!$C$2:$C$1501,$V344)&amp;"")</f>
        <v/>
      </c>
      <c r="D344" s="11">
        <f>IF($V344="","",INDEX('Per Line'!$S$2:$S$1501,$V344))</f>
        <v/>
      </c>
      <c r="E344">
        <f>IF($V344="","",INDEX('Per Line'!$F$2:$F$1501,$V344)&amp;"")</f>
        <v/>
      </c>
      <c r="F344">
        <f>IF($V344="","",INDEX('Per Line'!$L$2:$L$1501,$V344)&amp;"")</f>
        <v/>
      </c>
      <c r="G344">
        <f>IF($V344="","",INDEX('Per Line'!$O$2:$O$1501,$V344)&amp;"")</f>
        <v/>
      </c>
      <c r="H344">
        <f>IF($V344="","",INDEX('Per Line'!$P$2:$P$1501,$V344)&amp;"")</f>
        <v/>
      </c>
      <c r="I344">
        <f>IF($V344="","",INDEX('Per Line'!$N$2:$N$1501,$V344)&amp;"")</f>
        <v/>
      </c>
      <c r="J344">
        <f>IF($V344="","",INDEX('Per Line'!$Q$2:$Q$1501,$V344))</f>
        <v/>
      </c>
      <c r="K344" s="7">
        <f>IF($V344="","",J344*T344/100)</f>
        <v/>
      </c>
      <c r="L344">
        <f>IF($V344="","",Settings!$C$7)</f>
        <v/>
      </c>
      <c r="M344" s="7">
        <f>IF($V344="","",SUMIFS('Per Line'!$AC$2:$AC$1501,'Per Line'!$C$2:$C$1501,$C344,'Per Line'!$AK$2:$AK$1501,0))</f>
        <v/>
      </c>
      <c r="N344" s="7">
        <f>IF($V344="","",M344*L344)</f>
        <v/>
      </c>
      <c r="O344">
        <f>IF($V344="","",Settings!$C$6)</f>
        <v/>
      </c>
      <c r="P344" s="7">
        <f>IF($V344="","",SUMIFS('Per Line'!$AC$2:$AC$1501,'Per Line'!$C$2:$C$1501,$C344,'Per Line'!$AK$2:$AK$1501,1))</f>
        <v/>
      </c>
      <c r="Q344" s="7">
        <f>IF($V344="","",P344*O344)</f>
        <v/>
      </c>
      <c r="R344" s="7">
        <f>IF($V344="","",Q344+N344)</f>
        <v/>
      </c>
      <c r="S344" s="7">
        <f>IF($V344="","",T344-R344)</f>
        <v/>
      </c>
      <c r="T344" s="7">
        <f>IF($V344="","",M344+P344)</f>
        <v/>
      </c>
      <c r="U344" s="7">
        <f>IF($V344="","",T344-R344-K344)</f>
        <v/>
      </c>
      <c r="V344" s="13">
        <f>IF(ROWS($V$2:$V344)&lt;=MAX('Per Line'!$AJ$2:$AJ$1501),MATCH(ROWS($V$2:$V344),'Per Line'!$AJ$2:$AJ$1501,0),"")</f>
        <v/>
      </c>
    </row>
    <row r="345">
      <c r="A345" s="12" t="n"/>
      <c r="B345">
        <f>IF($V345="","",INDEX('Per Line'!$A$2:$A$1501,$V345)&amp;"")</f>
        <v/>
      </c>
      <c r="C345">
        <f>IF($V345="","",INDEX('Per Line'!$C$2:$C$1501,$V345)&amp;"")</f>
        <v/>
      </c>
      <c r="D345" s="11">
        <f>IF($V345="","",INDEX('Per Line'!$S$2:$S$1501,$V345))</f>
        <v/>
      </c>
      <c r="E345">
        <f>IF($V345="","",INDEX('Per Line'!$F$2:$F$1501,$V345)&amp;"")</f>
        <v/>
      </c>
      <c r="F345">
        <f>IF($V345="","",INDEX('Per Line'!$L$2:$L$1501,$V345)&amp;"")</f>
        <v/>
      </c>
      <c r="G345">
        <f>IF($V345="","",INDEX('Per Line'!$O$2:$O$1501,$V345)&amp;"")</f>
        <v/>
      </c>
      <c r="H345">
        <f>IF($V345="","",INDEX('Per Line'!$P$2:$P$1501,$V345)&amp;"")</f>
        <v/>
      </c>
      <c r="I345">
        <f>IF($V345="","",INDEX('Per Line'!$N$2:$N$1501,$V345)&amp;"")</f>
        <v/>
      </c>
      <c r="J345">
        <f>IF($V345="","",INDEX('Per Line'!$Q$2:$Q$1501,$V345))</f>
        <v/>
      </c>
      <c r="K345" s="7">
        <f>IF($V345="","",J345*T345/100)</f>
        <v/>
      </c>
      <c r="L345">
        <f>IF($V345="","",Settings!$C$7)</f>
        <v/>
      </c>
      <c r="M345" s="7">
        <f>IF($V345="","",SUMIFS('Per Line'!$AC$2:$AC$1501,'Per Line'!$C$2:$C$1501,$C345,'Per Line'!$AK$2:$AK$1501,0))</f>
        <v/>
      </c>
      <c r="N345" s="7">
        <f>IF($V345="","",M345*L345)</f>
        <v/>
      </c>
      <c r="O345">
        <f>IF($V345="","",Settings!$C$6)</f>
        <v/>
      </c>
      <c r="P345" s="7">
        <f>IF($V345="","",SUMIFS('Per Line'!$AC$2:$AC$1501,'Per Line'!$C$2:$C$1501,$C345,'Per Line'!$AK$2:$AK$1501,1))</f>
        <v/>
      </c>
      <c r="Q345" s="7">
        <f>IF($V345="","",P345*O345)</f>
        <v/>
      </c>
      <c r="R345" s="7">
        <f>IF($V345="","",Q345+N345)</f>
        <v/>
      </c>
      <c r="S345" s="7">
        <f>IF($V345="","",T345-R345)</f>
        <v/>
      </c>
      <c r="T345" s="7">
        <f>IF($V345="","",M345+P345)</f>
        <v/>
      </c>
      <c r="U345" s="7">
        <f>IF($V345="","",T345-R345-K345)</f>
        <v/>
      </c>
      <c r="V345" s="13">
        <f>IF(ROWS($V$2:$V345)&lt;=MAX('Per Line'!$AJ$2:$AJ$1501),MATCH(ROWS($V$2:$V345),'Per Line'!$AJ$2:$AJ$1501,0),"")</f>
        <v/>
      </c>
    </row>
    <row r="346">
      <c r="A346" s="12" t="n"/>
      <c r="B346">
        <f>IF($V346="","",INDEX('Per Line'!$A$2:$A$1501,$V346)&amp;"")</f>
        <v/>
      </c>
      <c r="C346">
        <f>IF($V346="","",INDEX('Per Line'!$C$2:$C$1501,$V346)&amp;"")</f>
        <v/>
      </c>
      <c r="D346" s="11">
        <f>IF($V346="","",INDEX('Per Line'!$S$2:$S$1501,$V346))</f>
        <v/>
      </c>
      <c r="E346">
        <f>IF($V346="","",INDEX('Per Line'!$F$2:$F$1501,$V346)&amp;"")</f>
        <v/>
      </c>
      <c r="F346">
        <f>IF($V346="","",INDEX('Per Line'!$L$2:$L$1501,$V346)&amp;"")</f>
        <v/>
      </c>
      <c r="G346">
        <f>IF($V346="","",INDEX('Per Line'!$O$2:$O$1501,$V346)&amp;"")</f>
        <v/>
      </c>
      <c r="H346">
        <f>IF($V346="","",INDEX('Per Line'!$P$2:$P$1501,$V346)&amp;"")</f>
        <v/>
      </c>
      <c r="I346">
        <f>IF($V346="","",INDEX('Per Line'!$N$2:$N$1501,$V346)&amp;"")</f>
        <v/>
      </c>
      <c r="J346">
        <f>IF($V346="","",INDEX('Per Line'!$Q$2:$Q$1501,$V346))</f>
        <v/>
      </c>
      <c r="K346" s="7">
        <f>IF($V346="","",J346*T346/100)</f>
        <v/>
      </c>
      <c r="L346">
        <f>IF($V346="","",Settings!$C$7)</f>
        <v/>
      </c>
      <c r="M346" s="7">
        <f>IF($V346="","",SUMIFS('Per Line'!$AC$2:$AC$1501,'Per Line'!$C$2:$C$1501,$C346,'Per Line'!$AK$2:$AK$1501,0))</f>
        <v/>
      </c>
      <c r="N346" s="7">
        <f>IF($V346="","",M346*L346)</f>
        <v/>
      </c>
      <c r="O346">
        <f>IF($V346="","",Settings!$C$6)</f>
        <v/>
      </c>
      <c r="P346" s="7">
        <f>IF($V346="","",SUMIFS('Per Line'!$AC$2:$AC$1501,'Per Line'!$C$2:$C$1501,$C346,'Per Line'!$AK$2:$AK$1501,1))</f>
        <v/>
      </c>
      <c r="Q346" s="7">
        <f>IF($V346="","",P346*O346)</f>
        <v/>
      </c>
      <c r="R346" s="7">
        <f>IF($V346="","",Q346+N346)</f>
        <v/>
      </c>
      <c r="S346" s="7">
        <f>IF($V346="","",T346-R346)</f>
        <v/>
      </c>
      <c r="T346" s="7">
        <f>IF($V346="","",M346+P346)</f>
        <v/>
      </c>
      <c r="U346" s="7">
        <f>IF($V346="","",T346-R346-K346)</f>
        <v/>
      </c>
      <c r="V346" s="13">
        <f>IF(ROWS($V$2:$V346)&lt;=MAX('Per Line'!$AJ$2:$AJ$1501),MATCH(ROWS($V$2:$V346),'Per Line'!$AJ$2:$AJ$1501,0),"")</f>
        <v/>
      </c>
    </row>
    <row r="347">
      <c r="A347" s="12" t="n"/>
      <c r="B347">
        <f>IF($V347="","",INDEX('Per Line'!$A$2:$A$1501,$V347)&amp;"")</f>
        <v/>
      </c>
      <c r="C347">
        <f>IF($V347="","",INDEX('Per Line'!$C$2:$C$1501,$V347)&amp;"")</f>
        <v/>
      </c>
      <c r="D347" s="11">
        <f>IF($V347="","",INDEX('Per Line'!$S$2:$S$1501,$V347))</f>
        <v/>
      </c>
      <c r="E347">
        <f>IF($V347="","",INDEX('Per Line'!$F$2:$F$1501,$V347)&amp;"")</f>
        <v/>
      </c>
      <c r="F347">
        <f>IF($V347="","",INDEX('Per Line'!$L$2:$L$1501,$V347)&amp;"")</f>
        <v/>
      </c>
      <c r="G347">
        <f>IF($V347="","",INDEX('Per Line'!$O$2:$O$1501,$V347)&amp;"")</f>
        <v/>
      </c>
      <c r="H347">
        <f>IF($V347="","",INDEX('Per Line'!$P$2:$P$1501,$V347)&amp;"")</f>
        <v/>
      </c>
      <c r="I347">
        <f>IF($V347="","",INDEX('Per Line'!$N$2:$N$1501,$V347)&amp;"")</f>
        <v/>
      </c>
      <c r="J347">
        <f>IF($V347="","",INDEX('Per Line'!$Q$2:$Q$1501,$V347))</f>
        <v/>
      </c>
      <c r="K347" s="7">
        <f>IF($V347="","",J347*T347/100)</f>
        <v/>
      </c>
      <c r="L347">
        <f>IF($V347="","",Settings!$C$7)</f>
        <v/>
      </c>
      <c r="M347" s="7">
        <f>IF($V347="","",SUMIFS('Per Line'!$AC$2:$AC$1501,'Per Line'!$C$2:$C$1501,$C347,'Per Line'!$AK$2:$AK$1501,0))</f>
        <v/>
      </c>
      <c r="N347" s="7">
        <f>IF($V347="","",M347*L347)</f>
        <v/>
      </c>
      <c r="O347">
        <f>IF($V347="","",Settings!$C$6)</f>
        <v/>
      </c>
      <c r="P347" s="7">
        <f>IF($V347="","",SUMIFS('Per Line'!$AC$2:$AC$1501,'Per Line'!$C$2:$C$1501,$C347,'Per Line'!$AK$2:$AK$1501,1))</f>
        <v/>
      </c>
      <c r="Q347" s="7">
        <f>IF($V347="","",P347*O347)</f>
        <v/>
      </c>
      <c r="R347" s="7">
        <f>IF($V347="","",Q347+N347)</f>
        <v/>
      </c>
      <c r="S347" s="7">
        <f>IF($V347="","",T347-R347)</f>
        <v/>
      </c>
      <c r="T347" s="7">
        <f>IF($V347="","",M347+P347)</f>
        <v/>
      </c>
      <c r="U347" s="7">
        <f>IF($V347="","",T347-R347-K347)</f>
        <v/>
      </c>
      <c r="V347" s="13">
        <f>IF(ROWS($V$2:$V347)&lt;=MAX('Per Line'!$AJ$2:$AJ$1501),MATCH(ROWS($V$2:$V347),'Per Line'!$AJ$2:$AJ$1501,0),"")</f>
        <v/>
      </c>
    </row>
    <row r="348">
      <c r="A348" s="12" t="n"/>
      <c r="B348">
        <f>IF($V348="","",INDEX('Per Line'!$A$2:$A$1501,$V348)&amp;"")</f>
        <v/>
      </c>
      <c r="C348">
        <f>IF($V348="","",INDEX('Per Line'!$C$2:$C$1501,$V348)&amp;"")</f>
        <v/>
      </c>
      <c r="D348" s="11">
        <f>IF($V348="","",INDEX('Per Line'!$S$2:$S$1501,$V348))</f>
        <v/>
      </c>
      <c r="E348">
        <f>IF($V348="","",INDEX('Per Line'!$F$2:$F$1501,$V348)&amp;"")</f>
        <v/>
      </c>
      <c r="F348">
        <f>IF($V348="","",INDEX('Per Line'!$L$2:$L$1501,$V348)&amp;"")</f>
        <v/>
      </c>
      <c r="G348">
        <f>IF($V348="","",INDEX('Per Line'!$O$2:$O$1501,$V348)&amp;"")</f>
        <v/>
      </c>
      <c r="H348">
        <f>IF($V348="","",INDEX('Per Line'!$P$2:$P$1501,$V348)&amp;"")</f>
        <v/>
      </c>
      <c r="I348">
        <f>IF($V348="","",INDEX('Per Line'!$N$2:$N$1501,$V348)&amp;"")</f>
        <v/>
      </c>
      <c r="J348">
        <f>IF($V348="","",INDEX('Per Line'!$Q$2:$Q$1501,$V348))</f>
        <v/>
      </c>
      <c r="K348" s="7">
        <f>IF($V348="","",J348*T348/100)</f>
        <v/>
      </c>
      <c r="L348">
        <f>IF($V348="","",Settings!$C$7)</f>
        <v/>
      </c>
      <c r="M348" s="7">
        <f>IF($V348="","",SUMIFS('Per Line'!$AC$2:$AC$1501,'Per Line'!$C$2:$C$1501,$C348,'Per Line'!$AK$2:$AK$1501,0))</f>
        <v/>
      </c>
      <c r="N348" s="7">
        <f>IF($V348="","",M348*L348)</f>
        <v/>
      </c>
      <c r="O348">
        <f>IF($V348="","",Settings!$C$6)</f>
        <v/>
      </c>
      <c r="P348" s="7">
        <f>IF($V348="","",SUMIFS('Per Line'!$AC$2:$AC$1501,'Per Line'!$C$2:$C$1501,$C348,'Per Line'!$AK$2:$AK$1501,1))</f>
        <v/>
      </c>
      <c r="Q348" s="7">
        <f>IF($V348="","",P348*O348)</f>
        <v/>
      </c>
      <c r="R348" s="7">
        <f>IF($V348="","",Q348+N348)</f>
        <v/>
      </c>
      <c r="S348" s="7">
        <f>IF($V348="","",T348-R348)</f>
        <v/>
      </c>
      <c r="T348" s="7">
        <f>IF($V348="","",M348+P348)</f>
        <v/>
      </c>
      <c r="U348" s="7">
        <f>IF($V348="","",T348-R348-K348)</f>
        <v/>
      </c>
      <c r="V348" s="13">
        <f>IF(ROWS($V$2:$V348)&lt;=MAX('Per Line'!$AJ$2:$AJ$1501),MATCH(ROWS($V$2:$V348),'Per Line'!$AJ$2:$AJ$1501,0),"")</f>
        <v/>
      </c>
    </row>
    <row r="349">
      <c r="A349" s="12" t="n"/>
      <c r="B349">
        <f>IF($V349="","",INDEX('Per Line'!$A$2:$A$1501,$V349)&amp;"")</f>
        <v/>
      </c>
      <c r="C349">
        <f>IF($V349="","",INDEX('Per Line'!$C$2:$C$1501,$V349)&amp;"")</f>
        <v/>
      </c>
      <c r="D349" s="11">
        <f>IF($V349="","",INDEX('Per Line'!$S$2:$S$1501,$V349))</f>
        <v/>
      </c>
      <c r="E349">
        <f>IF($V349="","",INDEX('Per Line'!$F$2:$F$1501,$V349)&amp;"")</f>
        <v/>
      </c>
      <c r="F349">
        <f>IF($V349="","",INDEX('Per Line'!$L$2:$L$1501,$V349)&amp;"")</f>
        <v/>
      </c>
      <c r="G349">
        <f>IF($V349="","",INDEX('Per Line'!$O$2:$O$1501,$V349)&amp;"")</f>
        <v/>
      </c>
      <c r="H349">
        <f>IF($V349="","",INDEX('Per Line'!$P$2:$P$1501,$V349)&amp;"")</f>
        <v/>
      </c>
      <c r="I349">
        <f>IF($V349="","",INDEX('Per Line'!$N$2:$N$1501,$V349)&amp;"")</f>
        <v/>
      </c>
      <c r="J349">
        <f>IF($V349="","",INDEX('Per Line'!$Q$2:$Q$1501,$V349))</f>
        <v/>
      </c>
      <c r="K349" s="7">
        <f>IF($V349="","",J349*T349/100)</f>
        <v/>
      </c>
      <c r="L349">
        <f>IF($V349="","",Settings!$C$7)</f>
        <v/>
      </c>
      <c r="M349" s="7">
        <f>IF($V349="","",SUMIFS('Per Line'!$AC$2:$AC$1501,'Per Line'!$C$2:$C$1501,$C349,'Per Line'!$AK$2:$AK$1501,0))</f>
        <v/>
      </c>
      <c r="N349" s="7">
        <f>IF($V349="","",M349*L349)</f>
        <v/>
      </c>
      <c r="O349">
        <f>IF($V349="","",Settings!$C$6)</f>
        <v/>
      </c>
      <c r="P349" s="7">
        <f>IF($V349="","",SUMIFS('Per Line'!$AC$2:$AC$1501,'Per Line'!$C$2:$C$1501,$C349,'Per Line'!$AK$2:$AK$1501,1))</f>
        <v/>
      </c>
      <c r="Q349" s="7">
        <f>IF($V349="","",P349*O349)</f>
        <v/>
      </c>
      <c r="R349" s="7">
        <f>IF($V349="","",Q349+N349)</f>
        <v/>
      </c>
      <c r="S349" s="7">
        <f>IF($V349="","",T349-R349)</f>
        <v/>
      </c>
      <c r="T349" s="7">
        <f>IF($V349="","",M349+P349)</f>
        <v/>
      </c>
      <c r="U349" s="7">
        <f>IF($V349="","",T349-R349-K349)</f>
        <v/>
      </c>
      <c r="V349" s="13">
        <f>IF(ROWS($V$2:$V349)&lt;=MAX('Per Line'!$AJ$2:$AJ$1501),MATCH(ROWS($V$2:$V349),'Per Line'!$AJ$2:$AJ$1501,0),"")</f>
        <v/>
      </c>
    </row>
    <row r="350">
      <c r="A350" s="12" t="n"/>
      <c r="B350">
        <f>IF($V350="","",INDEX('Per Line'!$A$2:$A$1501,$V350)&amp;"")</f>
        <v/>
      </c>
      <c r="C350">
        <f>IF($V350="","",INDEX('Per Line'!$C$2:$C$1501,$V350)&amp;"")</f>
        <v/>
      </c>
      <c r="D350" s="11">
        <f>IF($V350="","",INDEX('Per Line'!$S$2:$S$1501,$V350))</f>
        <v/>
      </c>
      <c r="E350">
        <f>IF($V350="","",INDEX('Per Line'!$F$2:$F$1501,$V350)&amp;"")</f>
        <v/>
      </c>
      <c r="F350">
        <f>IF($V350="","",INDEX('Per Line'!$L$2:$L$1501,$V350)&amp;"")</f>
        <v/>
      </c>
      <c r="G350">
        <f>IF($V350="","",INDEX('Per Line'!$O$2:$O$1501,$V350)&amp;"")</f>
        <v/>
      </c>
      <c r="H350">
        <f>IF($V350="","",INDEX('Per Line'!$P$2:$P$1501,$V350)&amp;"")</f>
        <v/>
      </c>
      <c r="I350">
        <f>IF($V350="","",INDEX('Per Line'!$N$2:$N$1501,$V350)&amp;"")</f>
        <v/>
      </c>
      <c r="J350">
        <f>IF($V350="","",INDEX('Per Line'!$Q$2:$Q$1501,$V350))</f>
        <v/>
      </c>
      <c r="K350" s="7">
        <f>IF($V350="","",J350*T350/100)</f>
        <v/>
      </c>
      <c r="L350">
        <f>IF($V350="","",Settings!$C$7)</f>
        <v/>
      </c>
      <c r="M350" s="7">
        <f>IF($V350="","",SUMIFS('Per Line'!$AC$2:$AC$1501,'Per Line'!$C$2:$C$1501,$C350,'Per Line'!$AK$2:$AK$1501,0))</f>
        <v/>
      </c>
      <c r="N350" s="7">
        <f>IF($V350="","",M350*L350)</f>
        <v/>
      </c>
      <c r="O350">
        <f>IF($V350="","",Settings!$C$6)</f>
        <v/>
      </c>
      <c r="P350" s="7">
        <f>IF($V350="","",SUMIFS('Per Line'!$AC$2:$AC$1501,'Per Line'!$C$2:$C$1501,$C350,'Per Line'!$AK$2:$AK$1501,1))</f>
        <v/>
      </c>
      <c r="Q350" s="7">
        <f>IF($V350="","",P350*O350)</f>
        <v/>
      </c>
      <c r="R350" s="7">
        <f>IF($V350="","",Q350+N350)</f>
        <v/>
      </c>
      <c r="S350" s="7">
        <f>IF($V350="","",T350-R350)</f>
        <v/>
      </c>
      <c r="T350" s="7">
        <f>IF($V350="","",M350+P350)</f>
        <v/>
      </c>
      <c r="U350" s="7">
        <f>IF($V350="","",T350-R350-K350)</f>
        <v/>
      </c>
      <c r="V350" s="13">
        <f>IF(ROWS($V$2:$V350)&lt;=MAX('Per Line'!$AJ$2:$AJ$1501),MATCH(ROWS($V$2:$V350),'Per Line'!$AJ$2:$AJ$1501,0),"")</f>
        <v/>
      </c>
    </row>
    <row r="351">
      <c r="A351" s="12" t="n"/>
      <c r="B351">
        <f>IF($V351="","",INDEX('Per Line'!$A$2:$A$1501,$V351)&amp;"")</f>
        <v/>
      </c>
      <c r="C351">
        <f>IF($V351="","",INDEX('Per Line'!$C$2:$C$1501,$V351)&amp;"")</f>
        <v/>
      </c>
      <c r="D351" s="11">
        <f>IF($V351="","",INDEX('Per Line'!$S$2:$S$1501,$V351))</f>
        <v/>
      </c>
      <c r="E351">
        <f>IF($V351="","",INDEX('Per Line'!$F$2:$F$1501,$V351)&amp;"")</f>
        <v/>
      </c>
      <c r="F351">
        <f>IF($V351="","",INDEX('Per Line'!$L$2:$L$1501,$V351)&amp;"")</f>
        <v/>
      </c>
      <c r="G351">
        <f>IF($V351="","",INDEX('Per Line'!$O$2:$O$1501,$V351)&amp;"")</f>
        <v/>
      </c>
      <c r="H351">
        <f>IF($V351="","",INDEX('Per Line'!$P$2:$P$1501,$V351)&amp;"")</f>
        <v/>
      </c>
      <c r="I351">
        <f>IF($V351="","",INDEX('Per Line'!$N$2:$N$1501,$V351)&amp;"")</f>
        <v/>
      </c>
      <c r="J351">
        <f>IF($V351="","",INDEX('Per Line'!$Q$2:$Q$1501,$V351))</f>
        <v/>
      </c>
      <c r="K351" s="7">
        <f>IF($V351="","",J351*T351/100)</f>
        <v/>
      </c>
      <c r="L351">
        <f>IF($V351="","",Settings!$C$7)</f>
        <v/>
      </c>
      <c r="M351" s="7">
        <f>IF($V351="","",SUMIFS('Per Line'!$AC$2:$AC$1501,'Per Line'!$C$2:$C$1501,$C351,'Per Line'!$AK$2:$AK$1501,0))</f>
        <v/>
      </c>
      <c r="N351" s="7">
        <f>IF($V351="","",M351*L351)</f>
        <v/>
      </c>
      <c r="O351">
        <f>IF($V351="","",Settings!$C$6)</f>
        <v/>
      </c>
      <c r="P351" s="7">
        <f>IF($V351="","",SUMIFS('Per Line'!$AC$2:$AC$1501,'Per Line'!$C$2:$C$1501,$C351,'Per Line'!$AK$2:$AK$1501,1))</f>
        <v/>
      </c>
      <c r="Q351" s="7">
        <f>IF($V351="","",P351*O351)</f>
        <v/>
      </c>
      <c r="R351" s="7">
        <f>IF($V351="","",Q351+N351)</f>
        <v/>
      </c>
      <c r="S351" s="7">
        <f>IF($V351="","",T351-R351)</f>
        <v/>
      </c>
      <c r="T351" s="7">
        <f>IF($V351="","",M351+P351)</f>
        <v/>
      </c>
      <c r="U351" s="7">
        <f>IF($V351="","",T351-R351-K351)</f>
        <v/>
      </c>
      <c r="V351" s="13">
        <f>IF(ROWS($V$2:$V351)&lt;=MAX('Per Line'!$AJ$2:$AJ$1501),MATCH(ROWS($V$2:$V351),'Per Line'!$AJ$2:$AJ$1501,0),"")</f>
        <v/>
      </c>
    </row>
    <row r="352">
      <c r="A352" s="12" t="n"/>
      <c r="B352">
        <f>IF($V352="","",INDEX('Per Line'!$A$2:$A$1501,$V352)&amp;"")</f>
        <v/>
      </c>
      <c r="C352">
        <f>IF($V352="","",INDEX('Per Line'!$C$2:$C$1501,$V352)&amp;"")</f>
        <v/>
      </c>
      <c r="D352" s="11">
        <f>IF($V352="","",INDEX('Per Line'!$S$2:$S$1501,$V352))</f>
        <v/>
      </c>
      <c r="E352">
        <f>IF($V352="","",INDEX('Per Line'!$F$2:$F$1501,$V352)&amp;"")</f>
        <v/>
      </c>
      <c r="F352">
        <f>IF($V352="","",INDEX('Per Line'!$L$2:$L$1501,$V352)&amp;"")</f>
        <v/>
      </c>
      <c r="G352">
        <f>IF($V352="","",INDEX('Per Line'!$O$2:$O$1501,$V352)&amp;"")</f>
        <v/>
      </c>
      <c r="H352">
        <f>IF($V352="","",INDEX('Per Line'!$P$2:$P$1501,$V352)&amp;"")</f>
        <v/>
      </c>
      <c r="I352">
        <f>IF($V352="","",INDEX('Per Line'!$N$2:$N$1501,$V352)&amp;"")</f>
        <v/>
      </c>
      <c r="J352">
        <f>IF($V352="","",INDEX('Per Line'!$Q$2:$Q$1501,$V352))</f>
        <v/>
      </c>
      <c r="K352" s="7">
        <f>IF($V352="","",J352*T352/100)</f>
        <v/>
      </c>
      <c r="L352">
        <f>IF($V352="","",Settings!$C$7)</f>
        <v/>
      </c>
      <c r="M352" s="7">
        <f>IF($V352="","",SUMIFS('Per Line'!$AC$2:$AC$1501,'Per Line'!$C$2:$C$1501,$C352,'Per Line'!$AK$2:$AK$1501,0))</f>
        <v/>
      </c>
      <c r="N352" s="7">
        <f>IF($V352="","",M352*L352)</f>
        <v/>
      </c>
      <c r="O352">
        <f>IF($V352="","",Settings!$C$6)</f>
        <v/>
      </c>
      <c r="P352" s="7">
        <f>IF($V352="","",SUMIFS('Per Line'!$AC$2:$AC$1501,'Per Line'!$C$2:$C$1501,$C352,'Per Line'!$AK$2:$AK$1501,1))</f>
        <v/>
      </c>
      <c r="Q352" s="7">
        <f>IF($V352="","",P352*O352)</f>
        <v/>
      </c>
      <c r="R352" s="7">
        <f>IF($V352="","",Q352+N352)</f>
        <v/>
      </c>
      <c r="S352" s="7">
        <f>IF($V352="","",T352-R352)</f>
        <v/>
      </c>
      <c r="T352" s="7">
        <f>IF($V352="","",M352+P352)</f>
        <v/>
      </c>
      <c r="U352" s="7">
        <f>IF($V352="","",T352-R352-K352)</f>
        <v/>
      </c>
      <c r="V352" s="13">
        <f>IF(ROWS($V$2:$V352)&lt;=MAX('Per Line'!$AJ$2:$AJ$1501),MATCH(ROWS($V$2:$V352),'Per Line'!$AJ$2:$AJ$1501,0),"")</f>
        <v/>
      </c>
    </row>
    <row r="353">
      <c r="A353" s="12" t="n"/>
      <c r="B353">
        <f>IF($V353="","",INDEX('Per Line'!$A$2:$A$1501,$V353)&amp;"")</f>
        <v/>
      </c>
      <c r="C353">
        <f>IF($V353="","",INDEX('Per Line'!$C$2:$C$1501,$V353)&amp;"")</f>
        <v/>
      </c>
      <c r="D353" s="11">
        <f>IF($V353="","",INDEX('Per Line'!$S$2:$S$1501,$V353))</f>
        <v/>
      </c>
      <c r="E353">
        <f>IF($V353="","",INDEX('Per Line'!$F$2:$F$1501,$V353)&amp;"")</f>
        <v/>
      </c>
      <c r="F353">
        <f>IF($V353="","",INDEX('Per Line'!$L$2:$L$1501,$V353)&amp;"")</f>
        <v/>
      </c>
      <c r="G353">
        <f>IF($V353="","",INDEX('Per Line'!$O$2:$O$1501,$V353)&amp;"")</f>
        <v/>
      </c>
      <c r="H353">
        <f>IF($V353="","",INDEX('Per Line'!$P$2:$P$1501,$V353)&amp;"")</f>
        <v/>
      </c>
      <c r="I353">
        <f>IF($V353="","",INDEX('Per Line'!$N$2:$N$1501,$V353)&amp;"")</f>
        <v/>
      </c>
      <c r="J353">
        <f>IF($V353="","",INDEX('Per Line'!$Q$2:$Q$1501,$V353))</f>
        <v/>
      </c>
      <c r="K353" s="7">
        <f>IF($V353="","",J353*T353/100)</f>
        <v/>
      </c>
      <c r="L353">
        <f>IF($V353="","",Settings!$C$7)</f>
        <v/>
      </c>
      <c r="M353" s="7">
        <f>IF($V353="","",SUMIFS('Per Line'!$AC$2:$AC$1501,'Per Line'!$C$2:$C$1501,$C353,'Per Line'!$AK$2:$AK$1501,0))</f>
        <v/>
      </c>
      <c r="N353" s="7">
        <f>IF($V353="","",M353*L353)</f>
        <v/>
      </c>
      <c r="O353">
        <f>IF($V353="","",Settings!$C$6)</f>
        <v/>
      </c>
      <c r="P353" s="7">
        <f>IF($V353="","",SUMIFS('Per Line'!$AC$2:$AC$1501,'Per Line'!$C$2:$C$1501,$C353,'Per Line'!$AK$2:$AK$1501,1))</f>
        <v/>
      </c>
      <c r="Q353" s="7">
        <f>IF($V353="","",P353*O353)</f>
        <v/>
      </c>
      <c r="R353" s="7">
        <f>IF($V353="","",Q353+N353)</f>
        <v/>
      </c>
      <c r="S353" s="7">
        <f>IF($V353="","",T353-R353)</f>
        <v/>
      </c>
      <c r="T353" s="7">
        <f>IF($V353="","",M353+P353)</f>
        <v/>
      </c>
      <c r="U353" s="7">
        <f>IF($V353="","",T353-R353-K353)</f>
        <v/>
      </c>
      <c r="V353" s="13">
        <f>IF(ROWS($V$2:$V353)&lt;=MAX('Per Line'!$AJ$2:$AJ$1501),MATCH(ROWS($V$2:$V353),'Per Line'!$AJ$2:$AJ$1501,0),"")</f>
        <v/>
      </c>
    </row>
    <row r="354">
      <c r="A354" s="12" t="n"/>
      <c r="B354">
        <f>IF($V354="","",INDEX('Per Line'!$A$2:$A$1501,$V354)&amp;"")</f>
        <v/>
      </c>
      <c r="C354">
        <f>IF($V354="","",INDEX('Per Line'!$C$2:$C$1501,$V354)&amp;"")</f>
        <v/>
      </c>
      <c r="D354" s="11">
        <f>IF($V354="","",INDEX('Per Line'!$S$2:$S$1501,$V354))</f>
        <v/>
      </c>
      <c r="E354">
        <f>IF($V354="","",INDEX('Per Line'!$F$2:$F$1501,$V354)&amp;"")</f>
        <v/>
      </c>
      <c r="F354">
        <f>IF($V354="","",INDEX('Per Line'!$L$2:$L$1501,$V354)&amp;"")</f>
        <v/>
      </c>
      <c r="G354">
        <f>IF($V354="","",INDEX('Per Line'!$O$2:$O$1501,$V354)&amp;"")</f>
        <v/>
      </c>
      <c r="H354">
        <f>IF($V354="","",INDEX('Per Line'!$P$2:$P$1501,$V354)&amp;"")</f>
        <v/>
      </c>
      <c r="I354">
        <f>IF($V354="","",INDEX('Per Line'!$N$2:$N$1501,$V354)&amp;"")</f>
        <v/>
      </c>
      <c r="J354">
        <f>IF($V354="","",INDEX('Per Line'!$Q$2:$Q$1501,$V354))</f>
        <v/>
      </c>
      <c r="K354" s="7">
        <f>IF($V354="","",J354*T354/100)</f>
        <v/>
      </c>
      <c r="L354">
        <f>IF($V354="","",Settings!$C$7)</f>
        <v/>
      </c>
      <c r="M354" s="7">
        <f>IF($V354="","",SUMIFS('Per Line'!$AC$2:$AC$1501,'Per Line'!$C$2:$C$1501,$C354,'Per Line'!$AK$2:$AK$1501,0))</f>
        <v/>
      </c>
      <c r="N354" s="7">
        <f>IF($V354="","",M354*L354)</f>
        <v/>
      </c>
      <c r="O354">
        <f>IF($V354="","",Settings!$C$6)</f>
        <v/>
      </c>
      <c r="P354" s="7">
        <f>IF($V354="","",SUMIFS('Per Line'!$AC$2:$AC$1501,'Per Line'!$C$2:$C$1501,$C354,'Per Line'!$AK$2:$AK$1501,1))</f>
        <v/>
      </c>
      <c r="Q354" s="7">
        <f>IF($V354="","",P354*O354)</f>
        <v/>
      </c>
      <c r="R354" s="7">
        <f>IF($V354="","",Q354+N354)</f>
        <v/>
      </c>
      <c r="S354" s="7">
        <f>IF($V354="","",T354-R354)</f>
        <v/>
      </c>
      <c r="T354" s="7">
        <f>IF($V354="","",M354+P354)</f>
        <v/>
      </c>
      <c r="U354" s="7">
        <f>IF($V354="","",T354-R354-K354)</f>
        <v/>
      </c>
      <c r="V354" s="13">
        <f>IF(ROWS($V$2:$V354)&lt;=MAX('Per Line'!$AJ$2:$AJ$1501),MATCH(ROWS($V$2:$V354),'Per Line'!$AJ$2:$AJ$1501,0),"")</f>
        <v/>
      </c>
    </row>
    <row r="355">
      <c r="A355" s="12" t="n"/>
      <c r="B355">
        <f>IF($V355="","",INDEX('Per Line'!$A$2:$A$1501,$V355)&amp;"")</f>
        <v/>
      </c>
      <c r="C355">
        <f>IF($V355="","",INDEX('Per Line'!$C$2:$C$1501,$V355)&amp;"")</f>
        <v/>
      </c>
      <c r="D355" s="11">
        <f>IF($V355="","",INDEX('Per Line'!$S$2:$S$1501,$V355))</f>
        <v/>
      </c>
      <c r="E355">
        <f>IF($V355="","",INDEX('Per Line'!$F$2:$F$1501,$V355)&amp;"")</f>
        <v/>
      </c>
      <c r="F355">
        <f>IF($V355="","",INDEX('Per Line'!$L$2:$L$1501,$V355)&amp;"")</f>
        <v/>
      </c>
      <c r="G355">
        <f>IF($V355="","",INDEX('Per Line'!$O$2:$O$1501,$V355)&amp;"")</f>
        <v/>
      </c>
      <c r="H355">
        <f>IF($V355="","",INDEX('Per Line'!$P$2:$P$1501,$V355)&amp;"")</f>
        <v/>
      </c>
      <c r="I355">
        <f>IF($V355="","",INDEX('Per Line'!$N$2:$N$1501,$V355)&amp;"")</f>
        <v/>
      </c>
      <c r="J355">
        <f>IF($V355="","",INDEX('Per Line'!$Q$2:$Q$1501,$V355))</f>
        <v/>
      </c>
      <c r="K355" s="7">
        <f>IF($V355="","",J355*T355/100)</f>
        <v/>
      </c>
      <c r="L355">
        <f>IF($V355="","",Settings!$C$7)</f>
        <v/>
      </c>
      <c r="M355" s="7">
        <f>IF($V355="","",SUMIFS('Per Line'!$AC$2:$AC$1501,'Per Line'!$C$2:$C$1501,$C355,'Per Line'!$AK$2:$AK$1501,0))</f>
        <v/>
      </c>
      <c r="N355" s="7">
        <f>IF($V355="","",M355*L355)</f>
        <v/>
      </c>
      <c r="O355">
        <f>IF($V355="","",Settings!$C$6)</f>
        <v/>
      </c>
      <c r="P355" s="7">
        <f>IF($V355="","",SUMIFS('Per Line'!$AC$2:$AC$1501,'Per Line'!$C$2:$C$1501,$C355,'Per Line'!$AK$2:$AK$1501,1))</f>
        <v/>
      </c>
      <c r="Q355" s="7">
        <f>IF($V355="","",P355*O355)</f>
        <v/>
      </c>
      <c r="R355" s="7">
        <f>IF($V355="","",Q355+N355)</f>
        <v/>
      </c>
      <c r="S355" s="7">
        <f>IF($V355="","",T355-R355)</f>
        <v/>
      </c>
      <c r="T355" s="7">
        <f>IF($V355="","",M355+P355)</f>
        <v/>
      </c>
      <c r="U355" s="7">
        <f>IF($V355="","",T355-R355-K355)</f>
        <v/>
      </c>
      <c r="V355" s="13">
        <f>IF(ROWS($V$2:$V355)&lt;=MAX('Per Line'!$AJ$2:$AJ$1501),MATCH(ROWS($V$2:$V355),'Per Line'!$AJ$2:$AJ$1501,0),"")</f>
        <v/>
      </c>
    </row>
    <row r="356">
      <c r="A356" s="12" t="n"/>
      <c r="B356">
        <f>IF($V356="","",INDEX('Per Line'!$A$2:$A$1501,$V356)&amp;"")</f>
        <v/>
      </c>
      <c r="C356">
        <f>IF($V356="","",INDEX('Per Line'!$C$2:$C$1501,$V356)&amp;"")</f>
        <v/>
      </c>
      <c r="D356" s="11">
        <f>IF($V356="","",INDEX('Per Line'!$S$2:$S$1501,$V356))</f>
        <v/>
      </c>
      <c r="E356">
        <f>IF($V356="","",INDEX('Per Line'!$F$2:$F$1501,$V356)&amp;"")</f>
        <v/>
      </c>
      <c r="F356">
        <f>IF($V356="","",INDEX('Per Line'!$L$2:$L$1501,$V356)&amp;"")</f>
        <v/>
      </c>
      <c r="G356">
        <f>IF($V356="","",INDEX('Per Line'!$O$2:$O$1501,$V356)&amp;"")</f>
        <v/>
      </c>
      <c r="H356">
        <f>IF($V356="","",INDEX('Per Line'!$P$2:$P$1501,$V356)&amp;"")</f>
        <v/>
      </c>
      <c r="I356">
        <f>IF($V356="","",INDEX('Per Line'!$N$2:$N$1501,$V356)&amp;"")</f>
        <v/>
      </c>
      <c r="J356">
        <f>IF($V356="","",INDEX('Per Line'!$Q$2:$Q$1501,$V356))</f>
        <v/>
      </c>
      <c r="K356" s="7">
        <f>IF($V356="","",J356*T356/100)</f>
        <v/>
      </c>
      <c r="L356">
        <f>IF($V356="","",Settings!$C$7)</f>
        <v/>
      </c>
      <c r="M356" s="7">
        <f>IF($V356="","",SUMIFS('Per Line'!$AC$2:$AC$1501,'Per Line'!$C$2:$C$1501,$C356,'Per Line'!$AK$2:$AK$1501,0))</f>
        <v/>
      </c>
      <c r="N356" s="7">
        <f>IF($V356="","",M356*L356)</f>
        <v/>
      </c>
      <c r="O356">
        <f>IF($V356="","",Settings!$C$6)</f>
        <v/>
      </c>
      <c r="P356" s="7">
        <f>IF($V356="","",SUMIFS('Per Line'!$AC$2:$AC$1501,'Per Line'!$C$2:$C$1501,$C356,'Per Line'!$AK$2:$AK$1501,1))</f>
        <v/>
      </c>
      <c r="Q356" s="7">
        <f>IF($V356="","",P356*O356)</f>
        <v/>
      </c>
      <c r="R356" s="7">
        <f>IF($V356="","",Q356+N356)</f>
        <v/>
      </c>
      <c r="S356" s="7">
        <f>IF($V356="","",T356-R356)</f>
        <v/>
      </c>
      <c r="T356" s="7">
        <f>IF($V356="","",M356+P356)</f>
        <v/>
      </c>
      <c r="U356" s="7">
        <f>IF($V356="","",T356-R356-K356)</f>
        <v/>
      </c>
      <c r="V356" s="13">
        <f>IF(ROWS($V$2:$V356)&lt;=MAX('Per Line'!$AJ$2:$AJ$1501),MATCH(ROWS($V$2:$V356),'Per Line'!$AJ$2:$AJ$1501,0),"")</f>
        <v/>
      </c>
    </row>
    <row r="357">
      <c r="A357" s="12" t="n"/>
      <c r="B357">
        <f>IF($V357="","",INDEX('Per Line'!$A$2:$A$1501,$V357)&amp;"")</f>
        <v/>
      </c>
      <c r="C357">
        <f>IF($V357="","",INDEX('Per Line'!$C$2:$C$1501,$V357)&amp;"")</f>
        <v/>
      </c>
      <c r="D357" s="11">
        <f>IF($V357="","",INDEX('Per Line'!$S$2:$S$1501,$V357))</f>
        <v/>
      </c>
      <c r="E357">
        <f>IF($V357="","",INDEX('Per Line'!$F$2:$F$1501,$V357)&amp;"")</f>
        <v/>
      </c>
      <c r="F357">
        <f>IF($V357="","",INDEX('Per Line'!$L$2:$L$1501,$V357)&amp;"")</f>
        <v/>
      </c>
      <c r="G357">
        <f>IF($V357="","",INDEX('Per Line'!$O$2:$O$1501,$V357)&amp;"")</f>
        <v/>
      </c>
      <c r="H357">
        <f>IF($V357="","",INDEX('Per Line'!$P$2:$P$1501,$V357)&amp;"")</f>
        <v/>
      </c>
      <c r="I357">
        <f>IF($V357="","",INDEX('Per Line'!$N$2:$N$1501,$V357)&amp;"")</f>
        <v/>
      </c>
      <c r="J357">
        <f>IF($V357="","",INDEX('Per Line'!$Q$2:$Q$1501,$V357))</f>
        <v/>
      </c>
      <c r="K357" s="7">
        <f>IF($V357="","",J357*T357/100)</f>
        <v/>
      </c>
      <c r="L357">
        <f>IF($V357="","",Settings!$C$7)</f>
        <v/>
      </c>
      <c r="M357" s="7">
        <f>IF($V357="","",SUMIFS('Per Line'!$AC$2:$AC$1501,'Per Line'!$C$2:$C$1501,$C357,'Per Line'!$AK$2:$AK$1501,0))</f>
        <v/>
      </c>
      <c r="N357" s="7">
        <f>IF($V357="","",M357*L357)</f>
        <v/>
      </c>
      <c r="O357">
        <f>IF($V357="","",Settings!$C$6)</f>
        <v/>
      </c>
      <c r="P357" s="7">
        <f>IF($V357="","",SUMIFS('Per Line'!$AC$2:$AC$1501,'Per Line'!$C$2:$C$1501,$C357,'Per Line'!$AK$2:$AK$1501,1))</f>
        <v/>
      </c>
      <c r="Q357" s="7">
        <f>IF($V357="","",P357*O357)</f>
        <v/>
      </c>
      <c r="R357" s="7">
        <f>IF($V357="","",Q357+N357)</f>
        <v/>
      </c>
      <c r="S357" s="7">
        <f>IF($V357="","",T357-R357)</f>
        <v/>
      </c>
      <c r="T357" s="7">
        <f>IF($V357="","",M357+P357)</f>
        <v/>
      </c>
      <c r="U357" s="7">
        <f>IF($V357="","",T357-R357-K357)</f>
        <v/>
      </c>
      <c r="V357" s="13">
        <f>IF(ROWS($V$2:$V357)&lt;=MAX('Per Line'!$AJ$2:$AJ$1501),MATCH(ROWS($V$2:$V357),'Per Line'!$AJ$2:$AJ$1501,0),"")</f>
        <v/>
      </c>
    </row>
    <row r="358">
      <c r="A358" s="12" t="n"/>
      <c r="B358">
        <f>IF($V358="","",INDEX('Per Line'!$A$2:$A$1501,$V358)&amp;"")</f>
        <v/>
      </c>
      <c r="C358">
        <f>IF($V358="","",INDEX('Per Line'!$C$2:$C$1501,$V358)&amp;"")</f>
        <v/>
      </c>
      <c r="D358" s="11">
        <f>IF($V358="","",INDEX('Per Line'!$S$2:$S$1501,$V358))</f>
        <v/>
      </c>
      <c r="E358">
        <f>IF($V358="","",INDEX('Per Line'!$F$2:$F$1501,$V358)&amp;"")</f>
        <v/>
      </c>
      <c r="F358">
        <f>IF($V358="","",INDEX('Per Line'!$L$2:$L$1501,$V358)&amp;"")</f>
        <v/>
      </c>
      <c r="G358">
        <f>IF($V358="","",INDEX('Per Line'!$O$2:$O$1501,$V358)&amp;"")</f>
        <v/>
      </c>
      <c r="H358">
        <f>IF($V358="","",INDEX('Per Line'!$P$2:$P$1501,$V358)&amp;"")</f>
        <v/>
      </c>
      <c r="I358">
        <f>IF($V358="","",INDEX('Per Line'!$N$2:$N$1501,$V358)&amp;"")</f>
        <v/>
      </c>
      <c r="J358">
        <f>IF($V358="","",INDEX('Per Line'!$Q$2:$Q$1501,$V358))</f>
        <v/>
      </c>
      <c r="K358" s="7">
        <f>IF($V358="","",J358*T358/100)</f>
        <v/>
      </c>
      <c r="L358">
        <f>IF($V358="","",Settings!$C$7)</f>
        <v/>
      </c>
      <c r="M358" s="7">
        <f>IF($V358="","",SUMIFS('Per Line'!$AC$2:$AC$1501,'Per Line'!$C$2:$C$1501,$C358,'Per Line'!$AK$2:$AK$1501,0))</f>
        <v/>
      </c>
      <c r="N358" s="7">
        <f>IF($V358="","",M358*L358)</f>
        <v/>
      </c>
      <c r="O358">
        <f>IF($V358="","",Settings!$C$6)</f>
        <v/>
      </c>
      <c r="P358" s="7">
        <f>IF($V358="","",SUMIFS('Per Line'!$AC$2:$AC$1501,'Per Line'!$C$2:$C$1501,$C358,'Per Line'!$AK$2:$AK$1501,1))</f>
        <v/>
      </c>
      <c r="Q358" s="7">
        <f>IF($V358="","",P358*O358)</f>
        <v/>
      </c>
      <c r="R358" s="7">
        <f>IF($V358="","",Q358+N358)</f>
        <v/>
      </c>
      <c r="S358" s="7">
        <f>IF($V358="","",T358-R358)</f>
        <v/>
      </c>
      <c r="T358" s="7">
        <f>IF($V358="","",M358+P358)</f>
        <v/>
      </c>
      <c r="U358" s="7">
        <f>IF($V358="","",T358-R358-K358)</f>
        <v/>
      </c>
      <c r="V358" s="13">
        <f>IF(ROWS($V$2:$V358)&lt;=MAX('Per Line'!$AJ$2:$AJ$1501),MATCH(ROWS($V$2:$V358),'Per Line'!$AJ$2:$AJ$1501,0),"")</f>
        <v/>
      </c>
    </row>
    <row r="359">
      <c r="A359" s="12" t="n"/>
      <c r="B359">
        <f>IF($V359="","",INDEX('Per Line'!$A$2:$A$1501,$V359)&amp;"")</f>
        <v/>
      </c>
      <c r="C359">
        <f>IF($V359="","",INDEX('Per Line'!$C$2:$C$1501,$V359)&amp;"")</f>
        <v/>
      </c>
      <c r="D359" s="11">
        <f>IF($V359="","",INDEX('Per Line'!$S$2:$S$1501,$V359))</f>
        <v/>
      </c>
      <c r="E359">
        <f>IF($V359="","",INDEX('Per Line'!$F$2:$F$1501,$V359)&amp;"")</f>
        <v/>
      </c>
      <c r="F359">
        <f>IF($V359="","",INDEX('Per Line'!$L$2:$L$1501,$V359)&amp;"")</f>
        <v/>
      </c>
      <c r="G359">
        <f>IF($V359="","",INDEX('Per Line'!$O$2:$O$1501,$V359)&amp;"")</f>
        <v/>
      </c>
      <c r="H359">
        <f>IF($V359="","",INDEX('Per Line'!$P$2:$P$1501,$V359)&amp;"")</f>
        <v/>
      </c>
      <c r="I359">
        <f>IF($V359="","",INDEX('Per Line'!$N$2:$N$1501,$V359)&amp;"")</f>
        <v/>
      </c>
      <c r="J359">
        <f>IF($V359="","",INDEX('Per Line'!$Q$2:$Q$1501,$V359))</f>
        <v/>
      </c>
      <c r="K359" s="7">
        <f>IF($V359="","",J359*T359/100)</f>
        <v/>
      </c>
      <c r="L359">
        <f>IF($V359="","",Settings!$C$7)</f>
        <v/>
      </c>
      <c r="M359" s="7">
        <f>IF($V359="","",SUMIFS('Per Line'!$AC$2:$AC$1501,'Per Line'!$C$2:$C$1501,$C359,'Per Line'!$AK$2:$AK$1501,0))</f>
        <v/>
      </c>
      <c r="N359" s="7">
        <f>IF($V359="","",M359*L359)</f>
        <v/>
      </c>
      <c r="O359">
        <f>IF($V359="","",Settings!$C$6)</f>
        <v/>
      </c>
      <c r="P359" s="7">
        <f>IF($V359="","",SUMIFS('Per Line'!$AC$2:$AC$1501,'Per Line'!$C$2:$C$1501,$C359,'Per Line'!$AK$2:$AK$1501,1))</f>
        <v/>
      </c>
      <c r="Q359" s="7">
        <f>IF($V359="","",P359*O359)</f>
        <v/>
      </c>
      <c r="R359" s="7">
        <f>IF($V359="","",Q359+N359)</f>
        <v/>
      </c>
      <c r="S359" s="7">
        <f>IF($V359="","",T359-R359)</f>
        <v/>
      </c>
      <c r="T359" s="7">
        <f>IF($V359="","",M359+P359)</f>
        <v/>
      </c>
      <c r="U359" s="7">
        <f>IF($V359="","",T359-R359-K359)</f>
        <v/>
      </c>
      <c r="V359" s="13">
        <f>IF(ROWS($V$2:$V359)&lt;=MAX('Per Line'!$AJ$2:$AJ$1501),MATCH(ROWS($V$2:$V359),'Per Line'!$AJ$2:$AJ$1501,0),"")</f>
        <v/>
      </c>
    </row>
    <row r="360">
      <c r="A360" s="12" t="n"/>
      <c r="B360">
        <f>IF($V360="","",INDEX('Per Line'!$A$2:$A$1501,$V360)&amp;"")</f>
        <v/>
      </c>
      <c r="C360">
        <f>IF($V360="","",INDEX('Per Line'!$C$2:$C$1501,$V360)&amp;"")</f>
        <v/>
      </c>
      <c r="D360" s="11">
        <f>IF($V360="","",INDEX('Per Line'!$S$2:$S$1501,$V360))</f>
        <v/>
      </c>
      <c r="E360">
        <f>IF($V360="","",INDEX('Per Line'!$F$2:$F$1501,$V360)&amp;"")</f>
        <v/>
      </c>
      <c r="F360">
        <f>IF($V360="","",INDEX('Per Line'!$L$2:$L$1501,$V360)&amp;"")</f>
        <v/>
      </c>
      <c r="G360">
        <f>IF($V360="","",INDEX('Per Line'!$O$2:$O$1501,$V360)&amp;"")</f>
        <v/>
      </c>
      <c r="H360">
        <f>IF($V360="","",INDEX('Per Line'!$P$2:$P$1501,$V360)&amp;"")</f>
        <v/>
      </c>
      <c r="I360">
        <f>IF($V360="","",INDEX('Per Line'!$N$2:$N$1501,$V360)&amp;"")</f>
        <v/>
      </c>
      <c r="J360">
        <f>IF($V360="","",INDEX('Per Line'!$Q$2:$Q$1501,$V360))</f>
        <v/>
      </c>
      <c r="K360" s="7">
        <f>IF($V360="","",J360*T360/100)</f>
        <v/>
      </c>
      <c r="L360">
        <f>IF($V360="","",Settings!$C$7)</f>
        <v/>
      </c>
      <c r="M360" s="7">
        <f>IF($V360="","",SUMIFS('Per Line'!$AC$2:$AC$1501,'Per Line'!$C$2:$C$1501,$C360,'Per Line'!$AK$2:$AK$1501,0))</f>
        <v/>
      </c>
      <c r="N360" s="7">
        <f>IF($V360="","",M360*L360)</f>
        <v/>
      </c>
      <c r="O360">
        <f>IF($V360="","",Settings!$C$6)</f>
        <v/>
      </c>
      <c r="P360" s="7">
        <f>IF($V360="","",SUMIFS('Per Line'!$AC$2:$AC$1501,'Per Line'!$C$2:$C$1501,$C360,'Per Line'!$AK$2:$AK$1501,1))</f>
        <v/>
      </c>
      <c r="Q360" s="7">
        <f>IF($V360="","",P360*O360)</f>
        <v/>
      </c>
      <c r="R360" s="7">
        <f>IF($V360="","",Q360+N360)</f>
        <v/>
      </c>
      <c r="S360" s="7">
        <f>IF($V360="","",T360-R360)</f>
        <v/>
      </c>
      <c r="T360" s="7">
        <f>IF($V360="","",M360+P360)</f>
        <v/>
      </c>
      <c r="U360" s="7">
        <f>IF($V360="","",T360-R360-K360)</f>
        <v/>
      </c>
      <c r="V360" s="13">
        <f>IF(ROWS($V$2:$V360)&lt;=MAX('Per Line'!$AJ$2:$AJ$1501),MATCH(ROWS($V$2:$V360),'Per Line'!$AJ$2:$AJ$1501,0),"")</f>
        <v/>
      </c>
    </row>
    <row r="361">
      <c r="A361" s="12" t="n"/>
      <c r="B361">
        <f>IF($V361="","",INDEX('Per Line'!$A$2:$A$1501,$V361)&amp;"")</f>
        <v/>
      </c>
      <c r="C361">
        <f>IF($V361="","",INDEX('Per Line'!$C$2:$C$1501,$V361)&amp;"")</f>
        <v/>
      </c>
      <c r="D361" s="11">
        <f>IF($V361="","",INDEX('Per Line'!$S$2:$S$1501,$V361))</f>
        <v/>
      </c>
      <c r="E361">
        <f>IF($V361="","",INDEX('Per Line'!$F$2:$F$1501,$V361)&amp;"")</f>
        <v/>
      </c>
      <c r="F361">
        <f>IF($V361="","",INDEX('Per Line'!$L$2:$L$1501,$V361)&amp;"")</f>
        <v/>
      </c>
      <c r="G361">
        <f>IF($V361="","",INDEX('Per Line'!$O$2:$O$1501,$V361)&amp;"")</f>
        <v/>
      </c>
      <c r="H361">
        <f>IF($V361="","",INDEX('Per Line'!$P$2:$P$1501,$V361)&amp;"")</f>
        <v/>
      </c>
      <c r="I361">
        <f>IF($V361="","",INDEX('Per Line'!$N$2:$N$1501,$V361)&amp;"")</f>
        <v/>
      </c>
      <c r="J361">
        <f>IF($V361="","",INDEX('Per Line'!$Q$2:$Q$1501,$V361))</f>
        <v/>
      </c>
      <c r="K361" s="7">
        <f>IF($V361="","",J361*T361/100)</f>
        <v/>
      </c>
      <c r="L361">
        <f>IF($V361="","",Settings!$C$7)</f>
        <v/>
      </c>
      <c r="M361" s="7">
        <f>IF($V361="","",SUMIFS('Per Line'!$AC$2:$AC$1501,'Per Line'!$C$2:$C$1501,$C361,'Per Line'!$AK$2:$AK$1501,0))</f>
        <v/>
      </c>
      <c r="N361" s="7">
        <f>IF($V361="","",M361*L361)</f>
        <v/>
      </c>
      <c r="O361">
        <f>IF($V361="","",Settings!$C$6)</f>
        <v/>
      </c>
      <c r="P361" s="7">
        <f>IF($V361="","",SUMIFS('Per Line'!$AC$2:$AC$1501,'Per Line'!$C$2:$C$1501,$C361,'Per Line'!$AK$2:$AK$1501,1))</f>
        <v/>
      </c>
      <c r="Q361" s="7">
        <f>IF($V361="","",P361*O361)</f>
        <v/>
      </c>
      <c r="R361" s="7">
        <f>IF($V361="","",Q361+N361)</f>
        <v/>
      </c>
      <c r="S361" s="7">
        <f>IF($V361="","",T361-R361)</f>
        <v/>
      </c>
      <c r="T361" s="7">
        <f>IF($V361="","",M361+P361)</f>
        <v/>
      </c>
      <c r="U361" s="7">
        <f>IF($V361="","",T361-R361-K361)</f>
        <v/>
      </c>
      <c r="V361" s="13">
        <f>IF(ROWS($V$2:$V361)&lt;=MAX('Per Line'!$AJ$2:$AJ$1501),MATCH(ROWS($V$2:$V361),'Per Line'!$AJ$2:$AJ$1501,0),"")</f>
        <v/>
      </c>
    </row>
    <row r="362">
      <c r="A362" s="12" t="n"/>
      <c r="B362">
        <f>IF($V362="","",INDEX('Per Line'!$A$2:$A$1501,$V362)&amp;"")</f>
        <v/>
      </c>
      <c r="C362">
        <f>IF($V362="","",INDEX('Per Line'!$C$2:$C$1501,$V362)&amp;"")</f>
        <v/>
      </c>
      <c r="D362" s="11">
        <f>IF($V362="","",INDEX('Per Line'!$S$2:$S$1501,$V362))</f>
        <v/>
      </c>
      <c r="E362">
        <f>IF($V362="","",INDEX('Per Line'!$F$2:$F$1501,$V362)&amp;"")</f>
        <v/>
      </c>
      <c r="F362">
        <f>IF($V362="","",INDEX('Per Line'!$L$2:$L$1501,$V362)&amp;"")</f>
        <v/>
      </c>
      <c r="G362">
        <f>IF($V362="","",INDEX('Per Line'!$O$2:$O$1501,$V362)&amp;"")</f>
        <v/>
      </c>
      <c r="H362">
        <f>IF($V362="","",INDEX('Per Line'!$P$2:$P$1501,$V362)&amp;"")</f>
        <v/>
      </c>
      <c r="I362">
        <f>IF($V362="","",INDEX('Per Line'!$N$2:$N$1501,$V362)&amp;"")</f>
        <v/>
      </c>
      <c r="J362">
        <f>IF($V362="","",INDEX('Per Line'!$Q$2:$Q$1501,$V362))</f>
        <v/>
      </c>
      <c r="K362" s="7">
        <f>IF($V362="","",J362*T362/100)</f>
        <v/>
      </c>
      <c r="L362">
        <f>IF($V362="","",Settings!$C$7)</f>
        <v/>
      </c>
      <c r="M362" s="7">
        <f>IF($V362="","",SUMIFS('Per Line'!$AC$2:$AC$1501,'Per Line'!$C$2:$C$1501,$C362,'Per Line'!$AK$2:$AK$1501,0))</f>
        <v/>
      </c>
      <c r="N362" s="7">
        <f>IF($V362="","",M362*L362)</f>
        <v/>
      </c>
      <c r="O362">
        <f>IF($V362="","",Settings!$C$6)</f>
        <v/>
      </c>
      <c r="P362" s="7">
        <f>IF($V362="","",SUMIFS('Per Line'!$AC$2:$AC$1501,'Per Line'!$C$2:$C$1501,$C362,'Per Line'!$AK$2:$AK$1501,1))</f>
        <v/>
      </c>
      <c r="Q362" s="7">
        <f>IF($V362="","",P362*O362)</f>
        <v/>
      </c>
      <c r="R362" s="7">
        <f>IF($V362="","",Q362+N362)</f>
        <v/>
      </c>
      <c r="S362" s="7">
        <f>IF($V362="","",T362-R362)</f>
        <v/>
      </c>
      <c r="T362" s="7">
        <f>IF($V362="","",M362+P362)</f>
        <v/>
      </c>
      <c r="U362" s="7">
        <f>IF($V362="","",T362-R362-K362)</f>
        <v/>
      </c>
      <c r="V362" s="13">
        <f>IF(ROWS($V$2:$V362)&lt;=MAX('Per Line'!$AJ$2:$AJ$1501),MATCH(ROWS($V$2:$V362),'Per Line'!$AJ$2:$AJ$1501,0),"")</f>
        <v/>
      </c>
    </row>
    <row r="363">
      <c r="A363" s="12" t="n"/>
      <c r="B363">
        <f>IF($V363="","",INDEX('Per Line'!$A$2:$A$1501,$V363)&amp;"")</f>
        <v/>
      </c>
      <c r="C363">
        <f>IF($V363="","",INDEX('Per Line'!$C$2:$C$1501,$V363)&amp;"")</f>
        <v/>
      </c>
      <c r="D363" s="11">
        <f>IF($V363="","",INDEX('Per Line'!$S$2:$S$1501,$V363))</f>
        <v/>
      </c>
      <c r="E363">
        <f>IF($V363="","",INDEX('Per Line'!$F$2:$F$1501,$V363)&amp;"")</f>
        <v/>
      </c>
      <c r="F363">
        <f>IF($V363="","",INDEX('Per Line'!$L$2:$L$1501,$V363)&amp;"")</f>
        <v/>
      </c>
      <c r="G363">
        <f>IF($V363="","",INDEX('Per Line'!$O$2:$O$1501,$V363)&amp;"")</f>
        <v/>
      </c>
      <c r="H363">
        <f>IF($V363="","",INDEX('Per Line'!$P$2:$P$1501,$V363)&amp;"")</f>
        <v/>
      </c>
      <c r="I363">
        <f>IF($V363="","",INDEX('Per Line'!$N$2:$N$1501,$V363)&amp;"")</f>
        <v/>
      </c>
      <c r="J363">
        <f>IF($V363="","",INDEX('Per Line'!$Q$2:$Q$1501,$V363))</f>
        <v/>
      </c>
      <c r="K363" s="7">
        <f>IF($V363="","",J363*T363/100)</f>
        <v/>
      </c>
      <c r="L363">
        <f>IF($V363="","",Settings!$C$7)</f>
        <v/>
      </c>
      <c r="M363" s="7">
        <f>IF($V363="","",SUMIFS('Per Line'!$AC$2:$AC$1501,'Per Line'!$C$2:$C$1501,$C363,'Per Line'!$AK$2:$AK$1501,0))</f>
        <v/>
      </c>
      <c r="N363" s="7">
        <f>IF($V363="","",M363*L363)</f>
        <v/>
      </c>
      <c r="O363">
        <f>IF($V363="","",Settings!$C$6)</f>
        <v/>
      </c>
      <c r="P363" s="7">
        <f>IF($V363="","",SUMIFS('Per Line'!$AC$2:$AC$1501,'Per Line'!$C$2:$C$1501,$C363,'Per Line'!$AK$2:$AK$1501,1))</f>
        <v/>
      </c>
      <c r="Q363" s="7">
        <f>IF($V363="","",P363*O363)</f>
        <v/>
      </c>
      <c r="R363" s="7">
        <f>IF($V363="","",Q363+N363)</f>
        <v/>
      </c>
      <c r="S363" s="7">
        <f>IF($V363="","",T363-R363)</f>
        <v/>
      </c>
      <c r="T363" s="7">
        <f>IF($V363="","",M363+P363)</f>
        <v/>
      </c>
      <c r="U363" s="7">
        <f>IF($V363="","",T363-R363-K363)</f>
        <v/>
      </c>
      <c r="V363" s="13">
        <f>IF(ROWS($V$2:$V363)&lt;=MAX('Per Line'!$AJ$2:$AJ$1501),MATCH(ROWS($V$2:$V363),'Per Line'!$AJ$2:$AJ$1501,0),"")</f>
        <v/>
      </c>
    </row>
    <row r="364">
      <c r="A364" s="12" t="n"/>
      <c r="B364">
        <f>IF($V364="","",INDEX('Per Line'!$A$2:$A$1501,$V364)&amp;"")</f>
        <v/>
      </c>
      <c r="C364">
        <f>IF($V364="","",INDEX('Per Line'!$C$2:$C$1501,$V364)&amp;"")</f>
        <v/>
      </c>
      <c r="D364" s="11">
        <f>IF($V364="","",INDEX('Per Line'!$S$2:$S$1501,$V364))</f>
        <v/>
      </c>
      <c r="E364">
        <f>IF($V364="","",INDEX('Per Line'!$F$2:$F$1501,$V364)&amp;"")</f>
        <v/>
      </c>
      <c r="F364">
        <f>IF($V364="","",INDEX('Per Line'!$L$2:$L$1501,$V364)&amp;"")</f>
        <v/>
      </c>
      <c r="G364">
        <f>IF($V364="","",INDEX('Per Line'!$O$2:$O$1501,$V364)&amp;"")</f>
        <v/>
      </c>
      <c r="H364">
        <f>IF($V364="","",INDEX('Per Line'!$P$2:$P$1501,$V364)&amp;"")</f>
        <v/>
      </c>
      <c r="I364">
        <f>IF($V364="","",INDEX('Per Line'!$N$2:$N$1501,$V364)&amp;"")</f>
        <v/>
      </c>
      <c r="J364">
        <f>IF($V364="","",INDEX('Per Line'!$Q$2:$Q$1501,$V364))</f>
        <v/>
      </c>
      <c r="K364" s="7">
        <f>IF($V364="","",J364*T364/100)</f>
        <v/>
      </c>
      <c r="L364">
        <f>IF($V364="","",Settings!$C$7)</f>
        <v/>
      </c>
      <c r="M364" s="7">
        <f>IF($V364="","",SUMIFS('Per Line'!$AC$2:$AC$1501,'Per Line'!$C$2:$C$1501,$C364,'Per Line'!$AK$2:$AK$1501,0))</f>
        <v/>
      </c>
      <c r="N364" s="7">
        <f>IF($V364="","",M364*L364)</f>
        <v/>
      </c>
      <c r="O364">
        <f>IF($V364="","",Settings!$C$6)</f>
        <v/>
      </c>
      <c r="P364" s="7">
        <f>IF($V364="","",SUMIFS('Per Line'!$AC$2:$AC$1501,'Per Line'!$C$2:$C$1501,$C364,'Per Line'!$AK$2:$AK$1501,1))</f>
        <v/>
      </c>
      <c r="Q364" s="7">
        <f>IF($V364="","",P364*O364)</f>
        <v/>
      </c>
      <c r="R364" s="7">
        <f>IF($V364="","",Q364+N364)</f>
        <v/>
      </c>
      <c r="S364" s="7">
        <f>IF($V364="","",T364-R364)</f>
        <v/>
      </c>
      <c r="T364" s="7">
        <f>IF($V364="","",M364+P364)</f>
        <v/>
      </c>
      <c r="U364" s="7">
        <f>IF($V364="","",T364-R364-K364)</f>
        <v/>
      </c>
      <c r="V364" s="13">
        <f>IF(ROWS($V$2:$V364)&lt;=MAX('Per Line'!$AJ$2:$AJ$1501),MATCH(ROWS($V$2:$V364),'Per Line'!$AJ$2:$AJ$1501,0),"")</f>
        <v/>
      </c>
    </row>
    <row r="365">
      <c r="A365" s="12" t="n"/>
      <c r="B365">
        <f>IF($V365="","",INDEX('Per Line'!$A$2:$A$1501,$V365)&amp;"")</f>
        <v/>
      </c>
      <c r="C365">
        <f>IF($V365="","",INDEX('Per Line'!$C$2:$C$1501,$V365)&amp;"")</f>
        <v/>
      </c>
      <c r="D365" s="11">
        <f>IF($V365="","",INDEX('Per Line'!$S$2:$S$1501,$V365))</f>
        <v/>
      </c>
      <c r="E365">
        <f>IF($V365="","",INDEX('Per Line'!$F$2:$F$1501,$V365)&amp;"")</f>
        <v/>
      </c>
      <c r="F365">
        <f>IF($V365="","",INDEX('Per Line'!$L$2:$L$1501,$V365)&amp;"")</f>
        <v/>
      </c>
      <c r="G365">
        <f>IF($V365="","",INDEX('Per Line'!$O$2:$O$1501,$V365)&amp;"")</f>
        <v/>
      </c>
      <c r="H365">
        <f>IF($V365="","",INDEX('Per Line'!$P$2:$P$1501,$V365)&amp;"")</f>
        <v/>
      </c>
      <c r="I365">
        <f>IF($V365="","",INDEX('Per Line'!$N$2:$N$1501,$V365)&amp;"")</f>
        <v/>
      </c>
      <c r="J365">
        <f>IF($V365="","",INDEX('Per Line'!$Q$2:$Q$1501,$V365))</f>
        <v/>
      </c>
      <c r="K365" s="7">
        <f>IF($V365="","",J365*T365/100)</f>
        <v/>
      </c>
      <c r="L365">
        <f>IF($V365="","",Settings!$C$7)</f>
        <v/>
      </c>
      <c r="M365" s="7">
        <f>IF($V365="","",SUMIFS('Per Line'!$AC$2:$AC$1501,'Per Line'!$C$2:$C$1501,$C365,'Per Line'!$AK$2:$AK$1501,0))</f>
        <v/>
      </c>
      <c r="N365" s="7">
        <f>IF($V365="","",M365*L365)</f>
        <v/>
      </c>
      <c r="O365">
        <f>IF($V365="","",Settings!$C$6)</f>
        <v/>
      </c>
      <c r="P365" s="7">
        <f>IF($V365="","",SUMIFS('Per Line'!$AC$2:$AC$1501,'Per Line'!$C$2:$C$1501,$C365,'Per Line'!$AK$2:$AK$1501,1))</f>
        <v/>
      </c>
      <c r="Q365" s="7">
        <f>IF($V365="","",P365*O365)</f>
        <v/>
      </c>
      <c r="R365" s="7">
        <f>IF($V365="","",Q365+N365)</f>
        <v/>
      </c>
      <c r="S365" s="7">
        <f>IF($V365="","",T365-R365)</f>
        <v/>
      </c>
      <c r="T365" s="7">
        <f>IF($V365="","",M365+P365)</f>
        <v/>
      </c>
      <c r="U365" s="7">
        <f>IF($V365="","",T365-R365-K365)</f>
        <v/>
      </c>
      <c r="V365" s="13">
        <f>IF(ROWS($V$2:$V365)&lt;=MAX('Per Line'!$AJ$2:$AJ$1501),MATCH(ROWS($V$2:$V365),'Per Line'!$AJ$2:$AJ$1501,0),"")</f>
        <v/>
      </c>
    </row>
    <row r="366">
      <c r="A366" s="12" t="n"/>
      <c r="B366">
        <f>IF($V366="","",INDEX('Per Line'!$A$2:$A$1501,$V366)&amp;"")</f>
        <v/>
      </c>
      <c r="C366">
        <f>IF($V366="","",INDEX('Per Line'!$C$2:$C$1501,$V366)&amp;"")</f>
        <v/>
      </c>
      <c r="D366" s="11">
        <f>IF($V366="","",INDEX('Per Line'!$S$2:$S$1501,$V366))</f>
        <v/>
      </c>
      <c r="E366">
        <f>IF($V366="","",INDEX('Per Line'!$F$2:$F$1501,$V366)&amp;"")</f>
        <v/>
      </c>
      <c r="F366">
        <f>IF($V366="","",INDEX('Per Line'!$L$2:$L$1501,$V366)&amp;"")</f>
        <v/>
      </c>
      <c r="G366">
        <f>IF($V366="","",INDEX('Per Line'!$O$2:$O$1501,$V366)&amp;"")</f>
        <v/>
      </c>
      <c r="H366">
        <f>IF($V366="","",INDEX('Per Line'!$P$2:$P$1501,$V366)&amp;"")</f>
        <v/>
      </c>
      <c r="I366">
        <f>IF($V366="","",INDEX('Per Line'!$N$2:$N$1501,$V366)&amp;"")</f>
        <v/>
      </c>
      <c r="J366">
        <f>IF($V366="","",INDEX('Per Line'!$Q$2:$Q$1501,$V366))</f>
        <v/>
      </c>
      <c r="K366" s="7">
        <f>IF($V366="","",J366*T366/100)</f>
        <v/>
      </c>
      <c r="L366">
        <f>IF($V366="","",Settings!$C$7)</f>
        <v/>
      </c>
      <c r="M366" s="7">
        <f>IF($V366="","",SUMIFS('Per Line'!$AC$2:$AC$1501,'Per Line'!$C$2:$C$1501,$C366,'Per Line'!$AK$2:$AK$1501,0))</f>
        <v/>
      </c>
      <c r="N366" s="7">
        <f>IF($V366="","",M366*L366)</f>
        <v/>
      </c>
      <c r="O366">
        <f>IF($V366="","",Settings!$C$6)</f>
        <v/>
      </c>
      <c r="P366" s="7">
        <f>IF($V366="","",SUMIFS('Per Line'!$AC$2:$AC$1501,'Per Line'!$C$2:$C$1501,$C366,'Per Line'!$AK$2:$AK$1501,1))</f>
        <v/>
      </c>
      <c r="Q366" s="7">
        <f>IF($V366="","",P366*O366)</f>
        <v/>
      </c>
      <c r="R366" s="7">
        <f>IF($V366="","",Q366+N366)</f>
        <v/>
      </c>
      <c r="S366" s="7">
        <f>IF($V366="","",T366-R366)</f>
        <v/>
      </c>
      <c r="T366" s="7">
        <f>IF($V366="","",M366+P366)</f>
        <v/>
      </c>
      <c r="U366" s="7">
        <f>IF($V366="","",T366-R366-K366)</f>
        <v/>
      </c>
      <c r="V366" s="13">
        <f>IF(ROWS($V$2:$V366)&lt;=MAX('Per Line'!$AJ$2:$AJ$1501),MATCH(ROWS($V$2:$V366),'Per Line'!$AJ$2:$AJ$1501,0),"")</f>
        <v/>
      </c>
    </row>
    <row r="367">
      <c r="A367" s="12" t="n"/>
      <c r="B367">
        <f>IF($V367="","",INDEX('Per Line'!$A$2:$A$1501,$V367)&amp;"")</f>
        <v/>
      </c>
      <c r="C367">
        <f>IF($V367="","",INDEX('Per Line'!$C$2:$C$1501,$V367)&amp;"")</f>
        <v/>
      </c>
      <c r="D367" s="11">
        <f>IF($V367="","",INDEX('Per Line'!$S$2:$S$1501,$V367))</f>
        <v/>
      </c>
      <c r="E367">
        <f>IF($V367="","",INDEX('Per Line'!$F$2:$F$1501,$V367)&amp;"")</f>
        <v/>
      </c>
      <c r="F367">
        <f>IF($V367="","",INDEX('Per Line'!$L$2:$L$1501,$V367)&amp;"")</f>
        <v/>
      </c>
      <c r="G367">
        <f>IF($V367="","",INDEX('Per Line'!$O$2:$O$1501,$V367)&amp;"")</f>
        <v/>
      </c>
      <c r="H367">
        <f>IF($V367="","",INDEX('Per Line'!$P$2:$P$1501,$V367)&amp;"")</f>
        <v/>
      </c>
      <c r="I367">
        <f>IF($V367="","",INDEX('Per Line'!$N$2:$N$1501,$V367)&amp;"")</f>
        <v/>
      </c>
      <c r="J367">
        <f>IF($V367="","",INDEX('Per Line'!$Q$2:$Q$1501,$V367))</f>
        <v/>
      </c>
      <c r="K367" s="7">
        <f>IF($V367="","",J367*T367/100)</f>
        <v/>
      </c>
      <c r="L367">
        <f>IF($V367="","",Settings!$C$7)</f>
        <v/>
      </c>
      <c r="M367" s="7">
        <f>IF($V367="","",SUMIFS('Per Line'!$AC$2:$AC$1501,'Per Line'!$C$2:$C$1501,$C367,'Per Line'!$AK$2:$AK$1501,0))</f>
        <v/>
      </c>
      <c r="N367" s="7">
        <f>IF($V367="","",M367*L367)</f>
        <v/>
      </c>
      <c r="O367">
        <f>IF($V367="","",Settings!$C$6)</f>
        <v/>
      </c>
      <c r="P367" s="7">
        <f>IF($V367="","",SUMIFS('Per Line'!$AC$2:$AC$1501,'Per Line'!$C$2:$C$1501,$C367,'Per Line'!$AK$2:$AK$1501,1))</f>
        <v/>
      </c>
      <c r="Q367" s="7">
        <f>IF($V367="","",P367*O367)</f>
        <v/>
      </c>
      <c r="R367" s="7">
        <f>IF($V367="","",Q367+N367)</f>
        <v/>
      </c>
      <c r="S367" s="7">
        <f>IF($V367="","",T367-R367)</f>
        <v/>
      </c>
      <c r="T367" s="7">
        <f>IF($V367="","",M367+P367)</f>
        <v/>
      </c>
      <c r="U367" s="7">
        <f>IF($V367="","",T367-R367-K367)</f>
        <v/>
      </c>
      <c r="V367" s="13">
        <f>IF(ROWS($V$2:$V367)&lt;=MAX('Per Line'!$AJ$2:$AJ$1501),MATCH(ROWS($V$2:$V367),'Per Line'!$AJ$2:$AJ$1501,0),"")</f>
        <v/>
      </c>
    </row>
    <row r="368">
      <c r="A368" s="12" t="n"/>
      <c r="B368">
        <f>IF($V368="","",INDEX('Per Line'!$A$2:$A$1501,$V368)&amp;"")</f>
        <v/>
      </c>
      <c r="C368">
        <f>IF($V368="","",INDEX('Per Line'!$C$2:$C$1501,$V368)&amp;"")</f>
        <v/>
      </c>
      <c r="D368" s="11">
        <f>IF($V368="","",INDEX('Per Line'!$S$2:$S$1501,$V368))</f>
        <v/>
      </c>
      <c r="E368">
        <f>IF($V368="","",INDEX('Per Line'!$F$2:$F$1501,$V368)&amp;"")</f>
        <v/>
      </c>
      <c r="F368">
        <f>IF($V368="","",INDEX('Per Line'!$L$2:$L$1501,$V368)&amp;"")</f>
        <v/>
      </c>
      <c r="G368">
        <f>IF($V368="","",INDEX('Per Line'!$O$2:$O$1501,$V368)&amp;"")</f>
        <v/>
      </c>
      <c r="H368">
        <f>IF($V368="","",INDEX('Per Line'!$P$2:$P$1501,$V368)&amp;"")</f>
        <v/>
      </c>
      <c r="I368">
        <f>IF($V368="","",INDEX('Per Line'!$N$2:$N$1501,$V368)&amp;"")</f>
        <v/>
      </c>
      <c r="J368">
        <f>IF($V368="","",INDEX('Per Line'!$Q$2:$Q$1501,$V368))</f>
        <v/>
      </c>
      <c r="K368" s="7">
        <f>IF($V368="","",J368*T368/100)</f>
        <v/>
      </c>
      <c r="L368">
        <f>IF($V368="","",Settings!$C$7)</f>
        <v/>
      </c>
      <c r="M368" s="7">
        <f>IF($V368="","",SUMIFS('Per Line'!$AC$2:$AC$1501,'Per Line'!$C$2:$C$1501,$C368,'Per Line'!$AK$2:$AK$1501,0))</f>
        <v/>
      </c>
      <c r="N368" s="7">
        <f>IF($V368="","",M368*L368)</f>
        <v/>
      </c>
      <c r="O368">
        <f>IF($V368="","",Settings!$C$6)</f>
        <v/>
      </c>
      <c r="P368" s="7">
        <f>IF($V368="","",SUMIFS('Per Line'!$AC$2:$AC$1501,'Per Line'!$C$2:$C$1501,$C368,'Per Line'!$AK$2:$AK$1501,1))</f>
        <v/>
      </c>
      <c r="Q368" s="7">
        <f>IF($V368="","",P368*O368)</f>
        <v/>
      </c>
      <c r="R368" s="7">
        <f>IF($V368="","",Q368+N368)</f>
        <v/>
      </c>
      <c r="S368" s="7">
        <f>IF($V368="","",T368-R368)</f>
        <v/>
      </c>
      <c r="T368" s="7">
        <f>IF($V368="","",M368+P368)</f>
        <v/>
      </c>
      <c r="U368" s="7">
        <f>IF($V368="","",T368-R368-K368)</f>
        <v/>
      </c>
      <c r="V368" s="13">
        <f>IF(ROWS($V$2:$V368)&lt;=MAX('Per Line'!$AJ$2:$AJ$1501),MATCH(ROWS($V$2:$V368),'Per Line'!$AJ$2:$AJ$1501,0),"")</f>
        <v/>
      </c>
    </row>
    <row r="369">
      <c r="A369" s="12" t="n"/>
      <c r="B369">
        <f>IF($V369="","",INDEX('Per Line'!$A$2:$A$1501,$V369)&amp;"")</f>
        <v/>
      </c>
      <c r="C369">
        <f>IF($V369="","",INDEX('Per Line'!$C$2:$C$1501,$V369)&amp;"")</f>
        <v/>
      </c>
      <c r="D369" s="11">
        <f>IF($V369="","",INDEX('Per Line'!$S$2:$S$1501,$V369))</f>
        <v/>
      </c>
      <c r="E369">
        <f>IF($V369="","",INDEX('Per Line'!$F$2:$F$1501,$V369)&amp;"")</f>
        <v/>
      </c>
      <c r="F369">
        <f>IF($V369="","",INDEX('Per Line'!$L$2:$L$1501,$V369)&amp;"")</f>
        <v/>
      </c>
      <c r="G369">
        <f>IF($V369="","",INDEX('Per Line'!$O$2:$O$1501,$V369)&amp;"")</f>
        <v/>
      </c>
      <c r="H369">
        <f>IF($V369="","",INDEX('Per Line'!$P$2:$P$1501,$V369)&amp;"")</f>
        <v/>
      </c>
      <c r="I369">
        <f>IF($V369="","",INDEX('Per Line'!$N$2:$N$1501,$V369)&amp;"")</f>
        <v/>
      </c>
      <c r="J369">
        <f>IF($V369="","",INDEX('Per Line'!$Q$2:$Q$1501,$V369))</f>
        <v/>
      </c>
      <c r="K369" s="7">
        <f>IF($V369="","",J369*T369/100)</f>
        <v/>
      </c>
      <c r="L369">
        <f>IF($V369="","",Settings!$C$7)</f>
        <v/>
      </c>
      <c r="M369" s="7">
        <f>IF($V369="","",SUMIFS('Per Line'!$AC$2:$AC$1501,'Per Line'!$C$2:$C$1501,$C369,'Per Line'!$AK$2:$AK$1501,0))</f>
        <v/>
      </c>
      <c r="N369" s="7">
        <f>IF($V369="","",M369*L369)</f>
        <v/>
      </c>
      <c r="O369">
        <f>IF($V369="","",Settings!$C$6)</f>
        <v/>
      </c>
      <c r="P369" s="7">
        <f>IF($V369="","",SUMIFS('Per Line'!$AC$2:$AC$1501,'Per Line'!$C$2:$C$1501,$C369,'Per Line'!$AK$2:$AK$1501,1))</f>
        <v/>
      </c>
      <c r="Q369" s="7">
        <f>IF($V369="","",P369*O369)</f>
        <v/>
      </c>
      <c r="R369" s="7">
        <f>IF($V369="","",Q369+N369)</f>
        <v/>
      </c>
      <c r="S369" s="7">
        <f>IF($V369="","",T369-R369)</f>
        <v/>
      </c>
      <c r="T369" s="7">
        <f>IF($V369="","",M369+P369)</f>
        <v/>
      </c>
      <c r="U369" s="7">
        <f>IF($V369="","",T369-R369-K369)</f>
        <v/>
      </c>
      <c r="V369" s="13">
        <f>IF(ROWS($V$2:$V369)&lt;=MAX('Per Line'!$AJ$2:$AJ$1501),MATCH(ROWS($V$2:$V369),'Per Line'!$AJ$2:$AJ$1501,0),"")</f>
        <v/>
      </c>
    </row>
    <row r="370">
      <c r="A370" s="12" t="n"/>
      <c r="B370">
        <f>IF($V370="","",INDEX('Per Line'!$A$2:$A$1501,$V370)&amp;"")</f>
        <v/>
      </c>
      <c r="C370">
        <f>IF($V370="","",INDEX('Per Line'!$C$2:$C$1501,$V370)&amp;"")</f>
        <v/>
      </c>
      <c r="D370" s="11">
        <f>IF($V370="","",INDEX('Per Line'!$S$2:$S$1501,$V370))</f>
        <v/>
      </c>
      <c r="E370">
        <f>IF($V370="","",INDEX('Per Line'!$F$2:$F$1501,$V370)&amp;"")</f>
        <v/>
      </c>
      <c r="F370">
        <f>IF($V370="","",INDEX('Per Line'!$L$2:$L$1501,$V370)&amp;"")</f>
        <v/>
      </c>
      <c r="G370">
        <f>IF($V370="","",INDEX('Per Line'!$O$2:$O$1501,$V370)&amp;"")</f>
        <v/>
      </c>
      <c r="H370">
        <f>IF($V370="","",INDEX('Per Line'!$P$2:$P$1501,$V370)&amp;"")</f>
        <v/>
      </c>
      <c r="I370">
        <f>IF($V370="","",INDEX('Per Line'!$N$2:$N$1501,$V370)&amp;"")</f>
        <v/>
      </c>
      <c r="J370">
        <f>IF($V370="","",INDEX('Per Line'!$Q$2:$Q$1501,$V370))</f>
        <v/>
      </c>
      <c r="K370" s="7">
        <f>IF($V370="","",J370*T370/100)</f>
        <v/>
      </c>
      <c r="L370">
        <f>IF($V370="","",Settings!$C$7)</f>
        <v/>
      </c>
      <c r="M370" s="7">
        <f>IF($V370="","",SUMIFS('Per Line'!$AC$2:$AC$1501,'Per Line'!$C$2:$C$1501,$C370,'Per Line'!$AK$2:$AK$1501,0))</f>
        <v/>
      </c>
      <c r="N370" s="7">
        <f>IF($V370="","",M370*L370)</f>
        <v/>
      </c>
      <c r="O370">
        <f>IF($V370="","",Settings!$C$6)</f>
        <v/>
      </c>
      <c r="P370" s="7">
        <f>IF($V370="","",SUMIFS('Per Line'!$AC$2:$AC$1501,'Per Line'!$C$2:$C$1501,$C370,'Per Line'!$AK$2:$AK$1501,1))</f>
        <v/>
      </c>
      <c r="Q370" s="7">
        <f>IF($V370="","",P370*O370)</f>
        <v/>
      </c>
      <c r="R370" s="7">
        <f>IF($V370="","",Q370+N370)</f>
        <v/>
      </c>
      <c r="S370" s="7">
        <f>IF($V370="","",T370-R370)</f>
        <v/>
      </c>
      <c r="T370" s="7">
        <f>IF($V370="","",M370+P370)</f>
        <v/>
      </c>
      <c r="U370" s="7">
        <f>IF($V370="","",T370-R370-K370)</f>
        <v/>
      </c>
      <c r="V370" s="13">
        <f>IF(ROWS($V$2:$V370)&lt;=MAX('Per Line'!$AJ$2:$AJ$1501),MATCH(ROWS($V$2:$V370),'Per Line'!$AJ$2:$AJ$1501,0),"")</f>
        <v/>
      </c>
    </row>
    <row r="371">
      <c r="A371" s="12" t="n"/>
      <c r="B371">
        <f>IF($V371="","",INDEX('Per Line'!$A$2:$A$1501,$V371)&amp;"")</f>
        <v/>
      </c>
      <c r="C371">
        <f>IF($V371="","",INDEX('Per Line'!$C$2:$C$1501,$V371)&amp;"")</f>
        <v/>
      </c>
      <c r="D371" s="11">
        <f>IF($V371="","",INDEX('Per Line'!$S$2:$S$1501,$V371))</f>
        <v/>
      </c>
      <c r="E371">
        <f>IF($V371="","",INDEX('Per Line'!$F$2:$F$1501,$V371)&amp;"")</f>
        <v/>
      </c>
      <c r="F371">
        <f>IF($V371="","",INDEX('Per Line'!$L$2:$L$1501,$V371)&amp;"")</f>
        <v/>
      </c>
      <c r="G371">
        <f>IF($V371="","",INDEX('Per Line'!$O$2:$O$1501,$V371)&amp;"")</f>
        <v/>
      </c>
      <c r="H371">
        <f>IF($V371="","",INDEX('Per Line'!$P$2:$P$1501,$V371)&amp;"")</f>
        <v/>
      </c>
      <c r="I371">
        <f>IF($V371="","",INDEX('Per Line'!$N$2:$N$1501,$V371)&amp;"")</f>
        <v/>
      </c>
      <c r="J371">
        <f>IF($V371="","",INDEX('Per Line'!$Q$2:$Q$1501,$V371))</f>
        <v/>
      </c>
      <c r="K371" s="7">
        <f>IF($V371="","",J371*T371/100)</f>
        <v/>
      </c>
      <c r="L371">
        <f>IF($V371="","",Settings!$C$7)</f>
        <v/>
      </c>
      <c r="M371" s="7">
        <f>IF($V371="","",SUMIFS('Per Line'!$AC$2:$AC$1501,'Per Line'!$C$2:$C$1501,$C371,'Per Line'!$AK$2:$AK$1501,0))</f>
        <v/>
      </c>
      <c r="N371" s="7">
        <f>IF($V371="","",M371*L371)</f>
        <v/>
      </c>
      <c r="O371">
        <f>IF($V371="","",Settings!$C$6)</f>
        <v/>
      </c>
      <c r="P371" s="7">
        <f>IF($V371="","",SUMIFS('Per Line'!$AC$2:$AC$1501,'Per Line'!$C$2:$C$1501,$C371,'Per Line'!$AK$2:$AK$1501,1))</f>
        <v/>
      </c>
      <c r="Q371" s="7">
        <f>IF($V371="","",P371*O371)</f>
        <v/>
      </c>
      <c r="R371" s="7">
        <f>IF($V371="","",Q371+N371)</f>
        <v/>
      </c>
      <c r="S371" s="7">
        <f>IF($V371="","",T371-R371)</f>
        <v/>
      </c>
      <c r="T371" s="7">
        <f>IF($V371="","",M371+P371)</f>
        <v/>
      </c>
      <c r="U371" s="7">
        <f>IF($V371="","",T371-R371-K371)</f>
        <v/>
      </c>
      <c r="V371" s="13">
        <f>IF(ROWS($V$2:$V371)&lt;=MAX('Per Line'!$AJ$2:$AJ$1501),MATCH(ROWS($V$2:$V371),'Per Line'!$AJ$2:$AJ$1501,0),"")</f>
        <v/>
      </c>
    </row>
    <row r="372">
      <c r="A372" s="12" t="n"/>
      <c r="B372">
        <f>IF($V372="","",INDEX('Per Line'!$A$2:$A$1501,$V372)&amp;"")</f>
        <v/>
      </c>
      <c r="C372">
        <f>IF($V372="","",INDEX('Per Line'!$C$2:$C$1501,$V372)&amp;"")</f>
        <v/>
      </c>
      <c r="D372" s="11">
        <f>IF($V372="","",INDEX('Per Line'!$S$2:$S$1501,$V372))</f>
        <v/>
      </c>
      <c r="E372">
        <f>IF($V372="","",INDEX('Per Line'!$F$2:$F$1501,$V372)&amp;"")</f>
        <v/>
      </c>
      <c r="F372">
        <f>IF($V372="","",INDEX('Per Line'!$L$2:$L$1501,$V372)&amp;"")</f>
        <v/>
      </c>
      <c r="G372">
        <f>IF($V372="","",INDEX('Per Line'!$O$2:$O$1501,$V372)&amp;"")</f>
        <v/>
      </c>
      <c r="H372">
        <f>IF($V372="","",INDEX('Per Line'!$P$2:$P$1501,$V372)&amp;"")</f>
        <v/>
      </c>
      <c r="I372">
        <f>IF($V372="","",INDEX('Per Line'!$N$2:$N$1501,$V372)&amp;"")</f>
        <v/>
      </c>
      <c r="J372">
        <f>IF($V372="","",INDEX('Per Line'!$Q$2:$Q$1501,$V372))</f>
        <v/>
      </c>
      <c r="K372" s="7">
        <f>IF($V372="","",J372*T372/100)</f>
        <v/>
      </c>
      <c r="L372">
        <f>IF($V372="","",Settings!$C$7)</f>
        <v/>
      </c>
      <c r="M372" s="7">
        <f>IF($V372="","",SUMIFS('Per Line'!$AC$2:$AC$1501,'Per Line'!$C$2:$C$1501,$C372,'Per Line'!$AK$2:$AK$1501,0))</f>
        <v/>
      </c>
      <c r="N372" s="7">
        <f>IF($V372="","",M372*L372)</f>
        <v/>
      </c>
      <c r="O372">
        <f>IF($V372="","",Settings!$C$6)</f>
        <v/>
      </c>
      <c r="P372" s="7">
        <f>IF($V372="","",SUMIFS('Per Line'!$AC$2:$AC$1501,'Per Line'!$C$2:$C$1501,$C372,'Per Line'!$AK$2:$AK$1501,1))</f>
        <v/>
      </c>
      <c r="Q372" s="7">
        <f>IF($V372="","",P372*O372)</f>
        <v/>
      </c>
      <c r="R372" s="7">
        <f>IF($V372="","",Q372+N372)</f>
        <v/>
      </c>
      <c r="S372" s="7">
        <f>IF($V372="","",T372-R372)</f>
        <v/>
      </c>
      <c r="T372" s="7">
        <f>IF($V372="","",M372+P372)</f>
        <v/>
      </c>
      <c r="U372" s="7">
        <f>IF($V372="","",T372-R372-K372)</f>
        <v/>
      </c>
      <c r="V372" s="13">
        <f>IF(ROWS($V$2:$V372)&lt;=MAX('Per Line'!$AJ$2:$AJ$1501),MATCH(ROWS($V$2:$V372),'Per Line'!$AJ$2:$AJ$1501,0),"")</f>
        <v/>
      </c>
    </row>
    <row r="373">
      <c r="A373" s="12" t="n"/>
      <c r="B373">
        <f>IF($V373="","",INDEX('Per Line'!$A$2:$A$1501,$V373)&amp;"")</f>
        <v/>
      </c>
      <c r="C373">
        <f>IF($V373="","",INDEX('Per Line'!$C$2:$C$1501,$V373)&amp;"")</f>
        <v/>
      </c>
      <c r="D373" s="11">
        <f>IF($V373="","",INDEX('Per Line'!$S$2:$S$1501,$V373))</f>
        <v/>
      </c>
      <c r="E373">
        <f>IF($V373="","",INDEX('Per Line'!$F$2:$F$1501,$V373)&amp;"")</f>
        <v/>
      </c>
      <c r="F373">
        <f>IF($V373="","",INDEX('Per Line'!$L$2:$L$1501,$V373)&amp;"")</f>
        <v/>
      </c>
      <c r="G373">
        <f>IF($V373="","",INDEX('Per Line'!$O$2:$O$1501,$V373)&amp;"")</f>
        <v/>
      </c>
      <c r="H373">
        <f>IF($V373="","",INDEX('Per Line'!$P$2:$P$1501,$V373)&amp;"")</f>
        <v/>
      </c>
      <c r="I373">
        <f>IF($V373="","",INDEX('Per Line'!$N$2:$N$1501,$V373)&amp;"")</f>
        <v/>
      </c>
      <c r="J373">
        <f>IF($V373="","",INDEX('Per Line'!$Q$2:$Q$1501,$V373))</f>
        <v/>
      </c>
      <c r="K373" s="7">
        <f>IF($V373="","",J373*T373/100)</f>
        <v/>
      </c>
      <c r="L373">
        <f>IF($V373="","",Settings!$C$7)</f>
        <v/>
      </c>
      <c r="M373" s="7">
        <f>IF($V373="","",SUMIFS('Per Line'!$AC$2:$AC$1501,'Per Line'!$C$2:$C$1501,$C373,'Per Line'!$AK$2:$AK$1501,0))</f>
        <v/>
      </c>
      <c r="N373" s="7">
        <f>IF($V373="","",M373*L373)</f>
        <v/>
      </c>
      <c r="O373">
        <f>IF($V373="","",Settings!$C$6)</f>
        <v/>
      </c>
      <c r="P373" s="7">
        <f>IF($V373="","",SUMIFS('Per Line'!$AC$2:$AC$1501,'Per Line'!$C$2:$C$1501,$C373,'Per Line'!$AK$2:$AK$1501,1))</f>
        <v/>
      </c>
      <c r="Q373" s="7">
        <f>IF($V373="","",P373*O373)</f>
        <v/>
      </c>
      <c r="R373" s="7">
        <f>IF($V373="","",Q373+N373)</f>
        <v/>
      </c>
      <c r="S373" s="7">
        <f>IF($V373="","",T373-R373)</f>
        <v/>
      </c>
      <c r="T373" s="7">
        <f>IF($V373="","",M373+P373)</f>
        <v/>
      </c>
      <c r="U373" s="7">
        <f>IF($V373="","",T373-R373-K373)</f>
        <v/>
      </c>
      <c r="V373" s="13">
        <f>IF(ROWS($V$2:$V373)&lt;=MAX('Per Line'!$AJ$2:$AJ$1501),MATCH(ROWS($V$2:$V373),'Per Line'!$AJ$2:$AJ$1501,0),"")</f>
        <v/>
      </c>
    </row>
    <row r="374">
      <c r="A374" s="12" t="n"/>
      <c r="B374">
        <f>IF($V374="","",INDEX('Per Line'!$A$2:$A$1501,$V374)&amp;"")</f>
        <v/>
      </c>
      <c r="C374">
        <f>IF($V374="","",INDEX('Per Line'!$C$2:$C$1501,$V374)&amp;"")</f>
        <v/>
      </c>
      <c r="D374" s="11">
        <f>IF($V374="","",INDEX('Per Line'!$S$2:$S$1501,$V374))</f>
        <v/>
      </c>
      <c r="E374">
        <f>IF($V374="","",INDEX('Per Line'!$F$2:$F$1501,$V374)&amp;"")</f>
        <v/>
      </c>
      <c r="F374">
        <f>IF($V374="","",INDEX('Per Line'!$L$2:$L$1501,$V374)&amp;"")</f>
        <v/>
      </c>
      <c r="G374">
        <f>IF($V374="","",INDEX('Per Line'!$O$2:$O$1501,$V374)&amp;"")</f>
        <v/>
      </c>
      <c r="H374">
        <f>IF($V374="","",INDEX('Per Line'!$P$2:$P$1501,$V374)&amp;"")</f>
        <v/>
      </c>
      <c r="I374">
        <f>IF($V374="","",INDEX('Per Line'!$N$2:$N$1501,$V374)&amp;"")</f>
        <v/>
      </c>
      <c r="J374">
        <f>IF($V374="","",INDEX('Per Line'!$Q$2:$Q$1501,$V374))</f>
        <v/>
      </c>
      <c r="K374" s="7">
        <f>IF($V374="","",J374*T374/100)</f>
        <v/>
      </c>
      <c r="L374">
        <f>IF($V374="","",Settings!$C$7)</f>
        <v/>
      </c>
      <c r="M374" s="7">
        <f>IF($V374="","",SUMIFS('Per Line'!$AC$2:$AC$1501,'Per Line'!$C$2:$C$1501,$C374,'Per Line'!$AK$2:$AK$1501,0))</f>
        <v/>
      </c>
      <c r="N374" s="7">
        <f>IF($V374="","",M374*L374)</f>
        <v/>
      </c>
      <c r="O374">
        <f>IF($V374="","",Settings!$C$6)</f>
        <v/>
      </c>
      <c r="P374" s="7">
        <f>IF($V374="","",SUMIFS('Per Line'!$AC$2:$AC$1501,'Per Line'!$C$2:$C$1501,$C374,'Per Line'!$AK$2:$AK$1501,1))</f>
        <v/>
      </c>
      <c r="Q374" s="7">
        <f>IF($V374="","",P374*O374)</f>
        <v/>
      </c>
      <c r="R374" s="7">
        <f>IF($V374="","",Q374+N374)</f>
        <v/>
      </c>
      <c r="S374" s="7">
        <f>IF($V374="","",T374-R374)</f>
        <v/>
      </c>
      <c r="T374" s="7">
        <f>IF($V374="","",M374+P374)</f>
        <v/>
      </c>
      <c r="U374" s="7">
        <f>IF($V374="","",T374-R374-K374)</f>
        <v/>
      </c>
      <c r="V374" s="13">
        <f>IF(ROWS($V$2:$V374)&lt;=MAX('Per Line'!$AJ$2:$AJ$1501),MATCH(ROWS($V$2:$V374),'Per Line'!$AJ$2:$AJ$1501,0),"")</f>
        <v/>
      </c>
    </row>
    <row r="375">
      <c r="A375" s="12" t="n"/>
      <c r="B375">
        <f>IF($V375="","",INDEX('Per Line'!$A$2:$A$1501,$V375)&amp;"")</f>
        <v/>
      </c>
      <c r="C375">
        <f>IF($V375="","",INDEX('Per Line'!$C$2:$C$1501,$V375)&amp;"")</f>
        <v/>
      </c>
      <c r="D375" s="11">
        <f>IF($V375="","",INDEX('Per Line'!$S$2:$S$1501,$V375))</f>
        <v/>
      </c>
      <c r="E375">
        <f>IF($V375="","",INDEX('Per Line'!$F$2:$F$1501,$V375)&amp;"")</f>
        <v/>
      </c>
      <c r="F375">
        <f>IF($V375="","",INDEX('Per Line'!$L$2:$L$1501,$V375)&amp;"")</f>
        <v/>
      </c>
      <c r="G375">
        <f>IF($V375="","",INDEX('Per Line'!$O$2:$O$1501,$V375)&amp;"")</f>
        <v/>
      </c>
      <c r="H375">
        <f>IF($V375="","",INDEX('Per Line'!$P$2:$P$1501,$V375)&amp;"")</f>
        <v/>
      </c>
      <c r="I375">
        <f>IF($V375="","",INDEX('Per Line'!$N$2:$N$1501,$V375)&amp;"")</f>
        <v/>
      </c>
      <c r="J375">
        <f>IF($V375="","",INDEX('Per Line'!$Q$2:$Q$1501,$V375))</f>
        <v/>
      </c>
      <c r="K375" s="7">
        <f>IF($V375="","",J375*T375/100)</f>
        <v/>
      </c>
      <c r="L375">
        <f>IF($V375="","",Settings!$C$7)</f>
        <v/>
      </c>
      <c r="M375" s="7">
        <f>IF($V375="","",SUMIFS('Per Line'!$AC$2:$AC$1501,'Per Line'!$C$2:$C$1501,$C375,'Per Line'!$AK$2:$AK$1501,0))</f>
        <v/>
      </c>
      <c r="N375" s="7">
        <f>IF($V375="","",M375*L375)</f>
        <v/>
      </c>
      <c r="O375">
        <f>IF($V375="","",Settings!$C$6)</f>
        <v/>
      </c>
      <c r="P375" s="7">
        <f>IF($V375="","",SUMIFS('Per Line'!$AC$2:$AC$1501,'Per Line'!$C$2:$C$1501,$C375,'Per Line'!$AK$2:$AK$1501,1))</f>
        <v/>
      </c>
      <c r="Q375" s="7">
        <f>IF($V375="","",P375*O375)</f>
        <v/>
      </c>
      <c r="R375" s="7">
        <f>IF($V375="","",Q375+N375)</f>
        <v/>
      </c>
      <c r="S375" s="7">
        <f>IF($V375="","",T375-R375)</f>
        <v/>
      </c>
      <c r="T375" s="7">
        <f>IF($V375="","",M375+P375)</f>
        <v/>
      </c>
      <c r="U375" s="7">
        <f>IF($V375="","",T375-R375-K375)</f>
        <v/>
      </c>
      <c r="V375" s="13">
        <f>IF(ROWS($V$2:$V375)&lt;=MAX('Per Line'!$AJ$2:$AJ$1501),MATCH(ROWS($V$2:$V375),'Per Line'!$AJ$2:$AJ$1501,0),"")</f>
        <v/>
      </c>
    </row>
    <row r="376">
      <c r="A376" s="12" t="n"/>
      <c r="B376">
        <f>IF($V376="","",INDEX('Per Line'!$A$2:$A$1501,$V376)&amp;"")</f>
        <v/>
      </c>
      <c r="C376">
        <f>IF($V376="","",INDEX('Per Line'!$C$2:$C$1501,$V376)&amp;"")</f>
        <v/>
      </c>
      <c r="D376" s="11">
        <f>IF($V376="","",INDEX('Per Line'!$S$2:$S$1501,$V376))</f>
        <v/>
      </c>
      <c r="E376">
        <f>IF($V376="","",INDEX('Per Line'!$F$2:$F$1501,$V376)&amp;"")</f>
        <v/>
      </c>
      <c r="F376">
        <f>IF($V376="","",INDEX('Per Line'!$L$2:$L$1501,$V376)&amp;"")</f>
        <v/>
      </c>
      <c r="G376">
        <f>IF($V376="","",INDEX('Per Line'!$O$2:$O$1501,$V376)&amp;"")</f>
        <v/>
      </c>
      <c r="H376">
        <f>IF($V376="","",INDEX('Per Line'!$P$2:$P$1501,$V376)&amp;"")</f>
        <v/>
      </c>
      <c r="I376">
        <f>IF($V376="","",INDEX('Per Line'!$N$2:$N$1501,$V376)&amp;"")</f>
        <v/>
      </c>
      <c r="J376">
        <f>IF($V376="","",INDEX('Per Line'!$Q$2:$Q$1501,$V376))</f>
        <v/>
      </c>
      <c r="K376" s="7">
        <f>IF($V376="","",J376*T376/100)</f>
        <v/>
      </c>
      <c r="L376">
        <f>IF($V376="","",Settings!$C$7)</f>
        <v/>
      </c>
      <c r="M376" s="7">
        <f>IF($V376="","",SUMIFS('Per Line'!$AC$2:$AC$1501,'Per Line'!$C$2:$C$1501,$C376,'Per Line'!$AK$2:$AK$1501,0))</f>
        <v/>
      </c>
      <c r="N376" s="7">
        <f>IF($V376="","",M376*L376)</f>
        <v/>
      </c>
      <c r="O376">
        <f>IF($V376="","",Settings!$C$6)</f>
        <v/>
      </c>
      <c r="P376" s="7">
        <f>IF($V376="","",SUMIFS('Per Line'!$AC$2:$AC$1501,'Per Line'!$C$2:$C$1501,$C376,'Per Line'!$AK$2:$AK$1501,1))</f>
        <v/>
      </c>
      <c r="Q376" s="7">
        <f>IF($V376="","",P376*O376)</f>
        <v/>
      </c>
      <c r="R376" s="7">
        <f>IF($V376="","",Q376+N376)</f>
        <v/>
      </c>
      <c r="S376" s="7">
        <f>IF($V376="","",T376-R376)</f>
        <v/>
      </c>
      <c r="T376" s="7">
        <f>IF($V376="","",M376+P376)</f>
        <v/>
      </c>
      <c r="U376" s="7">
        <f>IF($V376="","",T376-R376-K376)</f>
        <v/>
      </c>
      <c r="V376" s="13">
        <f>IF(ROWS($V$2:$V376)&lt;=MAX('Per Line'!$AJ$2:$AJ$1501),MATCH(ROWS($V$2:$V376),'Per Line'!$AJ$2:$AJ$1501,0),"")</f>
        <v/>
      </c>
    </row>
    <row r="377">
      <c r="A377" s="12" t="n"/>
      <c r="B377">
        <f>IF($V377="","",INDEX('Per Line'!$A$2:$A$1501,$V377)&amp;"")</f>
        <v/>
      </c>
      <c r="C377">
        <f>IF($V377="","",INDEX('Per Line'!$C$2:$C$1501,$V377)&amp;"")</f>
        <v/>
      </c>
      <c r="D377" s="11">
        <f>IF($V377="","",INDEX('Per Line'!$S$2:$S$1501,$V377))</f>
        <v/>
      </c>
      <c r="E377">
        <f>IF($V377="","",INDEX('Per Line'!$F$2:$F$1501,$V377)&amp;"")</f>
        <v/>
      </c>
      <c r="F377">
        <f>IF($V377="","",INDEX('Per Line'!$L$2:$L$1501,$V377)&amp;"")</f>
        <v/>
      </c>
      <c r="G377">
        <f>IF($V377="","",INDEX('Per Line'!$O$2:$O$1501,$V377)&amp;"")</f>
        <v/>
      </c>
      <c r="H377">
        <f>IF($V377="","",INDEX('Per Line'!$P$2:$P$1501,$V377)&amp;"")</f>
        <v/>
      </c>
      <c r="I377">
        <f>IF($V377="","",INDEX('Per Line'!$N$2:$N$1501,$V377)&amp;"")</f>
        <v/>
      </c>
      <c r="J377">
        <f>IF($V377="","",INDEX('Per Line'!$Q$2:$Q$1501,$V377))</f>
        <v/>
      </c>
      <c r="K377" s="7">
        <f>IF($V377="","",J377*T377/100)</f>
        <v/>
      </c>
      <c r="L377">
        <f>IF($V377="","",Settings!$C$7)</f>
        <v/>
      </c>
      <c r="M377" s="7">
        <f>IF($V377="","",SUMIFS('Per Line'!$AC$2:$AC$1501,'Per Line'!$C$2:$C$1501,$C377,'Per Line'!$AK$2:$AK$1501,0))</f>
        <v/>
      </c>
      <c r="N377" s="7">
        <f>IF($V377="","",M377*L377)</f>
        <v/>
      </c>
      <c r="O377">
        <f>IF($V377="","",Settings!$C$6)</f>
        <v/>
      </c>
      <c r="P377" s="7">
        <f>IF($V377="","",SUMIFS('Per Line'!$AC$2:$AC$1501,'Per Line'!$C$2:$C$1501,$C377,'Per Line'!$AK$2:$AK$1501,1))</f>
        <v/>
      </c>
      <c r="Q377" s="7">
        <f>IF($V377="","",P377*O377)</f>
        <v/>
      </c>
      <c r="R377" s="7">
        <f>IF($V377="","",Q377+N377)</f>
        <v/>
      </c>
      <c r="S377" s="7">
        <f>IF($V377="","",T377-R377)</f>
        <v/>
      </c>
      <c r="T377" s="7">
        <f>IF($V377="","",M377+P377)</f>
        <v/>
      </c>
      <c r="U377" s="7">
        <f>IF($V377="","",T377-R377-K377)</f>
        <v/>
      </c>
      <c r="V377" s="13">
        <f>IF(ROWS($V$2:$V377)&lt;=MAX('Per Line'!$AJ$2:$AJ$1501),MATCH(ROWS($V$2:$V377),'Per Line'!$AJ$2:$AJ$1501,0),"")</f>
        <v/>
      </c>
    </row>
    <row r="378">
      <c r="A378" s="12" t="n"/>
      <c r="B378">
        <f>IF($V378="","",INDEX('Per Line'!$A$2:$A$1501,$V378)&amp;"")</f>
        <v/>
      </c>
      <c r="C378">
        <f>IF($V378="","",INDEX('Per Line'!$C$2:$C$1501,$V378)&amp;"")</f>
        <v/>
      </c>
      <c r="D378" s="11">
        <f>IF($V378="","",INDEX('Per Line'!$S$2:$S$1501,$V378))</f>
        <v/>
      </c>
      <c r="E378">
        <f>IF($V378="","",INDEX('Per Line'!$F$2:$F$1501,$V378)&amp;"")</f>
        <v/>
      </c>
      <c r="F378">
        <f>IF($V378="","",INDEX('Per Line'!$L$2:$L$1501,$V378)&amp;"")</f>
        <v/>
      </c>
      <c r="G378">
        <f>IF($V378="","",INDEX('Per Line'!$O$2:$O$1501,$V378)&amp;"")</f>
        <v/>
      </c>
      <c r="H378">
        <f>IF($V378="","",INDEX('Per Line'!$P$2:$P$1501,$V378)&amp;"")</f>
        <v/>
      </c>
      <c r="I378">
        <f>IF($V378="","",INDEX('Per Line'!$N$2:$N$1501,$V378)&amp;"")</f>
        <v/>
      </c>
      <c r="J378">
        <f>IF($V378="","",INDEX('Per Line'!$Q$2:$Q$1501,$V378))</f>
        <v/>
      </c>
      <c r="K378" s="7">
        <f>IF($V378="","",J378*T378/100)</f>
        <v/>
      </c>
      <c r="L378">
        <f>IF($V378="","",Settings!$C$7)</f>
        <v/>
      </c>
      <c r="M378" s="7">
        <f>IF($V378="","",SUMIFS('Per Line'!$AC$2:$AC$1501,'Per Line'!$C$2:$C$1501,$C378,'Per Line'!$AK$2:$AK$1501,0))</f>
        <v/>
      </c>
      <c r="N378" s="7">
        <f>IF($V378="","",M378*L378)</f>
        <v/>
      </c>
      <c r="O378">
        <f>IF($V378="","",Settings!$C$6)</f>
        <v/>
      </c>
      <c r="P378" s="7">
        <f>IF($V378="","",SUMIFS('Per Line'!$AC$2:$AC$1501,'Per Line'!$C$2:$C$1501,$C378,'Per Line'!$AK$2:$AK$1501,1))</f>
        <v/>
      </c>
      <c r="Q378" s="7">
        <f>IF($V378="","",P378*O378)</f>
        <v/>
      </c>
      <c r="R378" s="7">
        <f>IF($V378="","",Q378+N378)</f>
        <v/>
      </c>
      <c r="S378" s="7">
        <f>IF($V378="","",T378-R378)</f>
        <v/>
      </c>
      <c r="T378" s="7">
        <f>IF($V378="","",M378+P378)</f>
        <v/>
      </c>
      <c r="U378" s="7">
        <f>IF($V378="","",T378-R378-K378)</f>
        <v/>
      </c>
      <c r="V378" s="13">
        <f>IF(ROWS($V$2:$V378)&lt;=MAX('Per Line'!$AJ$2:$AJ$1501),MATCH(ROWS($V$2:$V378),'Per Line'!$AJ$2:$AJ$1501,0),"")</f>
        <v/>
      </c>
    </row>
    <row r="379">
      <c r="A379" s="12" t="n"/>
      <c r="B379">
        <f>IF($V379="","",INDEX('Per Line'!$A$2:$A$1501,$V379)&amp;"")</f>
        <v/>
      </c>
      <c r="C379">
        <f>IF($V379="","",INDEX('Per Line'!$C$2:$C$1501,$V379)&amp;"")</f>
        <v/>
      </c>
      <c r="D379" s="11">
        <f>IF($V379="","",INDEX('Per Line'!$S$2:$S$1501,$V379))</f>
        <v/>
      </c>
      <c r="E379">
        <f>IF($V379="","",INDEX('Per Line'!$F$2:$F$1501,$V379)&amp;"")</f>
        <v/>
      </c>
      <c r="F379">
        <f>IF($V379="","",INDEX('Per Line'!$L$2:$L$1501,$V379)&amp;"")</f>
        <v/>
      </c>
      <c r="G379">
        <f>IF($V379="","",INDEX('Per Line'!$O$2:$O$1501,$V379)&amp;"")</f>
        <v/>
      </c>
      <c r="H379">
        <f>IF($V379="","",INDEX('Per Line'!$P$2:$P$1501,$V379)&amp;"")</f>
        <v/>
      </c>
      <c r="I379">
        <f>IF($V379="","",INDEX('Per Line'!$N$2:$N$1501,$V379)&amp;"")</f>
        <v/>
      </c>
      <c r="J379">
        <f>IF($V379="","",INDEX('Per Line'!$Q$2:$Q$1501,$V379))</f>
        <v/>
      </c>
      <c r="K379" s="7">
        <f>IF($V379="","",J379*T379/100)</f>
        <v/>
      </c>
      <c r="L379">
        <f>IF($V379="","",Settings!$C$7)</f>
        <v/>
      </c>
      <c r="M379" s="7">
        <f>IF($V379="","",SUMIFS('Per Line'!$AC$2:$AC$1501,'Per Line'!$C$2:$C$1501,$C379,'Per Line'!$AK$2:$AK$1501,0))</f>
        <v/>
      </c>
      <c r="N379" s="7">
        <f>IF($V379="","",M379*L379)</f>
        <v/>
      </c>
      <c r="O379">
        <f>IF($V379="","",Settings!$C$6)</f>
        <v/>
      </c>
      <c r="P379" s="7">
        <f>IF($V379="","",SUMIFS('Per Line'!$AC$2:$AC$1501,'Per Line'!$C$2:$C$1501,$C379,'Per Line'!$AK$2:$AK$1501,1))</f>
        <v/>
      </c>
      <c r="Q379" s="7">
        <f>IF($V379="","",P379*O379)</f>
        <v/>
      </c>
      <c r="R379" s="7">
        <f>IF($V379="","",Q379+N379)</f>
        <v/>
      </c>
      <c r="S379" s="7">
        <f>IF($V379="","",T379-R379)</f>
        <v/>
      </c>
      <c r="T379" s="7">
        <f>IF($V379="","",M379+P379)</f>
        <v/>
      </c>
      <c r="U379" s="7">
        <f>IF($V379="","",T379-R379-K379)</f>
        <v/>
      </c>
      <c r="V379" s="13">
        <f>IF(ROWS($V$2:$V379)&lt;=MAX('Per Line'!$AJ$2:$AJ$1501),MATCH(ROWS($V$2:$V379),'Per Line'!$AJ$2:$AJ$1501,0),"")</f>
        <v/>
      </c>
    </row>
    <row r="380">
      <c r="A380" s="12" t="n"/>
      <c r="B380">
        <f>IF($V380="","",INDEX('Per Line'!$A$2:$A$1501,$V380)&amp;"")</f>
        <v/>
      </c>
      <c r="C380">
        <f>IF($V380="","",INDEX('Per Line'!$C$2:$C$1501,$V380)&amp;"")</f>
        <v/>
      </c>
      <c r="D380" s="11">
        <f>IF($V380="","",INDEX('Per Line'!$S$2:$S$1501,$V380))</f>
        <v/>
      </c>
      <c r="E380">
        <f>IF($V380="","",INDEX('Per Line'!$F$2:$F$1501,$V380)&amp;"")</f>
        <v/>
      </c>
      <c r="F380">
        <f>IF($V380="","",INDEX('Per Line'!$L$2:$L$1501,$V380)&amp;"")</f>
        <v/>
      </c>
      <c r="G380">
        <f>IF($V380="","",INDEX('Per Line'!$O$2:$O$1501,$V380)&amp;"")</f>
        <v/>
      </c>
      <c r="H380">
        <f>IF($V380="","",INDEX('Per Line'!$P$2:$P$1501,$V380)&amp;"")</f>
        <v/>
      </c>
      <c r="I380">
        <f>IF($V380="","",INDEX('Per Line'!$N$2:$N$1501,$V380)&amp;"")</f>
        <v/>
      </c>
      <c r="J380">
        <f>IF($V380="","",INDEX('Per Line'!$Q$2:$Q$1501,$V380))</f>
        <v/>
      </c>
      <c r="K380" s="7">
        <f>IF($V380="","",J380*T380/100)</f>
        <v/>
      </c>
      <c r="L380">
        <f>IF($V380="","",Settings!$C$7)</f>
        <v/>
      </c>
      <c r="M380" s="7">
        <f>IF($V380="","",SUMIFS('Per Line'!$AC$2:$AC$1501,'Per Line'!$C$2:$C$1501,$C380,'Per Line'!$AK$2:$AK$1501,0))</f>
        <v/>
      </c>
      <c r="N380" s="7">
        <f>IF($V380="","",M380*L380)</f>
        <v/>
      </c>
      <c r="O380">
        <f>IF($V380="","",Settings!$C$6)</f>
        <v/>
      </c>
      <c r="P380" s="7">
        <f>IF($V380="","",SUMIFS('Per Line'!$AC$2:$AC$1501,'Per Line'!$C$2:$C$1501,$C380,'Per Line'!$AK$2:$AK$1501,1))</f>
        <v/>
      </c>
      <c r="Q380" s="7">
        <f>IF($V380="","",P380*O380)</f>
        <v/>
      </c>
      <c r="R380" s="7">
        <f>IF($V380="","",Q380+N380)</f>
        <v/>
      </c>
      <c r="S380" s="7">
        <f>IF($V380="","",T380-R380)</f>
        <v/>
      </c>
      <c r="T380" s="7">
        <f>IF($V380="","",M380+P380)</f>
        <v/>
      </c>
      <c r="U380" s="7">
        <f>IF($V380="","",T380-R380-K380)</f>
        <v/>
      </c>
      <c r="V380" s="13">
        <f>IF(ROWS($V$2:$V380)&lt;=MAX('Per Line'!$AJ$2:$AJ$1501),MATCH(ROWS($V$2:$V380),'Per Line'!$AJ$2:$AJ$1501,0),"")</f>
        <v/>
      </c>
    </row>
    <row r="381">
      <c r="A381" s="12" t="n"/>
      <c r="B381">
        <f>IF($V381="","",INDEX('Per Line'!$A$2:$A$1501,$V381)&amp;"")</f>
        <v/>
      </c>
      <c r="C381">
        <f>IF($V381="","",INDEX('Per Line'!$C$2:$C$1501,$V381)&amp;"")</f>
        <v/>
      </c>
      <c r="D381" s="11">
        <f>IF($V381="","",INDEX('Per Line'!$S$2:$S$1501,$V381))</f>
        <v/>
      </c>
      <c r="E381">
        <f>IF($V381="","",INDEX('Per Line'!$F$2:$F$1501,$V381)&amp;"")</f>
        <v/>
      </c>
      <c r="F381">
        <f>IF($V381="","",INDEX('Per Line'!$L$2:$L$1501,$V381)&amp;"")</f>
        <v/>
      </c>
      <c r="G381">
        <f>IF($V381="","",INDEX('Per Line'!$O$2:$O$1501,$V381)&amp;"")</f>
        <v/>
      </c>
      <c r="H381">
        <f>IF($V381="","",INDEX('Per Line'!$P$2:$P$1501,$V381)&amp;"")</f>
        <v/>
      </c>
      <c r="I381">
        <f>IF($V381="","",INDEX('Per Line'!$N$2:$N$1501,$V381)&amp;"")</f>
        <v/>
      </c>
      <c r="J381">
        <f>IF($V381="","",INDEX('Per Line'!$Q$2:$Q$1501,$V381))</f>
        <v/>
      </c>
      <c r="K381" s="7">
        <f>IF($V381="","",J381*T381/100)</f>
        <v/>
      </c>
      <c r="L381">
        <f>IF($V381="","",Settings!$C$7)</f>
        <v/>
      </c>
      <c r="M381" s="7">
        <f>IF($V381="","",SUMIFS('Per Line'!$AC$2:$AC$1501,'Per Line'!$C$2:$C$1501,$C381,'Per Line'!$AK$2:$AK$1501,0))</f>
        <v/>
      </c>
      <c r="N381" s="7">
        <f>IF($V381="","",M381*L381)</f>
        <v/>
      </c>
      <c r="O381">
        <f>IF($V381="","",Settings!$C$6)</f>
        <v/>
      </c>
      <c r="P381" s="7">
        <f>IF($V381="","",SUMIFS('Per Line'!$AC$2:$AC$1501,'Per Line'!$C$2:$C$1501,$C381,'Per Line'!$AK$2:$AK$1501,1))</f>
        <v/>
      </c>
      <c r="Q381" s="7">
        <f>IF($V381="","",P381*O381)</f>
        <v/>
      </c>
      <c r="R381" s="7">
        <f>IF($V381="","",Q381+N381)</f>
        <v/>
      </c>
      <c r="S381" s="7">
        <f>IF($V381="","",T381-R381)</f>
        <v/>
      </c>
      <c r="T381" s="7">
        <f>IF($V381="","",M381+P381)</f>
        <v/>
      </c>
      <c r="U381" s="7">
        <f>IF($V381="","",T381-R381-K381)</f>
        <v/>
      </c>
      <c r="V381" s="13">
        <f>IF(ROWS($V$2:$V381)&lt;=MAX('Per Line'!$AJ$2:$AJ$1501),MATCH(ROWS($V$2:$V381),'Per Line'!$AJ$2:$AJ$1501,0),"")</f>
        <v/>
      </c>
    </row>
    <row r="382">
      <c r="A382" s="12" t="n"/>
      <c r="B382">
        <f>IF($V382="","",INDEX('Per Line'!$A$2:$A$1501,$V382)&amp;"")</f>
        <v/>
      </c>
      <c r="C382">
        <f>IF($V382="","",INDEX('Per Line'!$C$2:$C$1501,$V382)&amp;"")</f>
        <v/>
      </c>
      <c r="D382" s="11">
        <f>IF($V382="","",INDEX('Per Line'!$S$2:$S$1501,$V382))</f>
        <v/>
      </c>
      <c r="E382">
        <f>IF($V382="","",INDEX('Per Line'!$F$2:$F$1501,$V382)&amp;"")</f>
        <v/>
      </c>
      <c r="F382">
        <f>IF($V382="","",INDEX('Per Line'!$L$2:$L$1501,$V382)&amp;"")</f>
        <v/>
      </c>
      <c r="G382">
        <f>IF($V382="","",INDEX('Per Line'!$O$2:$O$1501,$V382)&amp;"")</f>
        <v/>
      </c>
      <c r="H382">
        <f>IF($V382="","",INDEX('Per Line'!$P$2:$P$1501,$V382)&amp;"")</f>
        <v/>
      </c>
      <c r="I382">
        <f>IF($V382="","",INDEX('Per Line'!$N$2:$N$1501,$V382)&amp;"")</f>
        <v/>
      </c>
      <c r="J382">
        <f>IF($V382="","",INDEX('Per Line'!$Q$2:$Q$1501,$V382))</f>
        <v/>
      </c>
      <c r="K382" s="7">
        <f>IF($V382="","",J382*T382/100)</f>
        <v/>
      </c>
      <c r="L382">
        <f>IF($V382="","",Settings!$C$7)</f>
        <v/>
      </c>
      <c r="M382" s="7">
        <f>IF($V382="","",SUMIFS('Per Line'!$AC$2:$AC$1501,'Per Line'!$C$2:$C$1501,$C382,'Per Line'!$AK$2:$AK$1501,0))</f>
        <v/>
      </c>
      <c r="N382" s="7">
        <f>IF($V382="","",M382*L382)</f>
        <v/>
      </c>
      <c r="O382">
        <f>IF($V382="","",Settings!$C$6)</f>
        <v/>
      </c>
      <c r="P382" s="7">
        <f>IF($V382="","",SUMIFS('Per Line'!$AC$2:$AC$1501,'Per Line'!$C$2:$C$1501,$C382,'Per Line'!$AK$2:$AK$1501,1))</f>
        <v/>
      </c>
      <c r="Q382" s="7">
        <f>IF($V382="","",P382*O382)</f>
        <v/>
      </c>
      <c r="R382" s="7">
        <f>IF($V382="","",Q382+N382)</f>
        <v/>
      </c>
      <c r="S382" s="7">
        <f>IF($V382="","",T382-R382)</f>
        <v/>
      </c>
      <c r="T382" s="7">
        <f>IF($V382="","",M382+P382)</f>
        <v/>
      </c>
      <c r="U382" s="7">
        <f>IF($V382="","",T382-R382-K382)</f>
        <v/>
      </c>
      <c r="V382" s="13">
        <f>IF(ROWS($V$2:$V382)&lt;=MAX('Per Line'!$AJ$2:$AJ$1501),MATCH(ROWS($V$2:$V382),'Per Line'!$AJ$2:$AJ$1501,0),"")</f>
        <v/>
      </c>
    </row>
    <row r="383">
      <c r="A383" s="12" t="n"/>
      <c r="B383">
        <f>IF($V383="","",INDEX('Per Line'!$A$2:$A$1501,$V383)&amp;"")</f>
        <v/>
      </c>
      <c r="C383">
        <f>IF($V383="","",INDEX('Per Line'!$C$2:$C$1501,$V383)&amp;"")</f>
        <v/>
      </c>
      <c r="D383" s="11">
        <f>IF($V383="","",INDEX('Per Line'!$S$2:$S$1501,$V383))</f>
        <v/>
      </c>
      <c r="E383">
        <f>IF($V383="","",INDEX('Per Line'!$F$2:$F$1501,$V383)&amp;"")</f>
        <v/>
      </c>
      <c r="F383">
        <f>IF($V383="","",INDEX('Per Line'!$L$2:$L$1501,$V383)&amp;"")</f>
        <v/>
      </c>
      <c r="G383">
        <f>IF($V383="","",INDEX('Per Line'!$O$2:$O$1501,$V383)&amp;"")</f>
        <v/>
      </c>
      <c r="H383">
        <f>IF($V383="","",INDEX('Per Line'!$P$2:$P$1501,$V383)&amp;"")</f>
        <v/>
      </c>
      <c r="I383">
        <f>IF($V383="","",INDEX('Per Line'!$N$2:$N$1501,$V383)&amp;"")</f>
        <v/>
      </c>
      <c r="J383">
        <f>IF($V383="","",INDEX('Per Line'!$Q$2:$Q$1501,$V383))</f>
        <v/>
      </c>
      <c r="K383" s="7">
        <f>IF($V383="","",J383*T383/100)</f>
        <v/>
      </c>
      <c r="L383">
        <f>IF($V383="","",Settings!$C$7)</f>
        <v/>
      </c>
      <c r="M383" s="7">
        <f>IF($V383="","",SUMIFS('Per Line'!$AC$2:$AC$1501,'Per Line'!$C$2:$C$1501,$C383,'Per Line'!$AK$2:$AK$1501,0))</f>
        <v/>
      </c>
      <c r="N383" s="7">
        <f>IF($V383="","",M383*L383)</f>
        <v/>
      </c>
      <c r="O383">
        <f>IF($V383="","",Settings!$C$6)</f>
        <v/>
      </c>
      <c r="P383" s="7">
        <f>IF($V383="","",SUMIFS('Per Line'!$AC$2:$AC$1501,'Per Line'!$C$2:$C$1501,$C383,'Per Line'!$AK$2:$AK$1501,1))</f>
        <v/>
      </c>
      <c r="Q383" s="7">
        <f>IF($V383="","",P383*O383)</f>
        <v/>
      </c>
      <c r="R383" s="7">
        <f>IF($V383="","",Q383+N383)</f>
        <v/>
      </c>
      <c r="S383" s="7">
        <f>IF($V383="","",T383-R383)</f>
        <v/>
      </c>
      <c r="T383" s="7">
        <f>IF($V383="","",M383+P383)</f>
        <v/>
      </c>
      <c r="U383" s="7">
        <f>IF($V383="","",T383-R383-K383)</f>
        <v/>
      </c>
      <c r="V383" s="13">
        <f>IF(ROWS($V$2:$V383)&lt;=MAX('Per Line'!$AJ$2:$AJ$1501),MATCH(ROWS($V$2:$V383),'Per Line'!$AJ$2:$AJ$1501,0),"")</f>
        <v/>
      </c>
    </row>
    <row r="384">
      <c r="A384" s="12" t="n"/>
      <c r="B384">
        <f>IF($V384="","",INDEX('Per Line'!$A$2:$A$1501,$V384)&amp;"")</f>
        <v/>
      </c>
      <c r="C384">
        <f>IF($V384="","",INDEX('Per Line'!$C$2:$C$1501,$V384)&amp;"")</f>
        <v/>
      </c>
      <c r="D384" s="11">
        <f>IF($V384="","",INDEX('Per Line'!$S$2:$S$1501,$V384))</f>
        <v/>
      </c>
      <c r="E384">
        <f>IF($V384="","",INDEX('Per Line'!$F$2:$F$1501,$V384)&amp;"")</f>
        <v/>
      </c>
      <c r="F384">
        <f>IF($V384="","",INDEX('Per Line'!$L$2:$L$1501,$V384)&amp;"")</f>
        <v/>
      </c>
      <c r="G384">
        <f>IF($V384="","",INDEX('Per Line'!$O$2:$O$1501,$V384)&amp;"")</f>
        <v/>
      </c>
      <c r="H384">
        <f>IF($V384="","",INDEX('Per Line'!$P$2:$P$1501,$V384)&amp;"")</f>
        <v/>
      </c>
      <c r="I384">
        <f>IF($V384="","",INDEX('Per Line'!$N$2:$N$1501,$V384)&amp;"")</f>
        <v/>
      </c>
      <c r="J384">
        <f>IF($V384="","",INDEX('Per Line'!$Q$2:$Q$1501,$V384))</f>
        <v/>
      </c>
      <c r="K384" s="7">
        <f>IF($V384="","",J384*T384/100)</f>
        <v/>
      </c>
      <c r="L384">
        <f>IF($V384="","",Settings!$C$7)</f>
        <v/>
      </c>
      <c r="M384" s="7">
        <f>IF($V384="","",SUMIFS('Per Line'!$AC$2:$AC$1501,'Per Line'!$C$2:$C$1501,$C384,'Per Line'!$AK$2:$AK$1501,0))</f>
        <v/>
      </c>
      <c r="N384" s="7">
        <f>IF($V384="","",M384*L384)</f>
        <v/>
      </c>
      <c r="O384">
        <f>IF($V384="","",Settings!$C$6)</f>
        <v/>
      </c>
      <c r="P384" s="7">
        <f>IF($V384="","",SUMIFS('Per Line'!$AC$2:$AC$1501,'Per Line'!$C$2:$C$1501,$C384,'Per Line'!$AK$2:$AK$1501,1))</f>
        <v/>
      </c>
      <c r="Q384" s="7">
        <f>IF($V384="","",P384*O384)</f>
        <v/>
      </c>
      <c r="R384" s="7">
        <f>IF($V384="","",Q384+N384)</f>
        <v/>
      </c>
      <c r="S384" s="7">
        <f>IF($V384="","",T384-R384)</f>
        <v/>
      </c>
      <c r="T384" s="7">
        <f>IF($V384="","",M384+P384)</f>
        <v/>
      </c>
      <c r="U384" s="7">
        <f>IF($V384="","",T384-R384-K384)</f>
        <v/>
      </c>
      <c r="V384" s="13">
        <f>IF(ROWS($V$2:$V384)&lt;=MAX('Per Line'!$AJ$2:$AJ$1501),MATCH(ROWS($V$2:$V384),'Per Line'!$AJ$2:$AJ$1501,0),"")</f>
        <v/>
      </c>
    </row>
    <row r="385">
      <c r="A385" s="12" t="n"/>
      <c r="B385">
        <f>IF($V385="","",INDEX('Per Line'!$A$2:$A$1501,$V385)&amp;"")</f>
        <v/>
      </c>
      <c r="C385">
        <f>IF($V385="","",INDEX('Per Line'!$C$2:$C$1501,$V385)&amp;"")</f>
        <v/>
      </c>
      <c r="D385" s="11">
        <f>IF($V385="","",INDEX('Per Line'!$S$2:$S$1501,$V385))</f>
        <v/>
      </c>
      <c r="E385">
        <f>IF($V385="","",INDEX('Per Line'!$F$2:$F$1501,$V385)&amp;"")</f>
        <v/>
      </c>
      <c r="F385">
        <f>IF($V385="","",INDEX('Per Line'!$L$2:$L$1501,$V385)&amp;"")</f>
        <v/>
      </c>
      <c r="G385">
        <f>IF($V385="","",INDEX('Per Line'!$O$2:$O$1501,$V385)&amp;"")</f>
        <v/>
      </c>
      <c r="H385">
        <f>IF($V385="","",INDEX('Per Line'!$P$2:$P$1501,$V385)&amp;"")</f>
        <v/>
      </c>
      <c r="I385">
        <f>IF($V385="","",INDEX('Per Line'!$N$2:$N$1501,$V385)&amp;"")</f>
        <v/>
      </c>
      <c r="J385">
        <f>IF($V385="","",INDEX('Per Line'!$Q$2:$Q$1501,$V385))</f>
        <v/>
      </c>
      <c r="K385" s="7">
        <f>IF($V385="","",J385*T385/100)</f>
        <v/>
      </c>
      <c r="L385">
        <f>IF($V385="","",Settings!$C$7)</f>
        <v/>
      </c>
      <c r="M385" s="7">
        <f>IF($V385="","",SUMIFS('Per Line'!$AC$2:$AC$1501,'Per Line'!$C$2:$C$1501,$C385,'Per Line'!$AK$2:$AK$1501,0))</f>
        <v/>
      </c>
      <c r="N385" s="7">
        <f>IF($V385="","",M385*L385)</f>
        <v/>
      </c>
      <c r="O385">
        <f>IF($V385="","",Settings!$C$6)</f>
        <v/>
      </c>
      <c r="P385" s="7">
        <f>IF($V385="","",SUMIFS('Per Line'!$AC$2:$AC$1501,'Per Line'!$C$2:$C$1501,$C385,'Per Line'!$AK$2:$AK$1501,1))</f>
        <v/>
      </c>
      <c r="Q385" s="7">
        <f>IF($V385="","",P385*O385)</f>
        <v/>
      </c>
      <c r="R385" s="7">
        <f>IF($V385="","",Q385+N385)</f>
        <v/>
      </c>
      <c r="S385" s="7">
        <f>IF($V385="","",T385-R385)</f>
        <v/>
      </c>
      <c r="T385" s="7">
        <f>IF($V385="","",M385+P385)</f>
        <v/>
      </c>
      <c r="U385" s="7">
        <f>IF($V385="","",T385-R385-K385)</f>
        <v/>
      </c>
      <c r="V385" s="13">
        <f>IF(ROWS($V$2:$V385)&lt;=MAX('Per Line'!$AJ$2:$AJ$1501),MATCH(ROWS($V$2:$V385),'Per Line'!$AJ$2:$AJ$1501,0),"")</f>
        <v/>
      </c>
    </row>
    <row r="386">
      <c r="A386" s="12" t="n"/>
      <c r="B386">
        <f>IF($V386="","",INDEX('Per Line'!$A$2:$A$1501,$V386)&amp;"")</f>
        <v/>
      </c>
      <c r="C386">
        <f>IF($V386="","",INDEX('Per Line'!$C$2:$C$1501,$V386)&amp;"")</f>
        <v/>
      </c>
      <c r="D386" s="11">
        <f>IF($V386="","",INDEX('Per Line'!$S$2:$S$1501,$V386))</f>
        <v/>
      </c>
      <c r="E386">
        <f>IF($V386="","",INDEX('Per Line'!$F$2:$F$1501,$V386)&amp;"")</f>
        <v/>
      </c>
      <c r="F386">
        <f>IF($V386="","",INDEX('Per Line'!$L$2:$L$1501,$V386)&amp;"")</f>
        <v/>
      </c>
      <c r="G386">
        <f>IF($V386="","",INDEX('Per Line'!$O$2:$O$1501,$V386)&amp;"")</f>
        <v/>
      </c>
      <c r="H386">
        <f>IF($V386="","",INDEX('Per Line'!$P$2:$P$1501,$V386)&amp;"")</f>
        <v/>
      </c>
      <c r="I386">
        <f>IF($V386="","",INDEX('Per Line'!$N$2:$N$1501,$V386)&amp;"")</f>
        <v/>
      </c>
      <c r="J386">
        <f>IF($V386="","",INDEX('Per Line'!$Q$2:$Q$1501,$V386))</f>
        <v/>
      </c>
      <c r="K386" s="7">
        <f>IF($V386="","",J386*T386/100)</f>
        <v/>
      </c>
      <c r="L386">
        <f>IF($V386="","",Settings!$C$7)</f>
        <v/>
      </c>
      <c r="M386" s="7">
        <f>IF($V386="","",SUMIFS('Per Line'!$AC$2:$AC$1501,'Per Line'!$C$2:$C$1501,$C386,'Per Line'!$AK$2:$AK$1501,0))</f>
        <v/>
      </c>
      <c r="N386" s="7">
        <f>IF($V386="","",M386*L386)</f>
        <v/>
      </c>
      <c r="O386">
        <f>IF($V386="","",Settings!$C$6)</f>
        <v/>
      </c>
      <c r="P386" s="7">
        <f>IF($V386="","",SUMIFS('Per Line'!$AC$2:$AC$1501,'Per Line'!$C$2:$C$1501,$C386,'Per Line'!$AK$2:$AK$1501,1))</f>
        <v/>
      </c>
      <c r="Q386" s="7">
        <f>IF($V386="","",P386*O386)</f>
        <v/>
      </c>
      <c r="R386" s="7">
        <f>IF($V386="","",Q386+N386)</f>
        <v/>
      </c>
      <c r="S386" s="7">
        <f>IF($V386="","",T386-R386)</f>
        <v/>
      </c>
      <c r="T386" s="7">
        <f>IF($V386="","",M386+P386)</f>
        <v/>
      </c>
      <c r="U386" s="7">
        <f>IF($V386="","",T386-R386-K386)</f>
        <v/>
      </c>
      <c r="V386" s="13">
        <f>IF(ROWS($V$2:$V386)&lt;=MAX('Per Line'!$AJ$2:$AJ$1501),MATCH(ROWS($V$2:$V386),'Per Line'!$AJ$2:$AJ$1501,0),"")</f>
        <v/>
      </c>
    </row>
    <row r="387">
      <c r="A387" s="12" t="n"/>
      <c r="B387">
        <f>IF($V387="","",INDEX('Per Line'!$A$2:$A$1501,$V387)&amp;"")</f>
        <v/>
      </c>
      <c r="C387">
        <f>IF($V387="","",INDEX('Per Line'!$C$2:$C$1501,$V387)&amp;"")</f>
        <v/>
      </c>
      <c r="D387" s="11">
        <f>IF($V387="","",INDEX('Per Line'!$S$2:$S$1501,$V387))</f>
        <v/>
      </c>
      <c r="E387">
        <f>IF($V387="","",INDEX('Per Line'!$F$2:$F$1501,$V387)&amp;"")</f>
        <v/>
      </c>
      <c r="F387">
        <f>IF($V387="","",INDEX('Per Line'!$L$2:$L$1501,$V387)&amp;"")</f>
        <v/>
      </c>
      <c r="G387">
        <f>IF($V387="","",INDEX('Per Line'!$O$2:$O$1501,$V387)&amp;"")</f>
        <v/>
      </c>
      <c r="H387">
        <f>IF($V387="","",INDEX('Per Line'!$P$2:$P$1501,$V387)&amp;"")</f>
        <v/>
      </c>
      <c r="I387">
        <f>IF($V387="","",INDEX('Per Line'!$N$2:$N$1501,$V387)&amp;"")</f>
        <v/>
      </c>
      <c r="J387">
        <f>IF($V387="","",INDEX('Per Line'!$Q$2:$Q$1501,$V387))</f>
        <v/>
      </c>
      <c r="K387" s="7">
        <f>IF($V387="","",J387*T387/100)</f>
        <v/>
      </c>
      <c r="L387">
        <f>IF($V387="","",Settings!$C$7)</f>
        <v/>
      </c>
      <c r="M387" s="7">
        <f>IF($V387="","",SUMIFS('Per Line'!$AC$2:$AC$1501,'Per Line'!$C$2:$C$1501,$C387,'Per Line'!$AK$2:$AK$1501,0))</f>
        <v/>
      </c>
      <c r="N387" s="7">
        <f>IF($V387="","",M387*L387)</f>
        <v/>
      </c>
      <c r="O387">
        <f>IF($V387="","",Settings!$C$6)</f>
        <v/>
      </c>
      <c r="P387" s="7">
        <f>IF($V387="","",SUMIFS('Per Line'!$AC$2:$AC$1501,'Per Line'!$C$2:$C$1501,$C387,'Per Line'!$AK$2:$AK$1501,1))</f>
        <v/>
      </c>
      <c r="Q387" s="7">
        <f>IF($V387="","",P387*O387)</f>
        <v/>
      </c>
      <c r="R387" s="7">
        <f>IF($V387="","",Q387+N387)</f>
        <v/>
      </c>
      <c r="S387" s="7">
        <f>IF($V387="","",T387-R387)</f>
        <v/>
      </c>
      <c r="T387" s="7">
        <f>IF($V387="","",M387+P387)</f>
        <v/>
      </c>
      <c r="U387" s="7">
        <f>IF($V387="","",T387-R387-K387)</f>
        <v/>
      </c>
      <c r="V387" s="13">
        <f>IF(ROWS($V$2:$V387)&lt;=MAX('Per Line'!$AJ$2:$AJ$1501),MATCH(ROWS($V$2:$V387),'Per Line'!$AJ$2:$AJ$1501,0),"")</f>
        <v/>
      </c>
    </row>
    <row r="388">
      <c r="A388" s="12" t="n"/>
      <c r="B388">
        <f>IF($V388="","",INDEX('Per Line'!$A$2:$A$1501,$V388)&amp;"")</f>
        <v/>
      </c>
      <c r="C388">
        <f>IF($V388="","",INDEX('Per Line'!$C$2:$C$1501,$V388)&amp;"")</f>
        <v/>
      </c>
      <c r="D388" s="11">
        <f>IF($V388="","",INDEX('Per Line'!$S$2:$S$1501,$V388))</f>
        <v/>
      </c>
      <c r="E388">
        <f>IF($V388="","",INDEX('Per Line'!$F$2:$F$1501,$V388)&amp;"")</f>
        <v/>
      </c>
      <c r="F388">
        <f>IF($V388="","",INDEX('Per Line'!$L$2:$L$1501,$V388)&amp;"")</f>
        <v/>
      </c>
      <c r="G388">
        <f>IF($V388="","",INDEX('Per Line'!$O$2:$O$1501,$V388)&amp;"")</f>
        <v/>
      </c>
      <c r="H388">
        <f>IF($V388="","",INDEX('Per Line'!$P$2:$P$1501,$V388)&amp;"")</f>
        <v/>
      </c>
      <c r="I388">
        <f>IF($V388="","",INDEX('Per Line'!$N$2:$N$1501,$V388)&amp;"")</f>
        <v/>
      </c>
      <c r="J388">
        <f>IF($V388="","",INDEX('Per Line'!$Q$2:$Q$1501,$V388))</f>
        <v/>
      </c>
      <c r="K388" s="7">
        <f>IF($V388="","",J388*T388/100)</f>
        <v/>
      </c>
      <c r="L388">
        <f>IF($V388="","",Settings!$C$7)</f>
        <v/>
      </c>
      <c r="M388" s="7">
        <f>IF($V388="","",SUMIFS('Per Line'!$AC$2:$AC$1501,'Per Line'!$C$2:$C$1501,$C388,'Per Line'!$AK$2:$AK$1501,0))</f>
        <v/>
      </c>
      <c r="N388" s="7">
        <f>IF($V388="","",M388*L388)</f>
        <v/>
      </c>
      <c r="O388">
        <f>IF($V388="","",Settings!$C$6)</f>
        <v/>
      </c>
      <c r="P388" s="7">
        <f>IF($V388="","",SUMIFS('Per Line'!$AC$2:$AC$1501,'Per Line'!$C$2:$C$1501,$C388,'Per Line'!$AK$2:$AK$1501,1))</f>
        <v/>
      </c>
      <c r="Q388" s="7">
        <f>IF($V388="","",P388*O388)</f>
        <v/>
      </c>
      <c r="R388" s="7">
        <f>IF($V388="","",Q388+N388)</f>
        <v/>
      </c>
      <c r="S388" s="7">
        <f>IF($V388="","",T388-R388)</f>
        <v/>
      </c>
      <c r="T388" s="7">
        <f>IF($V388="","",M388+P388)</f>
        <v/>
      </c>
      <c r="U388" s="7">
        <f>IF($V388="","",T388-R388-K388)</f>
        <v/>
      </c>
      <c r="V388" s="13">
        <f>IF(ROWS($V$2:$V388)&lt;=MAX('Per Line'!$AJ$2:$AJ$1501),MATCH(ROWS($V$2:$V388),'Per Line'!$AJ$2:$AJ$1501,0),"")</f>
        <v/>
      </c>
    </row>
    <row r="389">
      <c r="A389" s="12" t="n"/>
      <c r="B389">
        <f>IF($V389="","",INDEX('Per Line'!$A$2:$A$1501,$V389)&amp;"")</f>
        <v/>
      </c>
      <c r="C389">
        <f>IF($V389="","",INDEX('Per Line'!$C$2:$C$1501,$V389)&amp;"")</f>
        <v/>
      </c>
      <c r="D389" s="11">
        <f>IF($V389="","",INDEX('Per Line'!$S$2:$S$1501,$V389))</f>
        <v/>
      </c>
      <c r="E389">
        <f>IF($V389="","",INDEX('Per Line'!$F$2:$F$1501,$V389)&amp;"")</f>
        <v/>
      </c>
      <c r="F389">
        <f>IF($V389="","",INDEX('Per Line'!$L$2:$L$1501,$V389)&amp;"")</f>
        <v/>
      </c>
      <c r="G389">
        <f>IF($V389="","",INDEX('Per Line'!$O$2:$O$1501,$V389)&amp;"")</f>
        <v/>
      </c>
      <c r="H389">
        <f>IF($V389="","",INDEX('Per Line'!$P$2:$P$1501,$V389)&amp;"")</f>
        <v/>
      </c>
      <c r="I389">
        <f>IF($V389="","",INDEX('Per Line'!$N$2:$N$1501,$V389)&amp;"")</f>
        <v/>
      </c>
      <c r="J389">
        <f>IF($V389="","",INDEX('Per Line'!$Q$2:$Q$1501,$V389))</f>
        <v/>
      </c>
      <c r="K389" s="7">
        <f>IF($V389="","",J389*T389/100)</f>
        <v/>
      </c>
      <c r="L389">
        <f>IF($V389="","",Settings!$C$7)</f>
        <v/>
      </c>
      <c r="M389" s="7">
        <f>IF($V389="","",SUMIFS('Per Line'!$AC$2:$AC$1501,'Per Line'!$C$2:$C$1501,$C389,'Per Line'!$AK$2:$AK$1501,0))</f>
        <v/>
      </c>
      <c r="N389" s="7">
        <f>IF($V389="","",M389*L389)</f>
        <v/>
      </c>
      <c r="O389">
        <f>IF($V389="","",Settings!$C$6)</f>
        <v/>
      </c>
      <c r="P389" s="7">
        <f>IF($V389="","",SUMIFS('Per Line'!$AC$2:$AC$1501,'Per Line'!$C$2:$C$1501,$C389,'Per Line'!$AK$2:$AK$1501,1))</f>
        <v/>
      </c>
      <c r="Q389" s="7">
        <f>IF($V389="","",P389*O389)</f>
        <v/>
      </c>
      <c r="R389" s="7">
        <f>IF($V389="","",Q389+N389)</f>
        <v/>
      </c>
      <c r="S389" s="7">
        <f>IF($V389="","",T389-R389)</f>
        <v/>
      </c>
      <c r="T389" s="7">
        <f>IF($V389="","",M389+P389)</f>
        <v/>
      </c>
      <c r="U389" s="7">
        <f>IF($V389="","",T389-R389-K389)</f>
        <v/>
      </c>
      <c r="V389" s="13">
        <f>IF(ROWS($V$2:$V389)&lt;=MAX('Per Line'!$AJ$2:$AJ$1501),MATCH(ROWS($V$2:$V389),'Per Line'!$AJ$2:$AJ$1501,0),"")</f>
        <v/>
      </c>
    </row>
    <row r="390">
      <c r="A390" s="12" t="n"/>
      <c r="B390">
        <f>IF($V390="","",INDEX('Per Line'!$A$2:$A$1501,$V390)&amp;"")</f>
        <v/>
      </c>
      <c r="C390">
        <f>IF($V390="","",INDEX('Per Line'!$C$2:$C$1501,$V390)&amp;"")</f>
        <v/>
      </c>
      <c r="D390" s="11">
        <f>IF($V390="","",INDEX('Per Line'!$S$2:$S$1501,$V390))</f>
        <v/>
      </c>
      <c r="E390">
        <f>IF($V390="","",INDEX('Per Line'!$F$2:$F$1501,$V390)&amp;"")</f>
        <v/>
      </c>
      <c r="F390">
        <f>IF($V390="","",INDEX('Per Line'!$L$2:$L$1501,$V390)&amp;"")</f>
        <v/>
      </c>
      <c r="G390">
        <f>IF($V390="","",INDEX('Per Line'!$O$2:$O$1501,$V390)&amp;"")</f>
        <v/>
      </c>
      <c r="H390">
        <f>IF($V390="","",INDEX('Per Line'!$P$2:$P$1501,$V390)&amp;"")</f>
        <v/>
      </c>
      <c r="I390">
        <f>IF($V390="","",INDEX('Per Line'!$N$2:$N$1501,$V390)&amp;"")</f>
        <v/>
      </c>
      <c r="J390">
        <f>IF($V390="","",INDEX('Per Line'!$Q$2:$Q$1501,$V390))</f>
        <v/>
      </c>
      <c r="K390" s="7">
        <f>IF($V390="","",J390*T390/100)</f>
        <v/>
      </c>
      <c r="L390">
        <f>IF($V390="","",Settings!$C$7)</f>
        <v/>
      </c>
      <c r="M390" s="7">
        <f>IF($V390="","",SUMIFS('Per Line'!$AC$2:$AC$1501,'Per Line'!$C$2:$C$1501,$C390,'Per Line'!$AK$2:$AK$1501,0))</f>
        <v/>
      </c>
      <c r="N390" s="7">
        <f>IF($V390="","",M390*L390)</f>
        <v/>
      </c>
      <c r="O390">
        <f>IF($V390="","",Settings!$C$6)</f>
        <v/>
      </c>
      <c r="P390" s="7">
        <f>IF($V390="","",SUMIFS('Per Line'!$AC$2:$AC$1501,'Per Line'!$C$2:$C$1501,$C390,'Per Line'!$AK$2:$AK$1501,1))</f>
        <v/>
      </c>
      <c r="Q390" s="7">
        <f>IF($V390="","",P390*O390)</f>
        <v/>
      </c>
      <c r="R390" s="7">
        <f>IF($V390="","",Q390+N390)</f>
        <v/>
      </c>
      <c r="S390" s="7">
        <f>IF($V390="","",T390-R390)</f>
        <v/>
      </c>
      <c r="T390" s="7">
        <f>IF($V390="","",M390+P390)</f>
        <v/>
      </c>
      <c r="U390" s="7">
        <f>IF($V390="","",T390-R390-K390)</f>
        <v/>
      </c>
      <c r="V390" s="13">
        <f>IF(ROWS($V$2:$V390)&lt;=MAX('Per Line'!$AJ$2:$AJ$1501),MATCH(ROWS($V$2:$V390),'Per Line'!$AJ$2:$AJ$1501,0),"")</f>
        <v/>
      </c>
    </row>
    <row r="391">
      <c r="A391" s="12" t="n"/>
      <c r="B391">
        <f>IF($V391="","",INDEX('Per Line'!$A$2:$A$1501,$V391)&amp;"")</f>
        <v/>
      </c>
      <c r="C391">
        <f>IF($V391="","",INDEX('Per Line'!$C$2:$C$1501,$V391)&amp;"")</f>
        <v/>
      </c>
      <c r="D391" s="11">
        <f>IF($V391="","",INDEX('Per Line'!$S$2:$S$1501,$V391))</f>
        <v/>
      </c>
      <c r="E391">
        <f>IF($V391="","",INDEX('Per Line'!$F$2:$F$1501,$V391)&amp;"")</f>
        <v/>
      </c>
      <c r="F391">
        <f>IF($V391="","",INDEX('Per Line'!$L$2:$L$1501,$V391)&amp;"")</f>
        <v/>
      </c>
      <c r="G391">
        <f>IF($V391="","",INDEX('Per Line'!$O$2:$O$1501,$V391)&amp;"")</f>
        <v/>
      </c>
      <c r="H391">
        <f>IF($V391="","",INDEX('Per Line'!$P$2:$P$1501,$V391)&amp;"")</f>
        <v/>
      </c>
      <c r="I391">
        <f>IF($V391="","",INDEX('Per Line'!$N$2:$N$1501,$V391)&amp;"")</f>
        <v/>
      </c>
      <c r="J391">
        <f>IF($V391="","",INDEX('Per Line'!$Q$2:$Q$1501,$V391))</f>
        <v/>
      </c>
      <c r="K391" s="7">
        <f>IF($V391="","",J391*T391/100)</f>
        <v/>
      </c>
      <c r="L391">
        <f>IF($V391="","",Settings!$C$7)</f>
        <v/>
      </c>
      <c r="M391" s="7">
        <f>IF($V391="","",SUMIFS('Per Line'!$AC$2:$AC$1501,'Per Line'!$C$2:$C$1501,$C391,'Per Line'!$AK$2:$AK$1501,0))</f>
        <v/>
      </c>
      <c r="N391" s="7">
        <f>IF($V391="","",M391*L391)</f>
        <v/>
      </c>
      <c r="O391">
        <f>IF($V391="","",Settings!$C$6)</f>
        <v/>
      </c>
      <c r="P391" s="7">
        <f>IF($V391="","",SUMIFS('Per Line'!$AC$2:$AC$1501,'Per Line'!$C$2:$C$1501,$C391,'Per Line'!$AK$2:$AK$1501,1))</f>
        <v/>
      </c>
      <c r="Q391" s="7">
        <f>IF($V391="","",P391*O391)</f>
        <v/>
      </c>
      <c r="R391" s="7">
        <f>IF($V391="","",Q391+N391)</f>
        <v/>
      </c>
      <c r="S391" s="7">
        <f>IF($V391="","",T391-R391)</f>
        <v/>
      </c>
      <c r="T391" s="7">
        <f>IF($V391="","",M391+P391)</f>
        <v/>
      </c>
      <c r="U391" s="7">
        <f>IF($V391="","",T391-R391-K391)</f>
        <v/>
      </c>
      <c r="V391" s="13">
        <f>IF(ROWS($V$2:$V391)&lt;=MAX('Per Line'!$AJ$2:$AJ$1501),MATCH(ROWS($V$2:$V391),'Per Line'!$AJ$2:$AJ$1501,0),"")</f>
        <v/>
      </c>
    </row>
    <row r="392">
      <c r="A392" s="12" t="n"/>
      <c r="B392">
        <f>IF($V392="","",INDEX('Per Line'!$A$2:$A$1501,$V392)&amp;"")</f>
        <v/>
      </c>
      <c r="C392">
        <f>IF($V392="","",INDEX('Per Line'!$C$2:$C$1501,$V392)&amp;"")</f>
        <v/>
      </c>
      <c r="D392" s="11">
        <f>IF($V392="","",INDEX('Per Line'!$S$2:$S$1501,$V392))</f>
        <v/>
      </c>
      <c r="E392">
        <f>IF($V392="","",INDEX('Per Line'!$F$2:$F$1501,$V392)&amp;"")</f>
        <v/>
      </c>
      <c r="F392">
        <f>IF($V392="","",INDEX('Per Line'!$L$2:$L$1501,$V392)&amp;"")</f>
        <v/>
      </c>
      <c r="G392">
        <f>IF($V392="","",INDEX('Per Line'!$O$2:$O$1501,$V392)&amp;"")</f>
        <v/>
      </c>
      <c r="H392">
        <f>IF($V392="","",INDEX('Per Line'!$P$2:$P$1501,$V392)&amp;"")</f>
        <v/>
      </c>
      <c r="I392">
        <f>IF($V392="","",INDEX('Per Line'!$N$2:$N$1501,$V392)&amp;"")</f>
        <v/>
      </c>
      <c r="J392">
        <f>IF($V392="","",INDEX('Per Line'!$Q$2:$Q$1501,$V392))</f>
        <v/>
      </c>
      <c r="K392" s="7">
        <f>IF($V392="","",J392*T392/100)</f>
        <v/>
      </c>
      <c r="L392">
        <f>IF($V392="","",Settings!$C$7)</f>
        <v/>
      </c>
      <c r="M392" s="7">
        <f>IF($V392="","",SUMIFS('Per Line'!$AC$2:$AC$1501,'Per Line'!$C$2:$C$1501,$C392,'Per Line'!$AK$2:$AK$1501,0))</f>
        <v/>
      </c>
      <c r="N392" s="7">
        <f>IF($V392="","",M392*L392)</f>
        <v/>
      </c>
      <c r="O392">
        <f>IF($V392="","",Settings!$C$6)</f>
        <v/>
      </c>
      <c r="P392" s="7">
        <f>IF($V392="","",SUMIFS('Per Line'!$AC$2:$AC$1501,'Per Line'!$C$2:$C$1501,$C392,'Per Line'!$AK$2:$AK$1501,1))</f>
        <v/>
      </c>
      <c r="Q392" s="7">
        <f>IF($V392="","",P392*O392)</f>
        <v/>
      </c>
      <c r="R392" s="7">
        <f>IF($V392="","",Q392+N392)</f>
        <v/>
      </c>
      <c r="S392" s="7">
        <f>IF($V392="","",T392-R392)</f>
        <v/>
      </c>
      <c r="T392" s="7">
        <f>IF($V392="","",M392+P392)</f>
        <v/>
      </c>
      <c r="U392" s="7">
        <f>IF($V392="","",T392-R392-K392)</f>
        <v/>
      </c>
      <c r="V392" s="13">
        <f>IF(ROWS($V$2:$V392)&lt;=MAX('Per Line'!$AJ$2:$AJ$1501),MATCH(ROWS($V$2:$V392),'Per Line'!$AJ$2:$AJ$1501,0),"")</f>
        <v/>
      </c>
    </row>
    <row r="393">
      <c r="A393" s="12" t="n"/>
      <c r="B393">
        <f>IF($V393="","",INDEX('Per Line'!$A$2:$A$1501,$V393)&amp;"")</f>
        <v/>
      </c>
      <c r="C393">
        <f>IF($V393="","",INDEX('Per Line'!$C$2:$C$1501,$V393)&amp;"")</f>
        <v/>
      </c>
      <c r="D393" s="11">
        <f>IF($V393="","",INDEX('Per Line'!$S$2:$S$1501,$V393))</f>
        <v/>
      </c>
      <c r="E393">
        <f>IF($V393="","",INDEX('Per Line'!$F$2:$F$1501,$V393)&amp;"")</f>
        <v/>
      </c>
      <c r="F393">
        <f>IF($V393="","",INDEX('Per Line'!$L$2:$L$1501,$V393)&amp;"")</f>
        <v/>
      </c>
      <c r="G393">
        <f>IF($V393="","",INDEX('Per Line'!$O$2:$O$1501,$V393)&amp;"")</f>
        <v/>
      </c>
      <c r="H393">
        <f>IF($V393="","",INDEX('Per Line'!$P$2:$P$1501,$V393)&amp;"")</f>
        <v/>
      </c>
      <c r="I393">
        <f>IF($V393="","",INDEX('Per Line'!$N$2:$N$1501,$V393)&amp;"")</f>
        <v/>
      </c>
      <c r="J393">
        <f>IF($V393="","",INDEX('Per Line'!$Q$2:$Q$1501,$V393))</f>
        <v/>
      </c>
      <c r="K393" s="7">
        <f>IF($V393="","",J393*T393/100)</f>
        <v/>
      </c>
      <c r="L393">
        <f>IF($V393="","",Settings!$C$7)</f>
        <v/>
      </c>
      <c r="M393" s="7">
        <f>IF($V393="","",SUMIFS('Per Line'!$AC$2:$AC$1501,'Per Line'!$C$2:$C$1501,$C393,'Per Line'!$AK$2:$AK$1501,0))</f>
        <v/>
      </c>
      <c r="N393" s="7">
        <f>IF($V393="","",M393*L393)</f>
        <v/>
      </c>
      <c r="O393">
        <f>IF($V393="","",Settings!$C$6)</f>
        <v/>
      </c>
      <c r="P393" s="7">
        <f>IF($V393="","",SUMIFS('Per Line'!$AC$2:$AC$1501,'Per Line'!$C$2:$C$1501,$C393,'Per Line'!$AK$2:$AK$1501,1))</f>
        <v/>
      </c>
      <c r="Q393" s="7">
        <f>IF($V393="","",P393*O393)</f>
        <v/>
      </c>
      <c r="R393" s="7">
        <f>IF($V393="","",Q393+N393)</f>
        <v/>
      </c>
      <c r="S393" s="7">
        <f>IF($V393="","",T393-R393)</f>
        <v/>
      </c>
      <c r="T393" s="7">
        <f>IF($V393="","",M393+P393)</f>
        <v/>
      </c>
      <c r="U393" s="7">
        <f>IF($V393="","",T393-R393-K393)</f>
        <v/>
      </c>
      <c r="V393" s="13">
        <f>IF(ROWS($V$2:$V393)&lt;=MAX('Per Line'!$AJ$2:$AJ$1501),MATCH(ROWS($V$2:$V393),'Per Line'!$AJ$2:$AJ$1501,0),"")</f>
        <v/>
      </c>
    </row>
    <row r="394">
      <c r="A394" s="12" t="n"/>
      <c r="B394">
        <f>IF($V394="","",INDEX('Per Line'!$A$2:$A$1501,$V394)&amp;"")</f>
        <v/>
      </c>
      <c r="C394">
        <f>IF($V394="","",INDEX('Per Line'!$C$2:$C$1501,$V394)&amp;"")</f>
        <v/>
      </c>
      <c r="D394" s="11">
        <f>IF($V394="","",INDEX('Per Line'!$S$2:$S$1501,$V394))</f>
        <v/>
      </c>
      <c r="E394">
        <f>IF($V394="","",INDEX('Per Line'!$F$2:$F$1501,$V394)&amp;"")</f>
        <v/>
      </c>
      <c r="F394">
        <f>IF($V394="","",INDEX('Per Line'!$L$2:$L$1501,$V394)&amp;"")</f>
        <v/>
      </c>
      <c r="G394">
        <f>IF($V394="","",INDEX('Per Line'!$O$2:$O$1501,$V394)&amp;"")</f>
        <v/>
      </c>
      <c r="H394">
        <f>IF($V394="","",INDEX('Per Line'!$P$2:$P$1501,$V394)&amp;"")</f>
        <v/>
      </c>
      <c r="I394">
        <f>IF($V394="","",INDEX('Per Line'!$N$2:$N$1501,$V394)&amp;"")</f>
        <v/>
      </c>
      <c r="J394">
        <f>IF($V394="","",INDEX('Per Line'!$Q$2:$Q$1501,$V394))</f>
        <v/>
      </c>
      <c r="K394" s="7">
        <f>IF($V394="","",J394*T394/100)</f>
        <v/>
      </c>
      <c r="L394">
        <f>IF($V394="","",Settings!$C$7)</f>
        <v/>
      </c>
      <c r="M394" s="7">
        <f>IF($V394="","",SUMIFS('Per Line'!$AC$2:$AC$1501,'Per Line'!$C$2:$C$1501,$C394,'Per Line'!$AK$2:$AK$1501,0))</f>
        <v/>
      </c>
      <c r="N394" s="7">
        <f>IF($V394="","",M394*L394)</f>
        <v/>
      </c>
      <c r="O394">
        <f>IF($V394="","",Settings!$C$6)</f>
        <v/>
      </c>
      <c r="P394" s="7">
        <f>IF($V394="","",SUMIFS('Per Line'!$AC$2:$AC$1501,'Per Line'!$C$2:$C$1501,$C394,'Per Line'!$AK$2:$AK$1501,1))</f>
        <v/>
      </c>
      <c r="Q394" s="7">
        <f>IF($V394="","",P394*O394)</f>
        <v/>
      </c>
      <c r="R394" s="7">
        <f>IF($V394="","",Q394+N394)</f>
        <v/>
      </c>
      <c r="S394" s="7">
        <f>IF($V394="","",T394-R394)</f>
        <v/>
      </c>
      <c r="T394" s="7">
        <f>IF($V394="","",M394+P394)</f>
        <v/>
      </c>
      <c r="U394" s="7">
        <f>IF($V394="","",T394-R394-K394)</f>
        <v/>
      </c>
      <c r="V394" s="13">
        <f>IF(ROWS($V$2:$V394)&lt;=MAX('Per Line'!$AJ$2:$AJ$1501),MATCH(ROWS($V$2:$V394),'Per Line'!$AJ$2:$AJ$1501,0),"")</f>
        <v/>
      </c>
    </row>
    <row r="395">
      <c r="A395" s="12" t="n"/>
      <c r="B395">
        <f>IF($V395="","",INDEX('Per Line'!$A$2:$A$1501,$V395)&amp;"")</f>
        <v/>
      </c>
      <c r="C395">
        <f>IF($V395="","",INDEX('Per Line'!$C$2:$C$1501,$V395)&amp;"")</f>
        <v/>
      </c>
      <c r="D395" s="11">
        <f>IF($V395="","",INDEX('Per Line'!$S$2:$S$1501,$V395))</f>
        <v/>
      </c>
      <c r="E395">
        <f>IF($V395="","",INDEX('Per Line'!$F$2:$F$1501,$V395)&amp;"")</f>
        <v/>
      </c>
      <c r="F395">
        <f>IF($V395="","",INDEX('Per Line'!$L$2:$L$1501,$V395)&amp;"")</f>
        <v/>
      </c>
      <c r="G395">
        <f>IF($V395="","",INDEX('Per Line'!$O$2:$O$1501,$V395)&amp;"")</f>
        <v/>
      </c>
      <c r="H395">
        <f>IF($V395="","",INDEX('Per Line'!$P$2:$P$1501,$V395)&amp;"")</f>
        <v/>
      </c>
      <c r="I395">
        <f>IF($V395="","",INDEX('Per Line'!$N$2:$N$1501,$V395)&amp;"")</f>
        <v/>
      </c>
      <c r="J395">
        <f>IF($V395="","",INDEX('Per Line'!$Q$2:$Q$1501,$V395))</f>
        <v/>
      </c>
      <c r="K395" s="7">
        <f>IF($V395="","",J395*T395/100)</f>
        <v/>
      </c>
      <c r="L395">
        <f>IF($V395="","",Settings!$C$7)</f>
        <v/>
      </c>
      <c r="M395" s="7">
        <f>IF($V395="","",SUMIFS('Per Line'!$AC$2:$AC$1501,'Per Line'!$C$2:$C$1501,$C395,'Per Line'!$AK$2:$AK$1501,0))</f>
        <v/>
      </c>
      <c r="N395" s="7">
        <f>IF($V395="","",M395*L395)</f>
        <v/>
      </c>
      <c r="O395">
        <f>IF($V395="","",Settings!$C$6)</f>
        <v/>
      </c>
      <c r="P395" s="7">
        <f>IF($V395="","",SUMIFS('Per Line'!$AC$2:$AC$1501,'Per Line'!$C$2:$C$1501,$C395,'Per Line'!$AK$2:$AK$1501,1))</f>
        <v/>
      </c>
      <c r="Q395" s="7">
        <f>IF($V395="","",P395*O395)</f>
        <v/>
      </c>
      <c r="R395" s="7">
        <f>IF($V395="","",Q395+N395)</f>
        <v/>
      </c>
      <c r="S395" s="7">
        <f>IF($V395="","",T395-R395)</f>
        <v/>
      </c>
      <c r="T395" s="7">
        <f>IF($V395="","",M395+P395)</f>
        <v/>
      </c>
      <c r="U395" s="7">
        <f>IF($V395="","",T395-R395-K395)</f>
        <v/>
      </c>
      <c r="V395" s="13">
        <f>IF(ROWS($V$2:$V395)&lt;=MAX('Per Line'!$AJ$2:$AJ$1501),MATCH(ROWS($V$2:$V395),'Per Line'!$AJ$2:$AJ$1501,0),"")</f>
        <v/>
      </c>
    </row>
    <row r="396">
      <c r="A396" s="12" t="n"/>
      <c r="B396">
        <f>IF($V396="","",INDEX('Per Line'!$A$2:$A$1501,$V396)&amp;"")</f>
        <v/>
      </c>
      <c r="C396">
        <f>IF($V396="","",INDEX('Per Line'!$C$2:$C$1501,$V396)&amp;"")</f>
        <v/>
      </c>
      <c r="D396" s="11">
        <f>IF($V396="","",INDEX('Per Line'!$S$2:$S$1501,$V396))</f>
        <v/>
      </c>
      <c r="E396">
        <f>IF($V396="","",INDEX('Per Line'!$F$2:$F$1501,$V396)&amp;"")</f>
        <v/>
      </c>
      <c r="F396">
        <f>IF($V396="","",INDEX('Per Line'!$L$2:$L$1501,$V396)&amp;"")</f>
        <v/>
      </c>
      <c r="G396">
        <f>IF($V396="","",INDEX('Per Line'!$O$2:$O$1501,$V396)&amp;"")</f>
        <v/>
      </c>
      <c r="H396">
        <f>IF($V396="","",INDEX('Per Line'!$P$2:$P$1501,$V396)&amp;"")</f>
        <v/>
      </c>
      <c r="I396">
        <f>IF($V396="","",INDEX('Per Line'!$N$2:$N$1501,$V396)&amp;"")</f>
        <v/>
      </c>
      <c r="J396">
        <f>IF($V396="","",INDEX('Per Line'!$Q$2:$Q$1501,$V396))</f>
        <v/>
      </c>
      <c r="K396" s="7">
        <f>IF($V396="","",J396*T396/100)</f>
        <v/>
      </c>
      <c r="L396">
        <f>IF($V396="","",Settings!$C$7)</f>
        <v/>
      </c>
      <c r="M396" s="7">
        <f>IF($V396="","",SUMIFS('Per Line'!$AC$2:$AC$1501,'Per Line'!$C$2:$C$1501,$C396,'Per Line'!$AK$2:$AK$1501,0))</f>
        <v/>
      </c>
      <c r="N396" s="7">
        <f>IF($V396="","",M396*L396)</f>
        <v/>
      </c>
      <c r="O396">
        <f>IF($V396="","",Settings!$C$6)</f>
        <v/>
      </c>
      <c r="P396" s="7">
        <f>IF($V396="","",SUMIFS('Per Line'!$AC$2:$AC$1501,'Per Line'!$C$2:$C$1501,$C396,'Per Line'!$AK$2:$AK$1501,1))</f>
        <v/>
      </c>
      <c r="Q396" s="7">
        <f>IF($V396="","",P396*O396)</f>
        <v/>
      </c>
      <c r="R396" s="7">
        <f>IF($V396="","",Q396+N396)</f>
        <v/>
      </c>
      <c r="S396" s="7">
        <f>IF($V396="","",T396-R396)</f>
        <v/>
      </c>
      <c r="T396" s="7">
        <f>IF($V396="","",M396+P396)</f>
        <v/>
      </c>
      <c r="U396" s="7">
        <f>IF($V396="","",T396-R396-K396)</f>
        <v/>
      </c>
      <c r="V396" s="13">
        <f>IF(ROWS($V$2:$V396)&lt;=MAX('Per Line'!$AJ$2:$AJ$1501),MATCH(ROWS($V$2:$V396),'Per Line'!$AJ$2:$AJ$1501,0),"")</f>
        <v/>
      </c>
    </row>
    <row r="397">
      <c r="A397" s="12" t="n"/>
      <c r="B397">
        <f>IF($V397="","",INDEX('Per Line'!$A$2:$A$1501,$V397)&amp;"")</f>
        <v/>
      </c>
      <c r="C397">
        <f>IF($V397="","",INDEX('Per Line'!$C$2:$C$1501,$V397)&amp;"")</f>
        <v/>
      </c>
      <c r="D397" s="11">
        <f>IF($V397="","",INDEX('Per Line'!$S$2:$S$1501,$V397))</f>
        <v/>
      </c>
      <c r="E397">
        <f>IF($V397="","",INDEX('Per Line'!$F$2:$F$1501,$V397)&amp;"")</f>
        <v/>
      </c>
      <c r="F397">
        <f>IF($V397="","",INDEX('Per Line'!$L$2:$L$1501,$V397)&amp;"")</f>
        <v/>
      </c>
      <c r="G397">
        <f>IF($V397="","",INDEX('Per Line'!$O$2:$O$1501,$V397)&amp;"")</f>
        <v/>
      </c>
      <c r="H397">
        <f>IF($V397="","",INDEX('Per Line'!$P$2:$P$1501,$V397)&amp;"")</f>
        <v/>
      </c>
      <c r="I397">
        <f>IF($V397="","",INDEX('Per Line'!$N$2:$N$1501,$V397)&amp;"")</f>
        <v/>
      </c>
      <c r="J397">
        <f>IF($V397="","",INDEX('Per Line'!$Q$2:$Q$1501,$V397))</f>
        <v/>
      </c>
      <c r="K397" s="7">
        <f>IF($V397="","",J397*T397/100)</f>
        <v/>
      </c>
      <c r="L397">
        <f>IF($V397="","",Settings!$C$7)</f>
        <v/>
      </c>
      <c r="M397" s="7">
        <f>IF($V397="","",SUMIFS('Per Line'!$AC$2:$AC$1501,'Per Line'!$C$2:$C$1501,$C397,'Per Line'!$AK$2:$AK$1501,0))</f>
        <v/>
      </c>
      <c r="N397" s="7">
        <f>IF($V397="","",M397*L397)</f>
        <v/>
      </c>
      <c r="O397">
        <f>IF($V397="","",Settings!$C$6)</f>
        <v/>
      </c>
      <c r="P397" s="7">
        <f>IF($V397="","",SUMIFS('Per Line'!$AC$2:$AC$1501,'Per Line'!$C$2:$C$1501,$C397,'Per Line'!$AK$2:$AK$1501,1))</f>
        <v/>
      </c>
      <c r="Q397" s="7">
        <f>IF($V397="","",P397*O397)</f>
        <v/>
      </c>
      <c r="R397" s="7">
        <f>IF($V397="","",Q397+N397)</f>
        <v/>
      </c>
      <c r="S397" s="7">
        <f>IF($V397="","",T397-R397)</f>
        <v/>
      </c>
      <c r="T397" s="7">
        <f>IF($V397="","",M397+P397)</f>
        <v/>
      </c>
      <c r="U397" s="7">
        <f>IF($V397="","",T397-R397-K397)</f>
        <v/>
      </c>
      <c r="V397" s="13">
        <f>IF(ROWS($V$2:$V397)&lt;=MAX('Per Line'!$AJ$2:$AJ$1501),MATCH(ROWS($V$2:$V397),'Per Line'!$AJ$2:$AJ$1501,0),"")</f>
        <v/>
      </c>
    </row>
    <row r="398">
      <c r="A398" s="12" t="n"/>
      <c r="B398">
        <f>IF($V398="","",INDEX('Per Line'!$A$2:$A$1501,$V398)&amp;"")</f>
        <v/>
      </c>
      <c r="C398">
        <f>IF($V398="","",INDEX('Per Line'!$C$2:$C$1501,$V398)&amp;"")</f>
        <v/>
      </c>
      <c r="D398" s="11">
        <f>IF($V398="","",INDEX('Per Line'!$S$2:$S$1501,$V398))</f>
        <v/>
      </c>
      <c r="E398">
        <f>IF($V398="","",INDEX('Per Line'!$F$2:$F$1501,$V398)&amp;"")</f>
        <v/>
      </c>
      <c r="F398">
        <f>IF($V398="","",INDEX('Per Line'!$L$2:$L$1501,$V398)&amp;"")</f>
        <v/>
      </c>
      <c r="G398">
        <f>IF($V398="","",INDEX('Per Line'!$O$2:$O$1501,$V398)&amp;"")</f>
        <v/>
      </c>
      <c r="H398">
        <f>IF($V398="","",INDEX('Per Line'!$P$2:$P$1501,$V398)&amp;"")</f>
        <v/>
      </c>
      <c r="I398">
        <f>IF($V398="","",INDEX('Per Line'!$N$2:$N$1501,$V398)&amp;"")</f>
        <v/>
      </c>
      <c r="J398">
        <f>IF($V398="","",INDEX('Per Line'!$Q$2:$Q$1501,$V398))</f>
        <v/>
      </c>
      <c r="K398" s="7">
        <f>IF($V398="","",J398*T398/100)</f>
        <v/>
      </c>
      <c r="L398">
        <f>IF($V398="","",Settings!$C$7)</f>
        <v/>
      </c>
      <c r="M398" s="7">
        <f>IF($V398="","",SUMIFS('Per Line'!$AC$2:$AC$1501,'Per Line'!$C$2:$C$1501,$C398,'Per Line'!$AK$2:$AK$1501,0))</f>
        <v/>
      </c>
      <c r="N398" s="7">
        <f>IF($V398="","",M398*L398)</f>
        <v/>
      </c>
      <c r="O398">
        <f>IF($V398="","",Settings!$C$6)</f>
        <v/>
      </c>
      <c r="P398" s="7">
        <f>IF($V398="","",SUMIFS('Per Line'!$AC$2:$AC$1501,'Per Line'!$C$2:$C$1501,$C398,'Per Line'!$AK$2:$AK$1501,1))</f>
        <v/>
      </c>
      <c r="Q398" s="7">
        <f>IF($V398="","",P398*O398)</f>
        <v/>
      </c>
      <c r="R398" s="7">
        <f>IF($V398="","",Q398+N398)</f>
        <v/>
      </c>
      <c r="S398" s="7">
        <f>IF($V398="","",T398-R398)</f>
        <v/>
      </c>
      <c r="T398" s="7">
        <f>IF($V398="","",M398+P398)</f>
        <v/>
      </c>
      <c r="U398" s="7">
        <f>IF($V398="","",T398-R398-K398)</f>
        <v/>
      </c>
      <c r="V398" s="13">
        <f>IF(ROWS($V$2:$V398)&lt;=MAX('Per Line'!$AJ$2:$AJ$1501),MATCH(ROWS($V$2:$V398),'Per Line'!$AJ$2:$AJ$1501,0),"")</f>
        <v/>
      </c>
    </row>
    <row r="399">
      <c r="A399" s="12" t="n"/>
      <c r="B399">
        <f>IF($V399="","",INDEX('Per Line'!$A$2:$A$1501,$V399)&amp;"")</f>
        <v/>
      </c>
      <c r="C399">
        <f>IF($V399="","",INDEX('Per Line'!$C$2:$C$1501,$V399)&amp;"")</f>
        <v/>
      </c>
      <c r="D399" s="11">
        <f>IF($V399="","",INDEX('Per Line'!$S$2:$S$1501,$V399))</f>
        <v/>
      </c>
      <c r="E399">
        <f>IF($V399="","",INDEX('Per Line'!$F$2:$F$1501,$V399)&amp;"")</f>
        <v/>
      </c>
      <c r="F399">
        <f>IF($V399="","",INDEX('Per Line'!$L$2:$L$1501,$V399)&amp;"")</f>
        <v/>
      </c>
      <c r="G399">
        <f>IF($V399="","",INDEX('Per Line'!$O$2:$O$1501,$V399)&amp;"")</f>
        <v/>
      </c>
      <c r="H399">
        <f>IF($V399="","",INDEX('Per Line'!$P$2:$P$1501,$V399)&amp;"")</f>
        <v/>
      </c>
      <c r="I399">
        <f>IF($V399="","",INDEX('Per Line'!$N$2:$N$1501,$V399)&amp;"")</f>
        <v/>
      </c>
      <c r="J399">
        <f>IF($V399="","",INDEX('Per Line'!$Q$2:$Q$1501,$V399))</f>
        <v/>
      </c>
      <c r="K399" s="7">
        <f>IF($V399="","",J399*T399/100)</f>
        <v/>
      </c>
      <c r="L399">
        <f>IF($V399="","",Settings!$C$7)</f>
        <v/>
      </c>
      <c r="M399" s="7">
        <f>IF($V399="","",SUMIFS('Per Line'!$AC$2:$AC$1501,'Per Line'!$C$2:$C$1501,$C399,'Per Line'!$AK$2:$AK$1501,0))</f>
        <v/>
      </c>
      <c r="N399" s="7">
        <f>IF($V399="","",M399*L399)</f>
        <v/>
      </c>
      <c r="O399">
        <f>IF($V399="","",Settings!$C$6)</f>
        <v/>
      </c>
      <c r="P399" s="7">
        <f>IF($V399="","",SUMIFS('Per Line'!$AC$2:$AC$1501,'Per Line'!$C$2:$C$1501,$C399,'Per Line'!$AK$2:$AK$1501,1))</f>
        <v/>
      </c>
      <c r="Q399" s="7">
        <f>IF($V399="","",P399*O399)</f>
        <v/>
      </c>
      <c r="R399" s="7">
        <f>IF($V399="","",Q399+N399)</f>
        <v/>
      </c>
      <c r="S399" s="7">
        <f>IF($V399="","",T399-R399)</f>
        <v/>
      </c>
      <c r="T399" s="7">
        <f>IF($V399="","",M399+P399)</f>
        <v/>
      </c>
      <c r="U399" s="7">
        <f>IF($V399="","",T399-R399-K399)</f>
        <v/>
      </c>
      <c r="V399" s="13">
        <f>IF(ROWS($V$2:$V399)&lt;=MAX('Per Line'!$AJ$2:$AJ$1501),MATCH(ROWS($V$2:$V399),'Per Line'!$AJ$2:$AJ$1501,0),"")</f>
        <v/>
      </c>
    </row>
    <row r="400">
      <c r="A400" s="12" t="n"/>
      <c r="B400">
        <f>IF($V400="","",INDEX('Per Line'!$A$2:$A$1501,$V400)&amp;"")</f>
        <v/>
      </c>
      <c r="C400">
        <f>IF($V400="","",INDEX('Per Line'!$C$2:$C$1501,$V400)&amp;"")</f>
        <v/>
      </c>
      <c r="D400" s="11">
        <f>IF($V400="","",INDEX('Per Line'!$S$2:$S$1501,$V400))</f>
        <v/>
      </c>
      <c r="E400">
        <f>IF($V400="","",INDEX('Per Line'!$F$2:$F$1501,$V400)&amp;"")</f>
        <v/>
      </c>
      <c r="F400">
        <f>IF($V400="","",INDEX('Per Line'!$L$2:$L$1501,$V400)&amp;"")</f>
        <v/>
      </c>
      <c r="G400">
        <f>IF($V400="","",INDEX('Per Line'!$O$2:$O$1501,$V400)&amp;"")</f>
        <v/>
      </c>
      <c r="H400">
        <f>IF($V400="","",INDEX('Per Line'!$P$2:$P$1501,$V400)&amp;"")</f>
        <v/>
      </c>
      <c r="I400">
        <f>IF($V400="","",INDEX('Per Line'!$N$2:$N$1501,$V400)&amp;"")</f>
        <v/>
      </c>
      <c r="J400">
        <f>IF($V400="","",INDEX('Per Line'!$Q$2:$Q$1501,$V400))</f>
        <v/>
      </c>
      <c r="K400" s="7">
        <f>IF($V400="","",J400*T400/100)</f>
        <v/>
      </c>
      <c r="L400">
        <f>IF($V400="","",Settings!$C$7)</f>
        <v/>
      </c>
      <c r="M400" s="7">
        <f>IF($V400="","",SUMIFS('Per Line'!$AC$2:$AC$1501,'Per Line'!$C$2:$C$1501,$C400,'Per Line'!$AK$2:$AK$1501,0))</f>
        <v/>
      </c>
      <c r="N400" s="7">
        <f>IF($V400="","",M400*L400)</f>
        <v/>
      </c>
      <c r="O400">
        <f>IF($V400="","",Settings!$C$6)</f>
        <v/>
      </c>
      <c r="P400" s="7">
        <f>IF($V400="","",SUMIFS('Per Line'!$AC$2:$AC$1501,'Per Line'!$C$2:$C$1501,$C400,'Per Line'!$AK$2:$AK$1501,1))</f>
        <v/>
      </c>
      <c r="Q400" s="7">
        <f>IF($V400="","",P400*O400)</f>
        <v/>
      </c>
      <c r="R400" s="7">
        <f>IF($V400="","",Q400+N400)</f>
        <v/>
      </c>
      <c r="S400" s="7">
        <f>IF($V400="","",T400-R400)</f>
        <v/>
      </c>
      <c r="T400" s="7">
        <f>IF($V400="","",M400+P400)</f>
        <v/>
      </c>
      <c r="U400" s="7">
        <f>IF($V400="","",T400-R400-K400)</f>
        <v/>
      </c>
      <c r="V400" s="13">
        <f>IF(ROWS($V$2:$V400)&lt;=MAX('Per Line'!$AJ$2:$AJ$1501),MATCH(ROWS($V$2:$V400),'Per Line'!$AJ$2:$AJ$1501,0),"")</f>
        <v/>
      </c>
    </row>
    <row r="401">
      <c r="A401" s="12" t="n"/>
      <c r="B401">
        <f>IF($V401="","",INDEX('Per Line'!$A$2:$A$1501,$V401)&amp;"")</f>
        <v/>
      </c>
      <c r="C401">
        <f>IF($V401="","",INDEX('Per Line'!$C$2:$C$1501,$V401)&amp;"")</f>
        <v/>
      </c>
      <c r="D401" s="11">
        <f>IF($V401="","",INDEX('Per Line'!$S$2:$S$1501,$V401))</f>
        <v/>
      </c>
      <c r="E401">
        <f>IF($V401="","",INDEX('Per Line'!$F$2:$F$1501,$V401)&amp;"")</f>
        <v/>
      </c>
      <c r="F401">
        <f>IF($V401="","",INDEX('Per Line'!$L$2:$L$1501,$V401)&amp;"")</f>
        <v/>
      </c>
      <c r="G401">
        <f>IF($V401="","",INDEX('Per Line'!$O$2:$O$1501,$V401)&amp;"")</f>
        <v/>
      </c>
      <c r="H401">
        <f>IF($V401="","",INDEX('Per Line'!$P$2:$P$1501,$V401)&amp;"")</f>
        <v/>
      </c>
      <c r="I401">
        <f>IF($V401="","",INDEX('Per Line'!$N$2:$N$1501,$V401)&amp;"")</f>
        <v/>
      </c>
      <c r="J401">
        <f>IF($V401="","",INDEX('Per Line'!$Q$2:$Q$1501,$V401))</f>
        <v/>
      </c>
      <c r="K401" s="7">
        <f>IF($V401="","",J401*T401/100)</f>
        <v/>
      </c>
      <c r="L401">
        <f>IF($V401="","",Settings!$C$7)</f>
        <v/>
      </c>
      <c r="M401" s="7">
        <f>IF($V401="","",SUMIFS('Per Line'!$AC$2:$AC$1501,'Per Line'!$C$2:$C$1501,$C401,'Per Line'!$AK$2:$AK$1501,0))</f>
        <v/>
      </c>
      <c r="N401" s="7">
        <f>IF($V401="","",M401*L401)</f>
        <v/>
      </c>
      <c r="O401">
        <f>IF($V401="","",Settings!$C$6)</f>
        <v/>
      </c>
      <c r="P401" s="7">
        <f>IF($V401="","",SUMIFS('Per Line'!$AC$2:$AC$1501,'Per Line'!$C$2:$C$1501,$C401,'Per Line'!$AK$2:$AK$1501,1))</f>
        <v/>
      </c>
      <c r="Q401" s="7">
        <f>IF($V401="","",P401*O401)</f>
        <v/>
      </c>
      <c r="R401" s="7">
        <f>IF($V401="","",Q401+N401)</f>
        <v/>
      </c>
      <c r="S401" s="7">
        <f>IF($V401="","",T401-R401)</f>
        <v/>
      </c>
      <c r="T401" s="7">
        <f>IF($V401="","",M401+P401)</f>
        <v/>
      </c>
      <c r="U401" s="7">
        <f>IF($V401="","",T401-R401-K401)</f>
        <v/>
      </c>
      <c r="V401" s="13">
        <f>IF(ROWS($V$2:$V401)&lt;=MAX('Per Line'!$AJ$2:$AJ$1501),MATCH(ROWS($V$2:$V401),'Per Line'!$AJ$2:$AJ$1501,0),"")</f>
        <v/>
      </c>
    </row>
    <row r="402">
      <c r="A402" s="12" t="n"/>
      <c r="B402">
        <f>IF($V402="","",INDEX('Per Line'!$A$2:$A$1501,$V402)&amp;"")</f>
        <v/>
      </c>
      <c r="C402">
        <f>IF($V402="","",INDEX('Per Line'!$C$2:$C$1501,$V402)&amp;"")</f>
        <v/>
      </c>
      <c r="D402" s="11">
        <f>IF($V402="","",INDEX('Per Line'!$S$2:$S$1501,$V402))</f>
        <v/>
      </c>
      <c r="E402">
        <f>IF($V402="","",INDEX('Per Line'!$F$2:$F$1501,$V402)&amp;"")</f>
        <v/>
      </c>
      <c r="F402">
        <f>IF($V402="","",INDEX('Per Line'!$L$2:$L$1501,$V402)&amp;"")</f>
        <v/>
      </c>
      <c r="G402">
        <f>IF($V402="","",INDEX('Per Line'!$O$2:$O$1501,$V402)&amp;"")</f>
        <v/>
      </c>
      <c r="H402">
        <f>IF($V402="","",INDEX('Per Line'!$P$2:$P$1501,$V402)&amp;"")</f>
        <v/>
      </c>
      <c r="I402">
        <f>IF($V402="","",INDEX('Per Line'!$N$2:$N$1501,$V402)&amp;"")</f>
        <v/>
      </c>
      <c r="J402">
        <f>IF($V402="","",INDEX('Per Line'!$Q$2:$Q$1501,$V402))</f>
        <v/>
      </c>
      <c r="K402" s="7">
        <f>IF($V402="","",J402*T402/100)</f>
        <v/>
      </c>
      <c r="L402">
        <f>IF($V402="","",Settings!$C$7)</f>
        <v/>
      </c>
      <c r="M402" s="7">
        <f>IF($V402="","",SUMIFS('Per Line'!$AC$2:$AC$1501,'Per Line'!$C$2:$C$1501,$C402,'Per Line'!$AK$2:$AK$1501,0))</f>
        <v/>
      </c>
      <c r="N402" s="7">
        <f>IF($V402="","",M402*L402)</f>
        <v/>
      </c>
      <c r="O402">
        <f>IF($V402="","",Settings!$C$6)</f>
        <v/>
      </c>
      <c r="P402" s="7">
        <f>IF($V402="","",SUMIFS('Per Line'!$AC$2:$AC$1501,'Per Line'!$C$2:$C$1501,$C402,'Per Line'!$AK$2:$AK$1501,1))</f>
        <v/>
      </c>
      <c r="Q402" s="7">
        <f>IF($V402="","",P402*O402)</f>
        <v/>
      </c>
      <c r="R402" s="7">
        <f>IF($V402="","",Q402+N402)</f>
        <v/>
      </c>
      <c r="S402" s="7">
        <f>IF($V402="","",T402-R402)</f>
        <v/>
      </c>
      <c r="T402" s="7">
        <f>IF($V402="","",M402+P402)</f>
        <v/>
      </c>
      <c r="U402" s="7">
        <f>IF($V402="","",T402-R402-K402)</f>
        <v/>
      </c>
      <c r="V402" s="13">
        <f>IF(ROWS($V$2:$V402)&lt;=MAX('Per Line'!$AJ$2:$AJ$1501),MATCH(ROWS($V$2:$V402),'Per Line'!$AJ$2:$AJ$1501,0),"")</f>
        <v/>
      </c>
    </row>
    <row r="403">
      <c r="A403" s="12" t="n"/>
      <c r="B403">
        <f>IF($V403="","",INDEX('Per Line'!$A$2:$A$1501,$V403)&amp;"")</f>
        <v/>
      </c>
      <c r="C403">
        <f>IF($V403="","",INDEX('Per Line'!$C$2:$C$1501,$V403)&amp;"")</f>
        <v/>
      </c>
      <c r="D403" s="11">
        <f>IF($V403="","",INDEX('Per Line'!$S$2:$S$1501,$V403))</f>
        <v/>
      </c>
      <c r="E403">
        <f>IF($V403="","",INDEX('Per Line'!$F$2:$F$1501,$V403)&amp;"")</f>
        <v/>
      </c>
      <c r="F403">
        <f>IF($V403="","",INDEX('Per Line'!$L$2:$L$1501,$V403)&amp;"")</f>
        <v/>
      </c>
      <c r="G403">
        <f>IF($V403="","",INDEX('Per Line'!$O$2:$O$1501,$V403)&amp;"")</f>
        <v/>
      </c>
      <c r="H403">
        <f>IF($V403="","",INDEX('Per Line'!$P$2:$P$1501,$V403)&amp;"")</f>
        <v/>
      </c>
      <c r="I403">
        <f>IF($V403="","",INDEX('Per Line'!$N$2:$N$1501,$V403)&amp;"")</f>
        <v/>
      </c>
      <c r="J403">
        <f>IF($V403="","",INDEX('Per Line'!$Q$2:$Q$1501,$V403))</f>
        <v/>
      </c>
      <c r="K403" s="7">
        <f>IF($V403="","",J403*T403/100)</f>
        <v/>
      </c>
      <c r="L403">
        <f>IF($V403="","",Settings!$C$7)</f>
        <v/>
      </c>
      <c r="M403" s="7">
        <f>IF($V403="","",SUMIFS('Per Line'!$AC$2:$AC$1501,'Per Line'!$C$2:$C$1501,$C403,'Per Line'!$AK$2:$AK$1501,0))</f>
        <v/>
      </c>
      <c r="N403" s="7">
        <f>IF($V403="","",M403*L403)</f>
        <v/>
      </c>
      <c r="O403">
        <f>IF($V403="","",Settings!$C$6)</f>
        <v/>
      </c>
      <c r="P403" s="7">
        <f>IF($V403="","",SUMIFS('Per Line'!$AC$2:$AC$1501,'Per Line'!$C$2:$C$1501,$C403,'Per Line'!$AK$2:$AK$1501,1))</f>
        <v/>
      </c>
      <c r="Q403" s="7">
        <f>IF($V403="","",P403*O403)</f>
        <v/>
      </c>
      <c r="R403" s="7">
        <f>IF($V403="","",Q403+N403)</f>
        <v/>
      </c>
      <c r="S403" s="7">
        <f>IF($V403="","",T403-R403)</f>
        <v/>
      </c>
      <c r="T403" s="7">
        <f>IF($V403="","",M403+P403)</f>
        <v/>
      </c>
      <c r="U403" s="7">
        <f>IF($V403="","",T403-R403-K403)</f>
        <v/>
      </c>
      <c r="V403" s="13">
        <f>IF(ROWS($V$2:$V403)&lt;=MAX('Per Line'!$AJ$2:$AJ$1501),MATCH(ROWS($V$2:$V403),'Per Line'!$AJ$2:$AJ$1501,0),"")</f>
        <v/>
      </c>
    </row>
    <row r="404">
      <c r="A404" s="12" t="n"/>
      <c r="B404">
        <f>IF($V404="","",INDEX('Per Line'!$A$2:$A$1501,$V404)&amp;"")</f>
        <v/>
      </c>
      <c r="C404">
        <f>IF($V404="","",INDEX('Per Line'!$C$2:$C$1501,$V404)&amp;"")</f>
        <v/>
      </c>
      <c r="D404" s="11">
        <f>IF($V404="","",INDEX('Per Line'!$S$2:$S$1501,$V404))</f>
        <v/>
      </c>
      <c r="E404">
        <f>IF($V404="","",INDEX('Per Line'!$F$2:$F$1501,$V404)&amp;"")</f>
        <v/>
      </c>
      <c r="F404">
        <f>IF($V404="","",INDEX('Per Line'!$L$2:$L$1501,$V404)&amp;"")</f>
        <v/>
      </c>
      <c r="G404">
        <f>IF($V404="","",INDEX('Per Line'!$O$2:$O$1501,$V404)&amp;"")</f>
        <v/>
      </c>
      <c r="H404">
        <f>IF($V404="","",INDEX('Per Line'!$P$2:$P$1501,$V404)&amp;"")</f>
        <v/>
      </c>
      <c r="I404">
        <f>IF($V404="","",INDEX('Per Line'!$N$2:$N$1501,$V404)&amp;"")</f>
        <v/>
      </c>
      <c r="J404">
        <f>IF($V404="","",INDEX('Per Line'!$Q$2:$Q$1501,$V404))</f>
        <v/>
      </c>
      <c r="K404" s="7">
        <f>IF($V404="","",J404*T404/100)</f>
        <v/>
      </c>
      <c r="L404">
        <f>IF($V404="","",Settings!$C$7)</f>
        <v/>
      </c>
      <c r="M404" s="7">
        <f>IF($V404="","",SUMIFS('Per Line'!$AC$2:$AC$1501,'Per Line'!$C$2:$C$1501,$C404,'Per Line'!$AK$2:$AK$1501,0))</f>
        <v/>
      </c>
      <c r="N404" s="7">
        <f>IF($V404="","",M404*L404)</f>
        <v/>
      </c>
      <c r="O404">
        <f>IF($V404="","",Settings!$C$6)</f>
        <v/>
      </c>
      <c r="P404" s="7">
        <f>IF($V404="","",SUMIFS('Per Line'!$AC$2:$AC$1501,'Per Line'!$C$2:$C$1501,$C404,'Per Line'!$AK$2:$AK$1501,1))</f>
        <v/>
      </c>
      <c r="Q404" s="7">
        <f>IF($V404="","",P404*O404)</f>
        <v/>
      </c>
      <c r="R404" s="7">
        <f>IF($V404="","",Q404+N404)</f>
        <v/>
      </c>
      <c r="S404" s="7">
        <f>IF($V404="","",T404-R404)</f>
        <v/>
      </c>
      <c r="T404" s="7">
        <f>IF($V404="","",M404+P404)</f>
        <v/>
      </c>
      <c r="U404" s="7">
        <f>IF($V404="","",T404-R404-K404)</f>
        <v/>
      </c>
      <c r="V404" s="13">
        <f>IF(ROWS($V$2:$V404)&lt;=MAX('Per Line'!$AJ$2:$AJ$1501),MATCH(ROWS($V$2:$V404),'Per Line'!$AJ$2:$AJ$1501,0),"")</f>
        <v/>
      </c>
    </row>
    <row r="405">
      <c r="A405" s="12" t="n"/>
      <c r="B405">
        <f>IF($V405="","",INDEX('Per Line'!$A$2:$A$1501,$V405)&amp;"")</f>
        <v/>
      </c>
      <c r="C405">
        <f>IF($V405="","",INDEX('Per Line'!$C$2:$C$1501,$V405)&amp;"")</f>
        <v/>
      </c>
      <c r="D405" s="11">
        <f>IF($V405="","",INDEX('Per Line'!$S$2:$S$1501,$V405))</f>
        <v/>
      </c>
      <c r="E405">
        <f>IF($V405="","",INDEX('Per Line'!$F$2:$F$1501,$V405)&amp;"")</f>
        <v/>
      </c>
      <c r="F405">
        <f>IF($V405="","",INDEX('Per Line'!$L$2:$L$1501,$V405)&amp;"")</f>
        <v/>
      </c>
      <c r="G405">
        <f>IF($V405="","",INDEX('Per Line'!$O$2:$O$1501,$V405)&amp;"")</f>
        <v/>
      </c>
      <c r="H405">
        <f>IF($V405="","",INDEX('Per Line'!$P$2:$P$1501,$V405)&amp;"")</f>
        <v/>
      </c>
      <c r="I405">
        <f>IF($V405="","",INDEX('Per Line'!$N$2:$N$1501,$V405)&amp;"")</f>
        <v/>
      </c>
      <c r="J405">
        <f>IF($V405="","",INDEX('Per Line'!$Q$2:$Q$1501,$V405))</f>
        <v/>
      </c>
      <c r="K405" s="7">
        <f>IF($V405="","",J405*T405/100)</f>
        <v/>
      </c>
      <c r="L405">
        <f>IF($V405="","",Settings!$C$7)</f>
        <v/>
      </c>
      <c r="M405" s="7">
        <f>IF($V405="","",SUMIFS('Per Line'!$AC$2:$AC$1501,'Per Line'!$C$2:$C$1501,$C405,'Per Line'!$AK$2:$AK$1501,0))</f>
        <v/>
      </c>
      <c r="N405" s="7">
        <f>IF($V405="","",M405*L405)</f>
        <v/>
      </c>
      <c r="O405">
        <f>IF($V405="","",Settings!$C$6)</f>
        <v/>
      </c>
      <c r="P405" s="7">
        <f>IF($V405="","",SUMIFS('Per Line'!$AC$2:$AC$1501,'Per Line'!$C$2:$C$1501,$C405,'Per Line'!$AK$2:$AK$1501,1))</f>
        <v/>
      </c>
      <c r="Q405" s="7">
        <f>IF($V405="","",P405*O405)</f>
        <v/>
      </c>
      <c r="R405" s="7">
        <f>IF($V405="","",Q405+N405)</f>
        <v/>
      </c>
      <c r="S405" s="7">
        <f>IF($V405="","",T405-R405)</f>
        <v/>
      </c>
      <c r="T405" s="7">
        <f>IF($V405="","",M405+P405)</f>
        <v/>
      </c>
      <c r="U405" s="7">
        <f>IF($V405="","",T405-R405-K405)</f>
        <v/>
      </c>
      <c r="V405" s="13">
        <f>IF(ROWS($V$2:$V405)&lt;=MAX('Per Line'!$AJ$2:$AJ$1501),MATCH(ROWS($V$2:$V405),'Per Line'!$AJ$2:$AJ$1501,0),"")</f>
        <v/>
      </c>
    </row>
    <row r="406">
      <c r="A406" s="12" t="n"/>
      <c r="B406">
        <f>IF($V406="","",INDEX('Per Line'!$A$2:$A$1501,$V406)&amp;"")</f>
        <v/>
      </c>
      <c r="C406">
        <f>IF($V406="","",INDEX('Per Line'!$C$2:$C$1501,$V406)&amp;"")</f>
        <v/>
      </c>
      <c r="D406" s="11">
        <f>IF($V406="","",INDEX('Per Line'!$S$2:$S$1501,$V406))</f>
        <v/>
      </c>
      <c r="E406">
        <f>IF($V406="","",INDEX('Per Line'!$F$2:$F$1501,$V406)&amp;"")</f>
        <v/>
      </c>
      <c r="F406">
        <f>IF($V406="","",INDEX('Per Line'!$L$2:$L$1501,$V406)&amp;"")</f>
        <v/>
      </c>
      <c r="G406">
        <f>IF($V406="","",INDEX('Per Line'!$O$2:$O$1501,$V406)&amp;"")</f>
        <v/>
      </c>
      <c r="H406">
        <f>IF($V406="","",INDEX('Per Line'!$P$2:$P$1501,$V406)&amp;"")</f>
        <v/>
      </c>
      <c r="I406">
        <f>IF($V406="","",INDEX('Per Line'!$N$2:$N$1501,$V406)&amp;"")</f>
        <v/>
      </c>
      <c r="J406">
        <f>IF($V406="","",INDEX('Per Line'!$Q$2:$Q$1501,$V406))</f>
        <v/>
      </c>
      <c r="K406" s="7">
        <f>IF($V406="","",J406*T406/100)</f>
        <v/>
      </c>
      <c r="L406">
        <f>IF($V406="","",Settings!$C$7)</f>
        <v/>
      </c>
      <c r="M406" s="7">
        <f>IF($V406="","",SUMIFS('Per Line'!$AC$2:$AC$1501,'Per Line'!$C$2:$C$1501,$C406,'Per Line'!$AK$2:$AK$1501,0))</f>
        <v/>
      </c>
      <c r="N406" s="7">
        <f>IF($V406="","",M406*L406)</f>
        <v/>
      </c>
      <c r="O406">
        <f>IF($V406="","",Settings!$C$6)</f>
        <v/>
      </c>
      <c r="P406" s="7">
        <f>IF($V406="","",SUMIFS('Per Line'!$AC$2:$AC$1501,'Per Line'!$C$2:$C$1501,$C406,'Per Line'!$AK$2:$AK$1501,1))</f>
        <v/>
      </c>
      <c r="Q406" s="7">
        <f>IF($V406="","",P406*O406)</f>
        <v/>
      </c>
      <c r="R406" s="7">
        <f>IF($V406="","",Q406+N406)</f>
        <v/>
      </c>
      <c r="S406" s="7">
        <f>IF($V406="","",T406-R406)</f>
        <v/>
      </c>
      <c r="T406" s="7">
        <f>IF($V406="","",M406+P406)</f>
        <v/>
      </c>
      <c r="U406" s="7">
        <f>IF($V406="","",T406-R406-K406)</f>
        <v/>
      </c>
      <c r="V406" s="13">
        <f>IF(ROWS($V$2:$V406)&lt;=MAX('Per Line'!$AJ$2:$AJ$1501),MATCH(ROWS($V$2:$V406),'Per Line'!$AJ$2:$AJ$1501,0),"")</f>
        <v/>
      </c>
    </row>
    <row r="407">
      <c r="A407" s="12" t="n"/>
      <c r="B407">
        <f>IF($V407="","",INDEX('Per Line'!$A$2:$A$1501,$V407)&amp;"")</f>
        <v/>
      </c>
      <c r="C407">
        <f>IF($V407="","",INDEX('Per Line'!$C$2:$C$1501,$V407)&amp;"")</f>
        <v/>
      </c>
      <c r="D407" s="11">
        <f>IF($V407="","",INDEX('Per Line'!$S$2:$S$1501,$V407))</f>
        <v/>
      </c>
      <c r="E407">
        <f>IF($V407="","",INDEX('Per Line'!$F$2:$F$1501,$V407)&amp;"")</f>
        <v/>
      </c>
      <c r="F407">
        <f>IF($V407="","",INDEX('Per Line'!$L$2:$L$1501,$V407)&amp;"")</f>
        <v/>
      </c>
      <c r="G407">
        <f>IF($V407="","",INDEX('Per Line'!$O$2:$O$1501,$V407)&amp;"")</f>
        <v/>
      </c>
      <c r="H407">
        <f>IF($V407="","",INDEX('Per Line'!$P$2:$P$1501,$V407)&amp;"")</f>
        <v/>
      </c>
      <c r="I407">
        <f>IF($V407="","",INDEX('Per Line'!$N$2:$N$1501,$V407)&amp;"")</f>
        <v/>
      </c>
      <c r="J407">
        <f>IF($V407="","",INDEX('Per Line'!$Q$2:$Q$1501,$V407))</f>
        <v/>
      </c>
      <c r="K407" s="7">
        <f>IF($V407="","",J407*T407/100)</f>
        <v/>
      </c>
      <c r="L407">
        <f>IF($V407="","",Settings!$C$7)</f>
        <v/>
      </c>
      <c r="M407" s="7">
        <f>IF($V407="","",SUMIFS('Per Line'!$AC$2:$AC$1501,'Per Line'!$C$2:$C$1501,$C407,'Per Line'!$AK$2:$AK$1501,0))</f>
        <v/>
      </c>
      <c r="N407" s="7">
        <f>IF($V407="","",M407*L407)</f>
        <v/>
      </c>
      <c r="O407">
        <f>IF($V407="","",Settings!$C$6)</f>
        <v/>
      </c>
      <c r="P407" s="7">
        <f>IF($V407="","",SUMIFS('Per Line'!$AC$2:$AC$1501,'Per Line'!$C$2:$C$1501,$C407,'Per Line'!$AK$2:$AK$1501,1))</f>
        <v/>
      </c>
      <c r="Q407" s="7">
        <f>IF($V407="","",P407*O407)</f>
        <v/>
      </c>
      <c r="R407" s="7">
        <f>IF($V407="","",Q407+N407)</f>
        <v/>
      </c>
      <c r="S407" s="7">
        <f>IF($V407="","",T407-R407)</f>
        <v/>
      </c>
      <c r="T407" s="7">
        <f>IF($V407="","",M407+P407)</f>
        <v/>
      </c>
      <c r="U407" s="7">
        <f>IF($V407="","",T407-R407-K407)</f>
        <v/>
      </c>
      <c r="V407" s="13">
        <f>IF(ROWS($V$2:$V407)&lt;=MAX('Per Line'!$AJ$2:$AJ$1501),MATCH(ROWS($V$2:$V407),'Per Line'!$AJ$2:$AJ$1501,0),"")</f>
        <v/>
      </c>
    </row>
    <row r="408">
      <c r="A408" s="12" t="n"/>
      <c r="B408">
        <f>IF($V408="","",INDEX('Per Line'!$A$2:$A$1501,$V408)&amp;"")</f>
        <v/>
      </c>
      <c r="C408">
        <f>IF($V408="","",INDEX('Per Line'!$C$2:$C$1501,$V408)&amp;"")</f>
        <v/>
      </c>
      <c r="D408" s="11">
        <f>IF($V408="","",INDEX('Per Line'!$S$2:$S$1501,$V408))</f>
        <v/>
      </c>
      <c r="E408">
        <f>IF($V408="","",INDEX('Per Line'!$F$2:$F$1501,$V408)&amp;"")</f>
        <v/>
      </c>
      <c r="F408">
        <f>IF($V408="","",INDEX('Per Line'!$L$2:$L$1501,$V408)&amp;"")</f>
        <v/>
      </c>
      <c r="G408">
        <f>IF($V408="","",INDEX('Per Line'!$O$2:$O$1501,$V408)&amp;"")</f>
        <v/>
      </c>
      <c r="H408">
        <f>IF($V408="","",INDEX('Per Line'!$P$2:$P$1501,$V408)&amp;"")</f>
        <v/>
      </c>
      <c r="I408">
        <f>IF($V408="","",INDEX('Per Line'!$N$2:$N$1501,$V408)&amp;"")</f>
        <v/>
      </c>
      <c r="J408">
        <f>IF($V408="","",INDEX('Per Line'!$Q$2:$Q$1501,$V408))</f>
        <v/>
      </c>
      <c r="K408" s="7">
        <f>IF($V408="","",J408*T408/100)</f>
        <v/>
      </c>
      <c r="L408">
        <f>IF($V408="","",Settings!$C$7)</f>
        <v/>
      </c>
      <c r="M408" s="7">
        <f>IF($V408="","",SUMIFS('Per Line'!$AC$2:$AC$1501,'Per Line'!$C$2:$C$1501,$C408,'Per Line'!$AK$2:$AK$1501,0))</f>
        <v/>
      </c>
      <c r="N408" s="7">
        <f>IF($V408="","",M408*L408)</f>
        <v/>
      </c>
      <c r="O408">
        <f>IF($V408="","",Settings!$C$6)</f>
        <v/>
      </c>
      <c r="P408" s="7">
        <f>IF($V408="","",SUMIFS('Per Line'!$AC$2:$AC$1501,'Per Line'!$C$2:$C$1501,$C408,'Per Line'!$AK$2:$AK$1501,1))</f>
        <v/>
      </c>
      <c r="Q408" s="7">
        <f>IF($V408="","",P408*O408)</f>
        <v/>
      </c>
      <c r="R408" s="7">
        <f>IF($V408="","",Q408+N408)</f>
        <v/>
      </c>
      <c r="S408" s="7">
        <f>IF($V408="","",T408-R408)</f>
        <v/>
      </c>
      <c r="T408" s="7">
        <f>IF($V408="","",M408+P408)</f>
        <v/>
      </c>
      <c r="U408" s="7">
        <f>IF($V408="","",T408-R408-K408)</f>
        <v/>
      </c>
      <c r="V408" s="13">
        <f>IF(ROWS($V$2:$V408)&lt;=MAX('Per Line'!$AJ$2:$AJ$1501),MATCH(ROWS($V$2:$V408),'Per Line'!$AJ$2:$AJ$1501,0),"")</f>
        <v/>
      </c>
    </row>
    <row r="409">
      <c r="A409" s="12" t="n"/>
      <c r="B409">
        <f>IF($V409="","",INDEX('Per Line'!$A$2:$A$1501,$V409)&amp;"")</f>
        <v/>
      </c>
      <c r="C409">
        <f>IF($V409="","",INDEX('Per Line'!$C$2:$C$1501,$V409)&amp;"")</f>
        <v/>
      </c>
      <c r="D409" s="11">
        <f>IF($V409="","",INDEX('Per Line'!$S$2:$S$1501,$V409))</f>
        <v/>
      </c>
      <c r="E409">
        <f>IF($V409="","",INDEX('Per Line'!$F$2:$F$1501,$V409)&amp;"")</f>
        <v/>
      </c>
      <c r="F409">
        <f>IF($V409="","",INDEX('Per Line'!$L$2:$L$1501,$V409)&amp;"")</f>
        <v/>
      </c>
      <c r="G409">
        <f>IF($V409="","",INDEX('Per Line'!$O$2:$O$1501,$V409)&amp;"")</f>
        <v/>
      </c>
      <c r="H409">
        <f>IF($V409="","",INDEX('Per Line'!$P$2:$P$1501,$V409)&amp;"")</f>
        <v/>
      </c>
      <c r="I409">
        <f>IF($V409="","",INDEX('Per Line'!$N$2:$N$1501,$V409)&amp;"")</f>
        <v/>
      </c>
      <c r="J409">
        <f>IF($V409="","",INDEX('Per Line'!$Q$2:$Q$1501,$V409))</f>
        <v/>
      </c>
      <c r="K409" s="7">
        <f>IF($V409="","",J409*T409/100)</f>
        <v/>
      </c>
      <c r="L409">
        <f>IF($V409="","",Settings!$C$7)</f>
        <v/>
      </c>
      <c r="M409" s="7">
        <f>IF($V409="","",SUMIFS('Per Line'!$AC$2:$AC$1501,'Per Line'!$C$2:$C$1501,$C409,'Per Line'!$AK$2:$AK$1501,0))</f>
        <v/>
      </c>
      <c r="N409" s="7">
        <f>IF($V409="","",M409*L409)</f>
        <v/>
      </c>
      <c r="O409">
        <f>IF($V409="","",Settings!$C$6)</f>
        <v/>
      </c>
      <c r="P409" s="7">
        <f>IF($V409="","",SUMIFS('Per Line'!$AC$2:$AC$1501,'Per Line'!$C$2:$C$1501,$C409,'Per Line'!$AK$2:$AK$1501,1))</f>
        <v/>
      </c>
      <c r="Q409" s="7">
        <f>IF($V409="","",P409*O409)</f>
        <v/>
      </c>
      <c r="R409" s="7">
        <f>IF($V409="","",Q409+N409)</f>
        <v/>
      </c>
      <c r="S409" s="7">
        <f>IF($V409="","",T409-R409)</f>
        <v/>
      </c>
      <c r="T409" s="7">
        <f>IF($V409="","",M409+P409)</f>
        <v/>
      </c>
      <c r="U409" s="7">
        <f>IF($V409="","",T409-R409-K409)</f>
        <v/>
      </c>
      <c r="V409" s="13">
        <f>IF(ROWS($V$2:$V409)&lt;=MAX('Per Line'!$AJ$2:$AJ$1501),MATCH(ROWS($V$2:$V409),'Per Line'!$AJ$2:$AJ$1501,0),"")</f>
        <v/>
      </c>
    </row>
    <row r="410">
      <c r="A410" s="12" t="n"/>
      <c r="B410">
        <f>IF($V410="","",INDEX('Per Line'!$A$2:$A$1501,$V410)&amp;"")</f>
        <v/>
      </c>
      <c r="C410">
        <f>IF($V410="","",INDEX('Per Line'!$C$2:$C$1501,$V410)&amp;"")</f>
        <v/>
      </c>
      <c r="D410" s="11">
        <f>IF($V410="","",INDEX('Per Line'!$S$2:$S$1501,$V410))</f>
        <v/>
      </c>
      <c r="E410">
        <f>IF($V410="","",INDEX('Per Line'!$F$2:$F$1501,$V410)&amp;"")</f>
        <v/>
      </c>
      <c r="F410">
        <f>IF($V410="","",INDEX('Per Line'!$L$2:$L$1501,$V410)&amp;"")</f>
        <v/>
      </c>
      <c r="G410">
        <f>IF($V410="","",INDEX('Per Line'!$O$2:$O$1501,$V410)&amp;"")</f>
        <v/>
      </c>
      <c r="H410">
        <f>IF($V410="","",INDEX('Per Line'!$P$2:$P$1501,$V410)&amp;"")</f>
        <v/>
      </c>
      <c r="I410">
        <f>IF($V410="","",INDEX('Per Line'!$N$2:$N$1501,$V410)&amp;"")</f>
        <v/>
      </c>
      <c r="J410">
        <f>IF($V410="","",INDEX('Per Line'!$Q$2:$Q$1501,$V410))</f>
        <v/>
      </c>
      <c r="K410" s="7">
        <f>IF($V410="","",J410*T410/100)</f>
        <v/>
      </c>
      <c r="L410">
        <f>IF($V410="","",Settings!$C$7)</f>
        <v/>
      </c>
      <c r="M410" s="7">
        <f>IF($V410="","",SUMIFS('Per Line'!$AC$2:$AC$1501,'Per Line'!$C$2:$C$1501,$C410,'Per Line'!$AK$2:$AK$1501,0))</f>
        <v/>
      </c>
      <c r="N410" s="7">
        <f>IF($V410="","",M410*L410)</f>
        <v/>
      </c>
      <c r="O410">
        <f>IF($V410="","",Settings!$C$6)</f>
        <v/>
      </c>
      <c r="P410" s="7">
        <f>IF($V410="","",SUMIFS('Per Line'!$AC$2:$AC$1501,'Per Line'!$C$2:$C$1501,$C410,'Per Line'!$AK$2:$AK$1501,1))</f>
        <v/>
      </c>
      <c r="Q410" s="7">
        <f>IF($V410="","",P410*O410)</f>
        <v/>
      </c>
      <c r="R410" s="7">
        <f>IF($V410="","",Q410+N410)</f>
        <v/>
      </c>
      <c r="S410" s="7">
        <f>IF($V410="","",T410-R410)</f>
        <v/>
      </c>
      <c r="T410" s="7">
        <f>IF($V410="","",M410+P410)</f>
        <v/>
      </c>
      <c r="U410" s="7">
        <f>IF($V410="","",T410-R410-K410)</f>
        <v/>
      </c>
      <c r="V410" s="13">
        <f>IF(ROWS($V$2:$V410)&lt;=MAX('Per Line'!$AJ$2:$AJ$1501),MATCH(ROWS($V$2:$V410),'Per Line'!$AJ$2:$AJ$1501,0),"")</f>
        <v/>
      </c>
    </row>
    <row r="411">
      <c r="A411" s="12" t="n"/>
      <c r="B411">
        <f>IF($V411="","",INDEX('Per Line'!$A$2:$A$1501,$V411)&amp;"")</f>
        <v/>
      </c>
      <c r="C411">
        <f>IF($V411="","",INDEX('Per Line'!$C$2:$C$1501,$V411)&amp;"")</f>
        <v/>
      </c>
      <c r="D411" s="11">
        <f>IF($V411="","",INDEX('Per Line'!$S$2:$S$1501,$V411))</f>
        <v/>
      </c>
      <c r="E411">
        <f>IF($V411="","",INDEX('Per Line'!$F$2:$F$1501,$V411)&amp;"")</f>
        <v/>
      </c>
      <c r="F411">
        <f>IF($V411="","",INDEX('Per Line'!$L$2:$L$1501,$V411)&amp;"")</f>
        <v/>
      </c>
      <c r="G411">
        <f>IF($V411="","",INDEX('Per Line'!$O$2:$O$1501,$V411)&amp;"")</f>
        <v/>
      </c>
      <c r="H411">
        <f>IF($V411="","",INDEX('Per Line'!$P$2:$P$1501,$V411)&amp;"")</f>
        <v/>
      </c>
      <c r="I411">
        <f>IF($V411="","",INDEX('Per Line'!$N$2:$N$1501,$V411)&amp;"")</f>
        <v/>
      </c>
      <c r="J411">
        <f>IF($V411="","",INDEX('Per Line'!$Q$2:$Q$1501,$V411))</f>
        <v/>
      </c>
      <c r="K411" s="7">
        <f>IF($V411="","",J411*T411/100)</f>
        <v/>
      </c>
      <c r="L411">
        <f>IF($V411="","",Settings!$C$7)</f>
        <v/>
      </c>
      <c r="M411" s="7">
        <f>IF($V411="","",SUMIFS('Per Line'!$AC$2:$AC$1501,'Per Line'!$C$2:$C$1501,$C411,'Per Line'!$AK$2:$AK$1501,0))</f>
        <v/>
      </c>
      <c r="N411" s="7">
        <f>IF($V411="","",M411*L411)</f>
        <v/>
      </c>
      <c r="O411">
        <f>IF($V411="","",Settings!$C$6)</f>
        <v/>
      </c>
      <c r="P411" s="7">
        <f>IF($V411="","",SUMIFS('Per Line'!$AC$2:$AC$1501,'Per Line'!$C$2:$C$1501,$C411,'Per Line'!$AK$2:$AK$1501,1))</f>
        <v/>
      </c>
      <c r="Q411" s="7">
        <f>IF($V411="","",P411*O411)</f>
        <v/>
      </c>
      <c r="R411" s="7">
        <f>IF($V411="","",Q411+N411)</f>
        <v/>
      </c>
      <c r="S411" s="7">
        <f>IF($V411="","",T411-R411)</f>
        <v/>
      </c>
      <c r="T411" s="7">
        <f>IF($V411="","",M411+P411)</f>
        <v/>
      </c>
      <c r="U411" s="7">
        <f>IF($V411="","",T411-R411-K411)</f>
        <v/>
      </c>
      <c r="V411" s="13">
        <f>IF(ROWS($V$2:$V411)&lt;=MAX('Per Line'!$AJ$2:$AJ$1501),MATCH(ROWS($V$2:$V411),'Per Line'!$AJ$2:$AJ$1501,0),"")</f>
        <v/>
      </c>
    </row>
    <row r="412">
      <c r="A412" s="12" t="n"/>
      <c r="B412">
        <f>IF($V412="","",INDEX('Per Line'!$A$2:$A$1501,$V412)&amp;"")</f>
        <v/>
      </c>
      <c r="C412">
        <f>IF($V412="","",INDEX('Per Line'!$C$2:$C$1501,$V412)&amp;"")</f>
        <v/>
      </c>
      <c r="D412" s="11">
        <f>IF($V412="","",INDEX('Per Line'!$S$2:$S$1501,$V412))</f>
        <v/>
      </c>
      <c r="E412">
        <f>IF($V412="","",INDEX('Per Line'!$F$2:$F$1501,$V412)&amp;"")</f>
        <v/>
      </c>
      <c r="F412">
        <f>IF($V412="","",INDEX('Per Line'!$L$2:$L$1501,$V412)&amp;"")</f>
        <v/>
      </c>
      <c r="G412">
        <f>IF($V412="","",INDEX('Per Line'!$O$2:$O$1501,$V412)&amp;"")</f>
        <v/>
      </c>
      <c r="H412">
        <f>IF($V412="","",INDEX('Per Line'!$P$2:$P$1501,$V412)&amp;"")</f>
        <v/>
      </c>
      <c r="I412">
        <f>IF($V412="","",INDEX('Per Line'!$N$2:$N$1501,$V412)&amp;"")</f>
        <v/>
      </c>
      <c r="J412">
        <f>IF($V412="","",INDEX('Per Line'!$Q$2:$Q$1501,$V412))</f>
        <v/>
      </c>
      <c r="K412" s="7">
        <f>IF($V412="","",J412*T412/100)</f>
        <v/>
      </c>
      <c r="L412">
        <f>IF($V412="","",Settings!$C$7)</f>
        <v/>
      </c>
      <c r="M412" s="7">
        <f>IF($V412="","",SUMIFS('Per Line'!$AC$2:$AC$1501,'Per Line'!$C$2:$C$1501,$C412,'Per Line'!$AK$2:$AK$1501,0))</f>
        <v/>
      </c>
      <c r="N412" s="7">
        <f>IF($V412="","",M412*L412)</f>
        <v/>
      </c>
      <c r="O412">
        <f>IF($V412="","",Settings!$C$6)</f>
        <v/>
      </c>
      <c r="P412" s="7">
        <f>IF($V412="","",SUMIFS('Per Line'!$AC$2:$AC$1501,'Per Line'!$C$2:$C$1501,$C412,'Per Line'!$AK$2:$AK$1501,1))</f>
        <v/>
      </c>
      <c r="Q412" s="7">
        <f>IF($V412="","",P412*O412)</f>
        <v/>
      </c>
      <c r="R412" s="7">
        <f>IF($V412="","",Q412+N412)</f>
        <v/>
      </c>
      <c r="S412" s="7">
        <f>IF($V412="","",T412-R412)</f>
        <v/>
      </c>
      <c r="T412" s="7">
        <f>IF($V412="","",M412+P412)</f>
        <v/>
      </c>
      <c r="U412" s="7">
        <f>IF($V412="","",T412-R412-K412)</f>
        <v/>
      </c>
      <c r="V412" s="13">
        <f>IF(ROWS($V$2:$V412)&lt;=MAX('Per Line'!$AJ$2:$AJ$1501),MATCH(ROWS($V$2:$V412),'Per Line'!$AJ$2:$AJ$1501,0),"")</f>
        <v/>
      </c>
    </row>
    <row r="413">
      <c r="A413" s="12" t="n"/>
      <c r="B413">
        <f>IF($V413="","",INDEX('Per Line'!$A$2:$A$1501,$V413)&amp;"")</f>
        <v/>
      </c>
      <c r="C413">
        <f>IF($V413="","",INDEX('Per Line'!$C$2:$C$1501,$V413)&amp;"")</f>
        <v/>
      </c>
      <c r="D413" s="11">
        <f>IF($V413="","",INDEX('Per Line'!$S$2:$S$1501,$V413))</f>
        <v/>
      </c>
      <c r="E413">
        <f>IF($V413="","",INDEX('Per Line'!$F$2:$F$1501,$V413)&amp;"")</f>
        <v/>
      </c>
      <c r="F413">
        <f>IF($V413="","",INDEX('Per Line'!$L$2:$L$1501,$V413)&amp;"")</f>
        <v/>
      </c>
      <c r="G413">
        <f>IF($V413="","",INDEX('Per Line'!$O$2:$O$1501,$V413)&amp;"")</f>
        <v/>
      </c>
      <c r="H413">
        <f>IF($V413="","",INDEX('Per Line'!$P$2:$P$1501,$V413)&amp;"")</f>
        <v/>
      </c>
      <c r="I413">
        <f>IF($V413="","",INDEX('Per Line'!$N$2:$N$1501,$V413)&amp;"")</f>
        <v/>
      </c>
      <c r="J413">
        <f>IF($V413="","",INDEX('Per Line'!$Q$2:$Q$1501,$V413))</f>
        <v/>
      </c>
      <c r="K413" s="7">
        <f>IF($V413="","",J413*T413/100)</f>
        <v/>
      </c>
      <c r="L413">
        <f>IF($V413="","",Settings!$C$7)</f>
        <v/>
      </c>
      <c r="M413" s="7">
        <f>IF($V413="","",SUMIFS('Per Line'!$AC$2:$AC$1501,'Per Line'!$C$2:$C$1501,$C413,'Per Line'!$AK$2:$AK$1501,0))</f>
        <v/>
      </c>
      <c r="N413" s="7">
        <f>IF($V413="","",M413*L413)</f>
        <v/>
      </c>
      <c r="O413">
        <f>IF($V413="","",Settings!$C$6)</f>
        <v/>
      </c>
      <c r="P413" s="7">
        <f>IF($V413="","",SUMIFS('Per Line'!$AC$2:$AC$1501,'Per Line'!$C$2:$C$1501,$C413,'Per Line'!$AK$2:$AK$1501,1))</f>
        <v/>
      </c>
      <c r="Q413" s="7">
        <f>IF($V413="","",P413*O413)</f>
        <v/>
      </c>
      <c r="R413" s="7">
        <f>IF($V413="","",Q413+N413)</f>
        <v/>
      </c>
      <c r="S413" s="7">
        <f>IF($V413="","",T413-R413)</f>
        <v/>
      </c>
      <c r="T413" s="7">
        <f>IF($V413="","",M413+P413)</f>
        <v/>
      </c>
      <c r="U413" s="7">
        <f>IF($V413="","",T413-R413-K413)</f>
        <v/>
      </c>
      <c r="V413" s="13">
        <f>IF(ROWS($V$2:$V413)&lt;=MAX('Per Line'!$AJ$2:$AJ$1501),MATCH(ROWS($V$2:$V413),'Per Line'!$AJ$2:$AJ$1501,0),"")</f>
        <v/>
      </c>
    </row>
    <row r="414">
      <c r="A414" s="12" t="n"/>
      <c r="B414">
        <f>IF($V414="","",INDEX('Per Line'!$A$2:$A$1501,$V414)&amp;"")</f>
        <v/>
      </c>
      <c r="C414">
        <f>IF($V414="","",INDEX('Per Line'!$C$2:$C$1501,$V414)&amp;"")</f>
        <v/>
      </c>
      <c r="D414" s="11">
        <f>IF($V414="","",INDEX('Per Line'!$S$2:$S$1501,$V414))</f>
        <v/>
      </c>
      <c r="E414">
        <f>IF($V414="","",INDEX('Per Line'!$F$2:$F$1501,$V414)&amp;"")</f>
        <v/>
      </c>
      <c r="F414">
        <f>IF($V414="","",INDEX('Per Line'!$L$2:$L$1501,$V414)&amp;"")</f>
        <v/>
      </c>
      <c r="G414">
        <f>IF($V414="","",INDEX('Per Line'!$O$2:$O$1501,$V414)&amp;"")</f>
        <v/>
      </c>
      <c r="H414">
        <f>IF($V414="","",INDEX('Per Line'!$P$2:$P$1501,$V414)&amp;"")</f>
        <v/>
      </c>
      <c r="I414">
        <f>IF($V414="","",INDEX('Per Line'!$N$2:$N$1501,$V414)&amp;"")</f>
        <v/>
      </c>
      <c r="J414">
        <f>IF($V414="","",INDEX('Per Line'!$Q$2:$Q$1501,$V414))</f>
        <v/>
      </c>
      <c r="K414" s="7">
        <f>IF($V414="","",J414*T414/100)</f>
        <v/>
      </c>
      <c r="L414">
        <f>IF($V414="","",Settings!$C$7)</f>
        <v/>
      </c>
      <c r="M414" s="7">
        <f>IF($V414="","",SUMIFS('Per Line'!$AC$2:$AC$1501,'Per Line'!$C$2:$C$1501,$C414,'Per Line'!$AK$2:$AK$1501,0))</f>
        <v/>
      </c>
      <c r="N414" s="7">
        <f>IF($V414="","",M414*L414)</f>
        <v/>
      </c>
      <c r="O414">
        <f>IF($V414="","",Settings!$C$6)</f>
        <v/>
      </c>
      <c r="P414" s="7">
        <f>IF($V414="","",SUMIFS('Per Line'!$AC$2:$AC$1501,'Per Line'!$C$2:$C$1501,$C414,'Per Line'!$AK$2:$AK$1501,1))</f>
        <v/>
      </c>
      <c r="Q414" s="7">
        <f>IF($V414="","",P414*O414)</f>
        <v/>
      </c>
      <c r="R414" s="7">
        <f>IF($V414="","",Q414+N414)</f>
        <v/>
      </c>
      <c r="S414" s="7">
        <f>IF($V414="","",T414-R414)</f>
        <v/>
      </c>
      <c r="T414" s="7">
        <f>IF($V414="","",M414+P414)</f>
        <v/>
      </c>
      <c r="U414" s="7">
        <f>IF($V414="","",T414-R414-K414)</f>
        <v/>
      </c>
      <c r="V414" s="13">
        <f>IF(ROWS($V$2:$V414)&lt;=MAX('Per Line'!$AJ$2:$AJ$1501),MATCH(ROWS($V$2:$V414),'Per Line'!$AJ$2:$AJ$1501,0),"")</f>
        <v/>
      </c>
    </row>
    <row r="415">
      <c r="A415" s="12" t="n"/>
      <c r="B415">
        <f>IF($V415="","",INDEX('Per Line'!$A$2:$A$1501,$V415)&amp;"")</f>
        <v/>
      </c>
      <c r="C415">
        <f>IF($V415="","",INDEX('Per Line'!$C$2:$C$1501,$V415)&amp;"")</f>
        <v/>
      </c>
      <c r="D415" s="11">
        <f>IF($V415="","",INDEX('Per Line'!$S$2:$S$1501,$V415))</f>
        <v/>
      </c>
      <c r="E415">
        <f>IF($V415="","",INDEX('Per Line'!$F$2:$F$1501,$V415)&amp;"")</f>
        <v/>
      </c>
      <c r="F415">
        <f>IF($V415="","",INDEX('Per Line'!$L$2:$L$1501,$V415)&amp;"")</f>
        <v/>
      </c>
      <c r="G415">
        <f>IF($V415="","",INDEX('Per Line'!$O$2:$O$1501,$V415)&amp;"")</f>
        <v/>
      </c>
      <c r="H415">
        <f>IF($V415="","",INDEX('Per Line'!$P$2:$P$1501,$V415)&amp;"")</f>
        <v/>
      </c>
      <c r="I415">
        <f>IF($V415="","",INDEX('Per Line'!$N$2:$N$1501,$V415)&amp;"")</f>
        <v/>
      </c>
      <c r="J415">
        <f>IF($V415="","",INDEX('Per Line'!$Q$2:$Q$1501,$V415))</f>
        <v/>
      </c>
      <c r="K415" s="7">
        <f>IF($V415="","",J415*T415/100)</f>
        <v/>
      </c>
      <c r="L415">
        <f>IF($V415="","",Settings!$C$7)</f>
        <v/>
      </c>
      <c r="M415" s="7">
        <f>IF($V415="","",SUMIFS('Per Line'!$AC$2:$AC$1501,'Per Line'!$C$2:$C$1501,$C415,'Per Line'!$AK$2:$AK$1501,0))</f>
        <v/>
      </c>
      <c r="N415" s="7">
        <f>IF($V415="","",M415*L415)</f>
        <v/>
      </c>
      <c r="O415">
        <f>IF($V415="","",Settings!$C$6)</f>
        <v/>
      </c>
      <c r="P415" s="7">
        <f>IF($V415="","",SUMIFS('Per Line'!$AC$2:$AC$1501,'Per Line'!$C$2:$C$1501,$C415,'Per Line'!$AK$2:$AK$1501,1))</f>
        <v/>
      </c>
      <c r="Q415" s="7">
        <f>IF($V415="","",P415*O415)</f>
        <v/>
      </c>
      <c r="R415" s="7">
        <f>IF($V415="","",Q415+N415)</f>
        <v/>
      </c>
      <c r="S415" s="7">
        <f>IF($V415="","",T415-R415)</f>
        <v/>
      </c>
      <c r="T415" s="7">
        <f>IF($V415="","",M415+P415)</f>
        <v/>
      </c>
      <c r="U415" s="7">
        <f>IF($V415="","",T415-R415-K415)</f>
        <v/>
      </c>
      <c r="V415" s="13">
        <f>IF(ROWS($V$2:$V415)&lt;=MAX('Per Line'!$AJ$2:$AJ$1501),MATCH(ROWS($V$2:$V415),'Per Line'!$AJ$2:$AJ$1501,0),"")</f>
        <v/>
      </c>
    </row>
    <row r="416">
      <c r="A416" s="12" t="n"/>
      <c r="B416">
        <f>IF($V416="","",INDEX('Per Line'!$A$2:$A$1501,$V416)&amp;"")</f>
        <v/>
      </c>
      <c r="C416">
        <f>IF($V416="","",INDEX('Per Line'!$C$2:$C$1501,$V416)&amp;"")</f>
        <v/>
      </c>
      <c r="D416" s="11">
        <f>IF($V416="","",INDEX('Per Line'!$S$2:$S$1501,$V416))</f>
        <v/>
      </c>
      <c r="E416">
        <f>IF($V416="","",INDEX('Per Line'!$F$2:$F$1501,$V416)&amp;"")</f>
        <v/>
      </c>
      <c r="F416">
        <f>IF($V416="","",INDEX('Per Line'!$L$2:$L$1501,$V416)&amp;"")</f>
        <v/>
      </c>
      <c r="G416">
        <f>IF($V416="","",INDEX('Per Line'!$O$2:$O$1501,$V416)&amp;"")</f>
        <v/>
      </c>
      <c r="H416">
        <f>IF($V416="","",INDEX('Per Line'!$P$2:$P$1501,$V416)&amp;"")</f>
        <v/>
      </c>
      <c r="I416">
        <f>IF($V416="","",INDEX('Per Line'!$N$2:$N$1501,$V416)&amp;"")</f>
        <v/>
      </c>
      <c r="J416">
        <f>IF($V416="","",INDEX('Per Line'!$Q$2:$Q$1501,$V416))</f>
        <v/>
      </c>
      <c r="K416" s="7">
        <f>IF($V416="","",J416*T416/100)</f>
        <v/>
      </c>
      <c r="L416">
        <f>IF($V416="","",Settings!$C$7)</f>
        <v/>
      </c>
      <c r="M416" s="7">
        <f>IF($V416="","",SUMIFS('Per Line'!$AC$2:$AC$1501,'Per Line'!$C$2:$C$1501,$C416,'Per Line'!$AK$2:$AK$1501,0))</f>
        <v/>
      </c>
      <c r="N416" s="7">
        <f>IF($V416="","",M416*L416)</f>
        <v/>
      </c>
      <c r="O416">
        <f>IF($V416="","",Settings!$C$6)</f>
        <v/>
      </c>
      <c r="P416" s="7">
        <f>IF($V416="","",SUMIFS('Per Line'!$AC$2:$AC$1501,'Per Line'!$C$2:$C$1501,$C416,'Per Line'!$AK$2:$AK$1501,1))</f>
        <v/>
      </c>
      <c r="Q416" s="7">
        <f>IF($V416="","",P416*O416)</f>
        <v/>
      </c>
      <c r="R416" s="7">
        <f>IF($V416="","",Q416+N416)</f>
        <v/>
      </c>
      <c r="S416" s="7">
        <f>IF($V416="","",T416-R416)</f>
        <v/>
      </c>
      <c r="T416" s="7">
        <f>IF($V416="","",M416+P416)</f>
        <v/>
      </c>
      <c r="U416" s="7">
        <f>IF($V416="","",T416-R416-K416)</f>
        <v/>
      </c>
      <c r="V416" s="13">
        <f>IF(ROWS($V$2:$V416)&lt;=MAX('Per Line'!$AJ$2:$AJ$1501),MATCH(ROWS($V$2:$V416),'Per Line'!$AJ$2:$AJ$1501,0),"")</f>
        <v/>
      </c>
    </row>
    <row r="417">
      <c r="A417" s="12" t="n"/>
      <c r="B417">
        <f>IF($V417="","",INDEX('Per Line'!$A$2:$A$1501,$V417)&amp;"")</f>
        <v/>
      </c>
      <c r="C417">
        <f>IF($V417="","",INDEX('Per Line'!$C$2:$C$1501,$V417)&amp;"")</f>
        <v/>
      </c>
      <c r="D417" s="11">
        <f>IF($V417="","",INDEX('Per Line'!$S$2:$S$1501,$V417))</f>
        <v/>
      </c>
      <c r="E417">
        <f>IF($V417="","",INDEX('Per Line'!$F$2:$F$1501,$V417)&amp;"")</f>
        <v/>
      </c>
      <c r="F417">
        <f>IF($V417="","",INDEX('Per Line'!$L$2:$L$1501,$V417)&amp;"")</f>
        <v/>
      </c>
      <c r="G417">
        <f>IF($V417="","",INDEX('Per Line'!$O$2:$O$1501,$V417)&amp;"")</f>
        <v/>
      </c>
      <c r="H417">
        <f>IF($V417="","",INDEX('Per Line'!$P$2:$P$1501,$V417)&amp;"")</f>
        <v/>
      </c>
      <c r="I417">
        <f>IF($V417="","",INDEX('Per Line'!$N$2:$N$1501,$V417)&amp;"")</f>
        <v/>
      </c>
      <c r="J417">
        <f>IF($V417="","",INDEX('Per Line'!$Q$2:$Q$1501,$V417))</f>
        <v/>
      </c>
      <c r="K417" s="7">
        <f>IF($V417="","",J417*T417/100)</f>
        <v/>
      </c>
      <c r="L417">
        <f>IF($V417="","",Settings!$C$7)</f>
        <v/>
      </c>
      <c r="M417" s="7">
        <f>IF($V417="","",SUMIFS('Per Line'!$AC$2:$AC$1501,'Per Line'!$C$2:$C$1501,$C417,'Per Line'!$AK$2:$AK$1501,0))</f>
        <v/>
      </c>
      <c r="N417" s="7">
        <f>IF($V417="","",M417*L417)</f>
        <v/>
      </c>
      <c r="O417">
        <f>IF($V417="","",Settings!$C$6)</f>
        <v/>
      </c>
      <c r="P417" s="7">
        <f>IF($V417="","",SUMIFS('Per Line'!$AC$2:$AC$1501,'Per Line'!$C$2:$C$1501,$C417,'Per Line'!$AK$2:$AK$1501,1))</f>
        <v/>
      </c>
      <c r="Q417" s="7">
        <f>IF($V417="","",P417*O417)</f>
        <v/>
      </c>
      <c r="R417" s="7">
        <f>IF($V417="","",Q417+N417)</f>
        <v/>
      </c>
      <c r="S417" s="7">
        <f>IF($V417="","",T417-R417)</f>
        <v/>
      </c>
      <c r="T417" s="7">
        <f>IF($V417="","",M417+P417)</f>
        <v/>
      </c>
      <c r="U417" s="7">
        <f>IF($V417="","",T417-R417-K417)</f>
        <v/>
      </c>
      <c r="V417" s="13">
        <f>IF(ROWS($V$2:$V417)&lt;=MAX('Per Line'!$AJ$2:$AJ$1501),MATCH(ROWS($V$2:$V417),'Per Line'!$AJ$2:$AJ$1501,0),"")</f>
        <v/>
      </c>
    </row>
    <row r="418">
      <c r="A418" s="12" t="n"/>
      <c r="B418">
        <f>IF($V418="","",INDEX('Per Line'!$A$2:$A$1501,$V418)&amp;"")</f>
        <v/>
      </c>
      <c r="C418">
        <f>IF($V418="","",INDEX('Per Line'!$C$2:$C$1501,$V418)&amp;"")</f>
        <v/>
      </c>
      <c r="D418" s="11">
        <f>IF($V418="","",INDEX('Per Line'!$S$2:$S$1501,$V418))</f>
        <v/>
      </c>
      <c r="E418">
        <f>IF($V418="","",INDEX('Per Line'!$F$2:$F$1501,$V418)&amp;"")</f>
        <v/>
      </c>
      <c r="F418">
        <f>IF($V418="","",INDEX('Per Line'!$L$2:$L$1501,$V418)&amp;"")</f>
        <v/>
      </c>
      <c r="G418">
        <f>IF($V418="","",INDEX('Per Line'!$O$2:$O$1501,$V418)&amp;"")</f>
        <v/>
      </c>
      <c r="H418">
        <f>IF($V418="","",INDEX('Per Line'!$P$2:$P$1501,$V418)&amp;"")</f>
        <v/>
      </c>
      <c r="I418">
        <f>IF($V418="","",INDEX('Per Line'!$N$2:$N$1501,$V418)&amp;"")</f>
        <v/>
      </c>
      <c r="J418">
        <f>IF($V418="","",INDEX('Per Line'!$Q$2:$Q$1501,$V418))</f>
        <v/>
      </c>
      <c r="K418" s="7">
        <f>IF($V418="","",J418*T418/100)</f>
        <v/>
      </c>
      <c r="L418">
        <f>IF($V418="","",Settings!$C$7)</f>
        <v/>
      </c>
      <c r="M418" s="7">
        <f>IF($V418="","",SUMIFS('Per Line'!$AC$2:$AC$1501,'Per Line'!$C$2:$C$1501,$C418,'Per Line'!$AK$2:$AK$1501,0))</f>
        <v/>
      </c>
      <c r="N418" s="7">
        <f>IF($V418="","",M418*L418)</f>
        <v/>
      </c>
      <c r="O418">
        <f>IF($V418="","",Settings!$C$6)</f>
        <v/>
      </c>
      <c r="P418" s="7">
        <f>IF($V418="","",SUMIFS('Per Line'!$AC$2:$AC$1501,'Per Line'!$C$2:$C$1501,$C418,'Per Line'!$AK$2:$AK$1501,1))</f>
        <v/>
      </c>
      <c r="Q418" s="7">
        <f>IF($V418="","",P418*O418)</f>
        <v/>
      </c>
      <c r="R418" s="7">
        <f>IF($V418="","",Q418+N418)</f>
        <v/>
      </c>
      <c r="S418" s="7">
        <f>IF($V418="","",T418-R418)</f>
        <v/>
      </c>
      <c r="T418" s="7">
        <f>IF($V418="","",M418+P418)</f>
        <v/>
      </c>
      <c r="U418" s="7">
        <f>IF($V418="","",T418-R418-K418)</f>
        <v/>
      </c>
      <c r="V418" s="13">
        <f>IF(ROWS($V$2:$V418)&lt;=MAX('Per Line'!$AJ$2:$AJ$1501),MATCH(ROWS($V$2:$V418),'Per Line'!$AJ$2:$AJ$1501,0),"")</f>
        <v/>
      </c>
    </row>
    <row r="419">
      <c r="A419" s="12" t="n"/>
      <c r="B419">
        <f>IF($V419="","",INDEX('Per Line'!$A$2:$A$1501,$V419)&amp;"")</f>
        <v/>
      </c>
      <c r="C419">
        <f>IF($V419="","",INDEX('Per Line'!$C$2:$C$1501,$V419)&amp;"")</f>
        <v/>
      </c>
      <c r="D419" s="11">
        <f>IF($V419="","",INDEX('Per Line'!$S$2:$S$1501,$V419))</f>
        <v/>
      </c>
      <c r="E419">
        <f>IF($V419="","",INDEX('Per Line'!$F$2:$F$1501,$V419)&amp;"")</f>
        <v/>
      </c>
      <c r="F419">
        <f>IF($V419="","",INDEX('Per Line'!$L$2:$L$1501,$V419)&amp;"")</f>
        <v/>
      </c>
      <c r="G419">
        <f>IF($V419="","",INDEX('Per Line'!$O$2:$O$1501,$V419)&amp;"")</f>
        <v/>
      </c>
      <c r="H419">
        <f>IF($V419="","",INDEX('Per Line'!$P$2:$P$1501,$V419)&amp;"")</f>
        <v/>
      </c>
      <c r="I419">
        <f>IF($V419="","",INDEX('Per Line'!$N$2:$N$1501,$V419)&amp;"")</f>
        <v/>
      </c>
      <c r="J419">
        <f>IF($V419="","",INDEX('Per Line'!$Q$2:$Q$1501,$V419))</f>
        <v/>
      </c>
      <c r="K419" s="7">
        <f>IF($V419="","",J419*T419/100)</f>
        <v/>
      </c>
      <c r="L419">
        <f>IF($V419="","",Settings!$C$7)</f>
        <v/>
      </c>
      <c r="M419" s="7">
        <f>IF($V419="","",SUMIFS('Per Line'!$AC$2:$AC$1501,'Per Line'!$C$2:$C$1501,$C419,'Per Line'!$AK$2:$AK$1501,0))</f>
        <v/>
      </c>
      <c r="N419" s="7">
        <f>IF($V419="","",M419*L419)</f>
        <v/>
      </c>
      <c r="O419">
        <f>IF($V419="","",Settings!$C$6)</f>
        <v/>
      </c>
      <c r="P419" s="7">
        <f>IF($V419="","",SUMIFS('Per Line'!$AC$2:$AC$1501,'Per Line'!$C$2:$C$1501,$C419,'Per Line'!$AK$2:$AK$1501,1))</f>
        <v/>
      </c>
      <c r="Q419" s="7">
        <f>IF($V419="","",P419*O419)</f>
        <v/>
      </c>
      <c r="R419" s="7">
        <f>IF($V419="","",Q419+N419)</f>
        <v/>
      </c>
      <c r="S419" s="7">
        <f>IF($V419="","",T419-R419)</f>
        <v/>
      </c>
      <c r="T419" s="7">
        <f>IF($V419="","",M419+P419)</f>
        <v/>
      </c>
      <c r="U419" s="7">
        <f>IF($V419="","",T419-R419-K419)</f>
        <v/>
      </c>
      <c r="V419" s="13">
        <f>IF(ROWS($V$2:$V419)&lt;=MAX('Per Line'!$AJ$2:$AJ$1501),MATCH(ROWS($V$2:$V419),'Per Line'!$AJ$2:$AJ$1501,0),"")</f>
        <v/>
      </c>
    </row>
    <row r="420">
      <c r="A420" s="12" t="n"/>
      <c r="B420">
        <f>IF($V420="","",INDEX('Per Line'!$A$2:$A$1501,$V420)&amp;"")</f>
        <v/>
      </c>
      <c r="C420">
        <f>IF($V420="","",INDEX('Per Line'!$C$2:$C$1501,$V420)&amp;"")</f>
        <v/>
      </c>
      <c r="D420" s="11">
        <f>IF($V420="","",INDEX('Per Line'!$S$2:$S$1501,$V420))</f>
        <v/>
      </c>
      <c r="E420">
        <f>IF($V420="","",INDEX('Per Line'!$F$2:$F$1501,$V420)&amp;"")</f>
        <v/>
      </c>
      <c r="F420">
        <f>IF($V420="","",INDEX('Per Line'!$L$2:$L$1501,$V420)&amp;"")</f>
        <v/>
      </c>
      <c r="G420">
        <f>IF($V420="","",INDEX('Per Line'!$O$2:$O$1501,$V420)&amp;"")</f>
        <v/>
      </c>
      <c r="H420">
        <f>IF($V420="","",INDEX('Per Line'!$P$2:$P$1501,$V420)&amp;"")</f>
        <v/>
      </c>
      <c r="I420">
        <f>IF($V420="","",INDEX('Per Line'!$N$2:$N$1501,$V420)&amp;"")</f>
        <v/>
      </c>
      <c r="J420">
        <f>IF($V420="","",INDEX('Per Line'!$Q$2:$Q$1501,$V420))</f>
        <v/>
      </c>
      <c r="K420" s="7">
        <f>IF($V420="","",J420*T420/100)</f>
        <v/>
      </c>
      <c r="L420">
        <f>IF($V420="","",Settings!$C$7)</f>
        <v/>
      </c>
      <c r="M420" s="7">
        <f>IF($V420="","",SUMIFS('Per Line'!$AC$2:$AC$1501,'Per Line'!$C$2:$C$1501,$C420,'Per Line'!$AK$2:$AK$1501,0))</f>
        <v/>
      </c>
      <c r="N420" s="7">
        <f>IF($V420="","",M420*L420)</f>
        <v/>
      </c>
      <c r="O420">
        <f>IF($V420="","",Settings!$C$6)</f>
        <v/>
      </c>
      <c r="P420" s="7">
        <f>IF($V420="","",SUMIFS('Per Line'!$AC$2:$AC$1501,'Per Line'!$C$2:$C$1501,$C420,'Per Line'!$AK$2:$AK$1501,1))</f>
        <v/>
      </c>
      <c r="Q420" s="7">
        <f>IF($V420="","",P420*O420)</f>
        <v/>
      </c>
      <c r="R420" s="7">
        <f>IF($V420="","",Q420+N420)</f>
        <v/>
      </c>
      <c r="S420" s="7">
        <f>IF($V420="","",T420-R420)</f>
        <v/>
      </c>
      <c r="T420" s="7">
        <f>IF($V420="","",M420+P420)</f>
        <v/>
      </c>
      <c r="U420" s="7">
        <f>IF($V420="","",T420-R420-K420)</f>
        <v/>
      </c>
      <c r="V420" s="13">
        <f>IF(ROWS($V$2:$V420)&lt;=MAX('Per Line'!$AJ$2:$AJ$1501),MATCH(ROWS($V$2:$V420),'Per Line'!$AJ$2:$AJ$1501,0),"")</f>
        <v/>
      </c>
    </row>
    <row r="421">
      <c r="A421" s="12" t="n"/>
      <c r="B421">
        <f>IF($V421="","",INDEX('Per Line'!$A$2:$A$1501,$V421)&amp;"")</f>
        <v/>
      </c>
      <c r="C421">
        <f>IF($V421="","",INDEX('Per Line'!$C$2:$C$1501,$V421)&amp;"")</f>
        <v/>
      </c>
      <c r="D421" s="11">
        <f>IF($V421="","",INDEX('Per Line'!$S$2:$S$1501,$V421))</f>
        <v/>
      </c>
      <c r="E421">
        <f>IF($V421="","",INDEX('Per Line'!$F$2:$F$1501,$V421)&amp;"")</f>
        <v/>
      </c>
      <c r="F421">
        <f>IF($V421="","",INDEX('Per Line'!$L$2:$L$1501,$V421)&amp;"")</f>
        <v/>
      </c>
      <c r="G421">
        <f>IF($V421="","",INDEX('Per Line'!$O$2:$O$1501,$V421)&amp;"")</f>
        <v/>
      </c>
      <c r="H421">
        <f>IF($V421="","",INDEX('Per Line'!$P$2:$P$1501,$V421)&amp;"")</f>
        <v/>
      </c>
      <c r="I421">
        <f>IF($V421="","",INDEX('Per Line'!$N$2:$N$1501,$V421)&amp;"")</f>
        <v/>
      </c>
      <c r="J421">
        <f>IF($V421="","",INDEX('Per Line'!$Q$2:$Q$1501,$V421))</f>
        <v/>
      </c>
      <c r="K421" s="7">
        <f>IF($V421="","",J421*T421/100)</f>
        <v/>
      </c>
      <c r="L421">
        <f>IF($V421="","",Settings!$C$7)</f>
        <v/>
      </c>
      <c r="M421" s="7">
        <f>IF($V421="","",SUMIFS('Per Line'!$AC$2:$AC$1501,'Per Line'!$C$2:$C$1501,$C421,'Per Line'!$AK$2:$AK$1501,0))</f>
        <v/>
      </c>
      <c r="N421" s="7">
        <f>IF($V421="","",M421*L421)</f>
        <v/>
      </c>
      <c r="O421">
        <f>IF($V421="","",Settings!$C$6)</f>
        <v/>
      </c>
      <c r="P421" s="7">
        <f>IF($V421="","",SUMIFS('Per Line'!$AC$2:$AC$1501,'Per Line'!$C$2:$C$1501,$C421,'Per Line'!$AK$2:$AK$1501,1))</f>
        <v/>
      </c>
      <c r="Q421" s="7">
        <f>IF($V421="","",P421*O421)</f>
        <v/>
      </c>
      <c r="R421" s="7">
        <f>IF($V421="","",Q421+N421)</f>
        <v/>
      </c>
      <c r="S421" s="7">
        <f>IF($V421="","",T421-R421)</f>
        <v/>
      </c>
      <c r="T421" s="7">
        <f>IF($V421="","",M421+P421)</f>
        <v/>
      </c>
      <c r="U421" s="7">
        <f>IF($V421="","",T421-R421-K421)</f>
        <v/>
      </c>
      <c r="V421" s="13">
        <f>IF(ROWS($V$2:$V421)&lt;=MAX('Per Line'!$AJ$2:$AJ$1501),MATCH(ROWS($V$2:$V421),'Per Line'!$AJ$2:$AJ$1501,0),"")</f>
        <v/>
      </c>
    </row>
    <row r="422">
      <c r="A422" s="12" t="n"/>
      <c r="B422">
        <f>IF($V422="","",INDEX('Per Line'!$A$2:$A$1501,$V422)&amp;"")</f>
        <v/>
      </c>
      <c r="C422">
        <f>IF($V422="","",INDEX('Per Line'!$C$2:$C$1501,$V422)&amp;"")</f>
        <v/>
      </c>
      <c r="D422" s="11">
        <f>IF($V422="","",INDEX('Per Line'!$S$2:$S$1501,$V422))</f>
        <v/>
      </c>
      <c r="E422">
        <f>IF($V422="","",INDEX('Per Line'!$F$2:$F$1501,$V422)&amp;"")</f>
        <v/>
      </c>
      <c r="F422">
        <f>IF($V422="","",INDEX('Per Line'!$L$2:$L$1501,$V422)&amp;"")</f>
        <v/>
      </c>
      <c r="G422">
        <f>IF($V422="","",INDEX('Per Line'!$O$2:$O$1501,$V422)&amp;"")</f>
        <v/>
      </c>
      <c r="H422">
        <f>IF($V422="","",INDEX('Per Line'!$P$2:$P$1501,$V422)&amp;"")</f>
        <v/>
      </c>
      <c r="I422">
        <f>IF($V422="","",INDEX('Per Line'!$N$2:$N$1501,$V422)&amp;"")</f>
        <v/>
      </c>
      <c r="J422">
        <f>IF($V422="","",INDEX('Per Line'!$Q$2:$Q$1501,$V422))</f>
        <v/>
      </c>
      <c r="K422" s="7">
        <f>IF($V422="","",J422*T422/100)</f>
        <v/>
      </c>
      <c r="L422">
        <f>IF($V422="","",Settings!$C$7)</f>
        <v/>
      </c>
      <c r="M422" s="7">
        <f>IF($V422="","",SUMIFS('Per Line'!$AC$2:$AC$1501,'Per Line'!$C$2:$C$1501,$C422,'Per Line'!$AK$2:$AK$1501,0))</f>
        <v/>
      </c>
      <c r="N422" s="7">
        <f>IF($V422="","",M422*L422)</f>
        <v/>
      </c>
      <c r="O422">
        <f>IF($V422="","",Settings!$C$6)</f>
        <v/>
      </c>
      <c r="P422" s="7">
        <f>IF($V422="","",SUMIFS('Per Line'!$AC$2:$AC$1501,'Per Line'!$C$2:$C$1501,$C422,'Per Line'!$AK$2:$AK$1501,1))</f>
        <v/>
      </c>
      <c r="Q422" s="7">
        <f>IF($V422="","",P422*O422)</f>
        <v/>
      </c>
      <c r="R422" s="7">
        <f>IF($V422="","",Q422+N422)</f>
        <v/>
      </c>
      <c r="S422" s="7">
        <f>IF($V422="","",T422-R422)</f>
        <v/>
      </c>
      <c r="T422" s="7">
        <f>IF($V422="","",M422+P422)</f>
        <v/>
      </c>
      <c r="U422" s="7">
        <f>IF($V422="","",T422-R422-K422)</f>
        <v/>
      </c>
      <c r="V422" s="13">
        <f>IF(ROWS($V$2:$V422)&lt;=MAX('Per Line'!$AJ$2:$AJ$1501),MATCH(ROWS($V$2:$V422),'Per Line'!$AJ$2:$AJ$1501,0),"")</f>
        <v/>
      </c>
    </row>
    <row r="423">
      <c r="A423" s="12" t="n"/>
      <c r="B423">
        <f>IF($V423="","",INDEX('Per Line'!$A$2:$A$1501,$V423)&amp;"")</f>
        <v/>
      </c>
      <c r="C423">
        <f>IF($V423="","",INDEX('Per Line'!$C$2:$C$1501,$V423)&amp;"")</f>
        <v/>
      </c>
      <c r="D423" s="11">
        <f>IF($V423="","",INDEX('Per Line'!$S$2:$S$1501,$V423))</f>
        <v/>
      </c>
      <c r="E423">
        <f>IF($V423="","",INDEX('Per Line'!$F$2:$F$1501,$V423)&amp;"")</f>
        <v/>
      </c>
      <c r="F423">
        <f>IF($V423="","",INDEX('Per Line'!$L$2:$L$1501,$V423)&amp;"")</f>
        <v/>
      </c>
      <c r="G423">
        <f>IF($V423="","",INDEX('Per Line'!$O$2:$O$1501,$V423)&amp;"")</f>
        <v/>
      </c>
      <c r="H423">
        <f>IF($V423="","",INDEX('Per Line'!$P$2:$P$1501,$V423)&amp;"")</f>
        <v/>
      </c>
      <c r="I423">
        <f>IF($V423="","",INDEX('Per Line'!$N$2:$N$1501,$V423)&amp;"")</f>
        <v/>
      </c>
      <c r="J423">
        <f>IF($V423="","",INDEX('Per Line'!$Q$2:$Q$1501,$V423))</f>
        <v/>
      </c>
      <c r="K423" s="7">
        <f>IF($V423="","",J423*T423/100)</f>
        <v/>
      </c>
      <c r="L423">
        <f>IF($V423="","",Settings!$C$7)</f>
        <v/>
      </c>
      <c r="M423" s="7">
        <f>IF($V423="","",SUMIFS('Per Line'!$AC$2:$AC$1501,'Per Line'!$C$2:$C$1501,$C423,'Per Line'!$AK$2:$AK$1501,0))</f>
        <v/>
      </c>
      <c r="N423" s="7">
        <f>IF($V423="","",M423*L423)</f>
        <v/>
      </c>
      <c r="O423">
        <f>IF($V423="","",Settings!$C$6)</f>
        <v/>
      </c>
      <c r="P423" s="7">
        <f>IF($V423="","",SUMIFS('Per Line'!$AC$2:$AC$1501,'Per Line'!$C$2:$C$1501,$C423,'Per Line'!$AK$2:$AK$1501,1))</f>
        <v/>
      </c>
      <c r="Q423" s="7">
        <f>IF($V423="","",P423*O423)</f>
        <v/>
      </c>
      <c r="R423" s="7">
        <f>IF($V423="","",Q423+N423)</f>
        <v/>
      </c>
      <c r="S423" s="7">
        <f>IF($V423="","",T423-R423)</f>
        <v/>
      </c>
      <c r="T423" s="7">
        <f>IF($V423="","",M423+P423)</f>
        <v/>
      </c>
      <c r="U423" s="7">
        <f>IF($V423="","",T423-R423-K423)</f>
        <v/>
      </c>
      <c r="V423" s="13">
        <f>IF(ROWS($V$2:$V423)&lt;=MAX('Per Line'!$AJ$2:$AJ$1501),MATCH(ROWS($V$2:$V423),'Per Line'!$AJ$2:$AJ$1501,0),"")</f>
        <v/>
      </c>
    </row>
    <row r="424">
      <c r="A424" s="12" t="n"/>
      <c r="B424">
        <f>IF($V424="","",INDEX('Per Line'!$A$2:$A$1501,$V424)&amp;"")</f>
        <v/>
      </c>
      <c r="C424">
        <f>IF($V424="","",INDEX('Per Line'!$C$2:$C$1501,$V424)&amp;"")</f>
        <v/>
      </c>
      <c r="D424" s="11">
        <f>IF($V424="","",INDEX('Per Line'!$S$2:$S$1501,$V424))</f>
        <v/>
      </c>
      <c r="E424">
        <f>IF($V424="","",INDEX('Per Line'!$F$2:$F$1501,$V424)&amp;"")</f>
        <v/>
      </c>
      <c r="F424">
        <f>IF($V424="","",INDEX('Per Line'!$L$2:$L$1501,$V424)&amp;"")</f>
        <v/>
      </c>
      <c r="G424">
        <f>IF($V424="","",INDEX('Per Line'!$O$2:$O$1501,$V424)&amp;"")</f>
        <v/>
      </c>
      <c r="H424">
        <f>IF($V424="","",INDEX('Per Line'!$P$2:$P$1501,$V424)&amp;"")</f>
        <v/>
      </c>
      <c r="I424">
        <f>IF($V424="","",INDEX('Per Line'!$N$2:$N$1501,$V424)&amp;"")</f>
        <v/>
      </c>
      <c r="J424">
        <f>IF($V424="","",INDEX('Per Line'!$Q$2:$Q$1501,$V424))</f>
        <v/>
      </c>
      <c r="K424" s="7">
        <f>IF($V424="","",J424*T424/100)</f>
        <v/>
      </c>
      <c r="L424">
        <f>IF($V424="","",Settings!$C$7)</f>
        <v/>
      </c>
      <c r="M424" s="7">
        <f>IF($V424="","",SUMIFS('Per Line'!$AC$2:$AC$1501,'Per Line'!$C$2:$C$1501,$C424,'Per Line'!$AK$2:$AK$1501,0))</f>
        <v/>
      </c>
      <c r="N424" s="7">
        <f>IF($V424="","",M424*L424)</f>
        <v/>
      </c>
      <c r="O424">
        <f>IF($V424="","",Settings!$C$6)</f>
        <v/>
      </c>
      <c r="P424" s="7">
        <f>IF($V424="","",SUMIFS('Per Line'!$AC$2:$AC$1501,'Per Line'!$C$2:$C$1501,$C424,'Per Line'!$AK$2:$AK$1501,1))</f>
        <v/>
      </c>
      <c r="Q424" s="7">
        <f>IF($V424="","",P424*O424)</f>
        <v/>
      </c>
      <c r="R424" s="7">
        <f>IF($V424="","",Q424+N424)</f>
        <v/>
      </c>
      <c r="S424" s="7">
        <f>IF($V424="","",T424-R424)</f>
        <v/>
      </c>
      <c r="T424" s="7">
        <f>IF($V424="","",M424+P424)</f>
        <v/>
      </c>
      <c r="U424" s="7">
        <f>IF($V424="","",T424-R424-K424)</f>
        <v/>
      </c>
      <c r="V424" s="13">
        <f>IF(ROWS($V$2:$V424)&lt;=MAX('Per Line'!$AJ$2:$AJ$1501),MATCH(ROWS($V$2:$V424),'Per Line'!$AJ$2:$AJ$1501,0),"")</f>
        <v/>
      </c>
    </row>
    <row r="425">
      <c r="A425" s="12" t="n"/>
      <c r="B425">
        <f>IF($V425="","",INDEX('Per Line'!$A$2:$A$1501,$V425)&amp;"")</f>
        <v/>
      </c>
      <c r="C425">
        <f>IF($V425="","",INDEX('Per Line'!$C$2:$C$1501,$V425)&amp;"")</f>
        <v/>
      </c>
      <c r="D425" s="11">
        <f>IF($V425="","",INDEX('Per Line'!$S$2:$S$1501,$V425))</f>
        <v/>
      </c>
      <c r="E425">
        <f>IF($V425="","",INDEX('Per Line'!$F$2:$F$1501,$V425)&amp;"")</f>
        <v/>
      </c>
      <c r="F425">
        <f>IF($V425="","",INDEX('Per Line'!$L$2:$L$1501,$V425)&amp;"")</f>
        <v/>
      </c>
      <c r="G425">
        <f>IF($V425="","",INDEX('Per Line'!$O$2:$O$1501,$V425)&amp;"")</f>
        <v/>
      </c>
      <c r="H425">
        <f>IF($V425="","",INDEX('Per Line'!$P$2:$P$1501,$V425)&amp;"")</f>
        <v/>
      </c>
      <c r="I425">
        <f>IF($V425="","",INDEX('Per Line'!$N$2:$N$1501,$V425)&amp;"")</f>
        <v/>
      </c>
      <c r="J425">
        <f>IF($V425="","",INDEX('Per Line'!$Q$2:$Q$1501,$V425))</f>
        <v/>
      </c>
      <c r="K425" s="7">
        <f>IF($V425="","",J425*T425/100)</f>
        <v/>
      </c>
      <c r="L425">
        <f>IF($V425="","",Settings!$C$7)</f>
        <v/>
      </c>
      <c r="M425" s="7">
        <f>IF($V425="","",SUMIFS('Per Line'!$AC$2:$AC$1501,'Per Line'!$C$2:$C$1501,$C425,'Per Line'!$AK$2:$AK$1501,0))</f>
        <v/>
      </c>
      <c r="N425" s="7">
        <f>IF($V425="","",M425*L425)</f>
        <v/>
      </c>
      <c r="O425">
        <f>IF($V425="","",Settings!$C$6)</f>
        <v/>
      </c>
      <c r="P425" s="7">
        <f>IF($V425="","",SUMIFS('Per Line'!$AC$2:$AC$1501,'Per Line'!$C$2:$C$1501,$C425,'Per Line'!$AK$2:$AK$1501,1))</f>
        <v/>
      </c>
      <c r="Q425" s="7">
        <f>IF($V425="","",P425*O425)</f>
        <v/>
      </c>
      <c r="R425" s="7">
        <f>IF($V425="","",Q425+N425)</f>
        <v/>
      </c>
      <c r="S425" s="7">
        <f>IF($V425="","",T425-R425)</f>
        <v/>
      </c>
      <c r="T425" s="7">
        <f>IF($V425="","",M425+P425)</f>
        <v/>
      </c>
      <c r="U425" s="7">
        <f>IF($V425="","",T425-R425-K425)</f>
        <v/>
      </c>
      <c r="V425" s="13">
        <f>IF(ROWS($V$2:$V425)&lt;=MAX('Per Line'!$AJ$2:$AJ$1501),MATCH(ROWS($V$2:$V425),'Per Line'!$AJ$2:$AJ$1501,0),"")</f>
        <v/>
      </c>
    </row>
    <row r="426">
      <c r="A426" s="12" t="n"/>
      <c r="B426">
        <f>IF($V426="","",INDEX('Per Line'!$A$2:$A$1501,$V426)&amp;"")</f>
        <v/>
      </c>
      <c r="C426">
        <f>IF($V426="","",INDEX('Per Line'!$C$2:$C$1501,$V426)&amp;"")</f>
        <v/>
      </c>
      <c r="D426" s="11">
        <f>IF($V426="","",INDEX('Per Line'!$S$2:$S$1501,$V426))</f>
        <v/>
      </c>
      <c r="E426">
        <f>IF($V426="","",INDEX('Per Line'!$F$2:$F$1501,$V426)&amp;"")</f>
        <v/>
      </c>
      <c r="F426">
        <f>IF($V426="","",INDEX('Per Line'!$L$2:$L$1501,$V426)&amp;"")</f>
        <v/>
      </c>
      <c r="G426">
        <f>IF($V426="","",INDEX('Per Line'!$O$2:$O$1501,$V426)&amp;"")</f>
        <v/>
      </c>
      <c r="H426">
        <f>IF($V426="","",INDEX('Per Line'!$P$2:$P$1501,$V426)&amp;"")</f>
        <v/>
      </c>
      <c r="I426">
        <f>IF($V426="","",INDEX('Per Line'!$N$2:$N$1501,$V426)&amp;"")</f>
        <v/>
      </c>
      <c r="J426">
        <f>IF($V426="","",INDEX('Per Line'!$Q$2:$Q$1501,$V426))</f>
        <v/>
      </c>
      <c r="K426" s="7">
        <f>IF($V426="","",J426*T426/100)</f>
        <v/>
      </c>
      <c r="L426">
        <f>IF($V426="","",Settings!$C$7)</f>
        <v/>
      </c>
      <c r="M426" s="7">
        <f>IF($V426="","",SUMIFS('Per Line'!$AC$2:$AC$1501,'Per Line'!$C$2:$C$1501,$C426,'Per Line'!$AK$2:$AK$1501,0))</f>
        <v/>
      </c>
      <c r="N426" s="7">
        <f>IF($V426="","",M426*L426)</f>
        <v/>
      </c>
      <c r="O426">
        <f>IF($V426="","",Settings!$C$6)</f>
        <v/>
      </c>
      <c r="P426" s="7">
        <f>IF($V426="","",SUMIFS('Per Line'!$AC$2:$AC$1501,'Per Line'!$C$2:$C$1501,$C426,'Per Line'!$AK$2:$AK$1501,1))</f>
        <v/>
      </c>
      <c r="Q426" s="7">
        <f>IF($V426="","",P426*O426)</f>
        <v/>
      </c>
      <c r="R426" s="7">
        <f>IF($V426="","",Q426+N426)</f>
        <v/>
      </c>
      <c r="S426" s="7">
        <f>IF($V426="","",T426-R426)</f>
        <v/>
      </c>
      <c r="T426" s="7">
        <f>IF($V426="","",M426+P426)</f>
        <v/>
      </c>
      <c r="U426" s="7">
        <f>IF($V426="","",T426-R426-K426)</f>
        <v/>
      </c>
      <c r="V426" s="13">
        <f>IF(ROWS($V$2:$V426)&lt;=MAX('Per Line'!$AJ$2:$AJ$1501),MATCH(ROWS($V$2:$V426),'Per Line'!$AJ$2:$AJ$1501,0),"")</f>
        <v/>
      </c>
    </row>
    <row r="427">
      <c r="A427" s="12" t="n"/>
      <c r="B427">
        <f>IF($V427="","",INDEX('Per Line'!$A$2:$A$1501,$V427)&amp;"")</f>
        <v/>
      </c>
      <c r="C427">
        <f>IF($V427="","",INDEX('Per Line'!$C$2:$C$1501,$V427)&amp;"")</f>
        <v/>
      </c>
      <c r="D427" s="11">
        <f>IF($V427="","",INDEX('Per Line'!$S$2:$S$1501,$V427))</f>
        <v/>
      </c>
      <c r="E427">
        <f>IF($V427="","",INDEX('Per Line'!$F$2:$F$1501,$V427)&amp;"")</f>
        <v/>
      </c>
      <c r="F427">
        <f>IF($V427="","",INDEX('Per Line'!$L$2:$L$1501,$V427)&amp;"")</f>
        <v/>
      </c>
      <c r="G427">
        <f>IF($V427="","",INDEX('Per Line'!$O$2:$O$1501,$V427)&amp;"")</f>
        <v/>
      </c>
      <c r="H427">
        <f>IF($V427="","",INDEX('Per Line'!$P$2:$P$1501,$V427)&amp;"")</f>
        <v/>
      </c>
      <c r="I427">
        <f>IF($V427="","",INDEX('Per Line'!$N$2:$N$1501,$V427)&amp;"")</f>
        <v/>
      </c>
      <c r="J427">
        <f>IF($V427="","",INDEX('Per Line'!$Q$2:$Q$1501,$V427))</f>
        <v/>
      </c>
      <c r="K427" s="7">
        <f>IF($V427="","",J427*T427/100)</f>
        <v/>
      </c>
      <c r="L427">
        <f>IF($V427="","",Settings!$C$7)</f>
        <v/>
      </c>
      <c r="M427" s="7">
        <f>IF($V427="","",SUMIFS('Per Line'!$AC$2:$AC$1501,'Per Line'!$C$2:$C$1501,$C427,'Per Line'!$AK$2:$AK$1501,0))</f>
        <v/>
      </c>
      <c r="N427" s="7">
        <f>IF($V427="","",M427*L427)</f>
        <v/>
      </c>
      <c r="O427">
        <f>IF($V427="","",Settings!$C$6)</f>
        <v/>
      </c>
      <c r="P427" s="7">
        <f>IF($V427="","",SUMIFS('Per Line'!$AC$2:$AC$1501,'Per Line'!$C$2:$C$1501,$C427,'Per Line'!$AK$2:$AK$1501,1))</f>
        <v/>
      </c>
      <c r="Q427" s="7">
        <f>IF($V427="","",P427*O427)</f>
        <v/>
      </c>
      <c r="R427" s="7">
        <f>IF($V427="","",Q427+N427)</f>
        <v/>
      </c>
      <c r="S427" s="7">
        <f>IF($V427="","",T427-R427)</f>
        <v/>
      </c>
      <c r="T427" s="7">
        <f>IF($V427="","",M427+P427)</f>
        <v/>
      </c>
      <c r="U427" s="7">
        <f>IF($V427="","",T427-R427-K427)</f>
        <v/>
      </c>
      <c r="V427" s="13">
        <f>IF(ROWS($V$2:$V427)&lt;=MAX('Per Line'!$AJ$2:$AJ$1501),MATCH(ROWS($V$2:$V427),'Per Line'!$AJ$2:$AJ$1501,0),"")</f>
        <v/>
      </c>
    </row>
    <row r="428">
      <c r="A428" s="12" t="n"/>
      <c r="B428">
        <f>IF($V428="","",INDEX('Per Line'!$A$2:$A$1501,$V428)&amp;"")</f>
        <v/>
      </c>
      <c r="C428">
        <f>IF($V428="","",INDEX('Per Line'!$C$2:$C$1501,$V428)&amp;"")</f>
        <v/>
      </c>
      <c r="D428" s="11">
        <f>IF($V428="","",INDEX('Per Line'!$S$2:$S$1501,$V428))</f>
        <v/>
      </c>
      <c r="E428">
        <f>IF($V428="","",INDEX('Per Line'!$F$2:$F$1501,$V428)&amp;"")</f>
        <v/>
      </c>
      <c r="F428">
        <f>IF($V428="","",INDEX('Per Line'!$L$2:$L$1501,$V428)&amp;"")</f>
        <v/>
      </c>
      <c r="G428">
        <f>IF($V428="","",INDEX('Per Line'!$O$2:$O$1501,$V428)&amp;"")</f>
        <v/>
      </c>
      <c r="H428">
        <f>IF($V428="","",INDEX('Per Line'!$P$2:$P$1501,$V428)&amp;"")</f>
        <v/>
      </c>
      <c r="I428">
        <f>IF($V428="","",INDEX('Per Line'!$N$2:$N$1501,$V428)&amp;"")</f>
        <v/>
      </c>
      <c r="J428">
        <f>IF($V428="","",INDEX('Per Line'!$Q$2:$Q$1501,$V428))</f>
        <v/>
      </c>
      <c r="K428" s="7">
        <f>IF($V428="","",J428*T428/100)</f>
        <v/>
      </c>
      <c r="L428">
        <f>IF($V428="","",Settings!$C$7)</f>
        <v/>
      </c>
      <c r="M428" s="7">
        <f>IF($V428="","",SUMIFS('Per Line'!$AC$2:$AC$1501,'Per Line'!$C$2:$C$1501,$C428,'Per Line'!$AK$2:$AK$1501,0))</f>
        <v/>
      </c>
      <c r="N428" s="7">
        <f>IF($V428="","",M428*L428)</f>
        <v/>
      </c>
      <c r="O428">
        <f>IF($V428="","",Settings!$C$6)</f>
        <v/>
      </c>
      <c r="P428" s="7">
        <f>IF($V428="","",SUMIFS('Per Line'!$AC$2:$AC$1501,'Per Line'!$C$2:$C$1501,$C428,'Per Line'!$AK$2:$AK$1501,1))</f>
        <v/>
      </c>
      <c r="Q428" s="7">
        <f>IF($V428="","",P428*O428)</f>
        <v/>
      </c>
      <c r="R428" s="7">
        <f>IF($V428="","",Q428+N428)</f>
        <v/>
      </c>
      <c r="S428" s="7">
        <f>IF($V428="","",T428-R428)</f>
        <v/>
      </c>
      <c r="T428" s="7">
        <f>IF($V428="","",M428+P428)</f>
        <v/>
      </c>
      <c r="U428" s="7">
        <f>IF($V428="","",T428-R428-K428)</f>
        <v/>
      </c>
      <c r="V428" s="13">
        <f>IF(ROWS($V$2:$V428)&lt;=MAX('Per Line'!$AJ$2:$AJ$1501),MATCH(ROWS($V$2:$V428),'Per Line'!$AJ$2:$AJ$1501,0),"")</f>
        <v/>
      </c>
    </row>
    <row r="429">
      <c r="A429" s="12" t="n"/>
      <c r="B429">
        <f>IF($V429="","",INDEX('Per Line'!$A$2:$A$1501,$V429)&amp;"")</f>
        <v/>
      </c>
      <c r="C429">
        <f>IF($V429="","",INDEX('Per Line'!$C$2:$C$1501,$V429)&amp;"")</f>
        <v/>
      </c>
      <c r="D429" s="11">
        <f>IF($V429="","",INDEX('Per Line'!$S$2:$S$1501,$V429))</f>
        <v/>
      </c>
      <c r="E429">
        <f>IF($V429="","",INDEX('Per Line'!$F$2:$F$1501,$V429)&amp;"")</f>
        <v/>
      </c>
      <c r="F429">
        <f>IF($V429="","",INDEX('Per Line'!$L$2:$L$1501,$V429)&amp;"")</f>
        <v/>
      </c>
      <c r="G429">
        <f>IF($V429="","",INDEX('Per Line'!$O$2:$O$1501,$V429)&amp;"")</f>
        <v/>
      </c>
      <c r="H429">
        <f>IF($V429="","",INDEX('Per Line'!$P$2:$P$1501,$V429)&amp;"")</f>
        <v/>
      </c>
      <c r="I429">
        <f>IF($V429="","",INDEX('Per Line'!$N$2:$N$1501,$V429)&amp;"")</f>
        <v/>
      </c>
      <c r="J429">
        <f>IF($V429="","",INDEX('Per Line'!$Q$2:$Q$1501,$V429))</f>
        <v/>
      </c>
      <c r="K429" s="7">
        <f>IF($V429="","",J429*T429/100)</f>
        <v/>
      </c>
      <c r="L429">
        <f>IF($V429="","",Settings!$C$7)</f>
        <v/>
      </c>
      <c r="M429" s="7">
        <f>IF($V429="","",SUMIFS('Per Line'!$AC$2:$AC$1501,'Per Line'!$C$2:$C$1501,$C429,'Per Line'!$AK$2:$AK$1501,0))</f>
        <v/>
      </c>
      <c r="N429" s="7">
        <f>IF($V429="","",M429*L429)</f>
        <v/>
      </c>
      <c r="O429">
        <f>IF($V429="","",Settings!$C$6)</f>
        <v/>
      </c>
      <c r="P429" s="7">
        <f>IF($V429="","",SUMIFS('Per Line'!$AC$2:$AC$1501,'Per Line'!$C$2:$C$1501,$C429,'Per Line'!$AK$2:$AK$1501,1))</f>
        <v/>
      </c>
      <c r="Q429" s="7">
        <f>IF($V429="","",P429*O429)</f>
        <v/>
      </c>
      <c r="R429" s="7">
        <f>IF($V429="","",Q429+N429)</f>
        <v/>
      </c>
      <c r="S429" s="7">
        <f>IF($V429="","",T429-R429)</f>
        <v/>
      </c>
      <c r="T429" s="7">
        <f>IF($V429="","",M429+P429)</f>
        <v/>
      </c>
      <c r="U429" s="7">
        <f>IF($V429="","",T429-R429-K429)</f>
        <v/>
      </c>
      <c r="V429" s="13">
        <f>IF(ROWS($V$2:$V429)&lt;=MAX('Per Line'!$AJ$2:$AJ$1501),MATCH(ROWS($V$2:$V429),'Per Line'!$AJ$2:$AJ$1501,0),"")</f>
        <v/>
      </c>
    </row>
    <row r="430">
      <c r="A430" s="12" t="n"/>
      <c r="B430">
        <f>IF($V430="","",INDEX('Per Line'!$A$2:$A$1501,$V430)&amp;"")</f>
        <v/>
      </c>
      <c r="C430">
        <f>IF($V430="","",INDEX('Per Line'!$C$2:$C$1501,$V430)&amp;"")</f>
        <v/>
      </c>
      <c r="D430" s="11">
        <f>IF($V430="","",INDEX('Per Line'!$S$2:$S$1501,$V430))</f>
        <v/>
      </c>
      <c r="E430">
        <f>IF($V430="","",INDEX('Per Line'!$F$2:$F$1501,$V430)&amp;"")</f>
        <v/>
      </c>
      <c r="F430">
        <f>IF($V430="","",INDEX('Per Line'!$L$2:$L$1501,$V430)&amp;"")</f>
        <v/>
      </c>
      <c r="G430">
        <f>IF($V430="","",INDEX('Per Line'!$O$2:$O$1501,$V430)&amp;"")</f>
        <v/>
      </c>
      <c r="H430">
        <f>IF($V430="","",INDEX('Per Line'!$P$2:$P$1501,$V430)&amp;"")</f>
        <v/>
      </c>
      <c r="I430">
        <f>IF($V430="","",INDEX('Per Line'!$N$2:$N$1501,$V430)&amp;"")</f>
        <v/>
      </c>
      <c r="J430">
        <f>IF($V430="","",INDEX('Per Line'!$Q$2:$Q$1501,$V430))</f>
        <v/>
      </c>
      <c r="K430" s="7">
        <f>IF($V430="","",J430*T430/100)</f>
        <v/>
      </c>
      <c r="L430">
        <f>IF($V430="","",Settings!$C$7)</f>
        <v/>
      </c>
      <c r="M430" s="7">
        <f>IF($V430="","",SUMIFS('Per Line'!$AC$2:$AC$1501,'Per Line'!$C$2:$C$1501,$C430,'Per Line'!$AK$2:$AK$1501,0))</f>
        <v/>
      </c>
      <c r="N430" s="7">
        <f>IF($V430="","",M430*L430)</f>
        <v/>
      </c>
      <c r="O430">
        <f>IF($V430="","",Settings!$C$6)</f>
        <v/>
      </c>
      <c r="P430" s="7">
        <f>IF($V430="","",SUMIFS('Per Line'!$AC$2:$AC$1501,'Per Line'!$C$2:$C$1501,$C430,'Per Line'!$AK$2:$AK$1501,1))</f>
        <v/>
      </c>
      <c r="Q430" s="7">
        <f>IF($V430="","",P430*O430)</f>
        <v/>
      </c>
      <c r="R430" s="7">
        <f>IF($V430="","",Q430+N430)</f>
        <v/>
      </c>
      <c r="S430" s="7">
        <f>IF($V430="","",T430-R430)</f>
        <v/>
      </c>
      <c r="T430" s="7">
        <f>IF($V430="","",M430+P430)</f>
        <v/>
      </c>
      <c r="U430" s="7">
        <f>IF($V430="","",T430-R430-K430)</f>
        <v/>
      </c>
      <c r="V430" s="13">
        <f>IF(ROWS($V$2:$V430)&lt;=MAX('Per Line'!$AJ$2:$AJ$1501),MATCH(ROWS($V$2:$V430),'Per Line'!$AJ$2:$AJ$1501,0),"")</f>
        <v/>
      </c>
    </row>
    <row r="431">
      <c r="A431" s="12" t="n"/>
      <c r="B431">
        <f>IF($V431="","",INDEX('Per Line'!$A$2:$A$1501,$V431)&amp;"")</f>
        <v/>
      </c>
      <c r="C431">
        <f>IF($V431="","",INDEX('Per Line'!$C$2:$C$1501,$V431)&amp;"")</f>
        <v/>
      </c>
      <c r="D431" s="11">
        <f>IF($V431="","",INDEX('Per Line'!$S$2:$S$1501,$V431))</f>
        <v/>
      </c>
      <c r="E431">
        <f>IF($V431="","",INDEX('Per Line'!$F$2:$F$1501,$V431)&amp;"")</f>
        <v/>
      </c>
      <c r="F431">
        <f>IF($V431="","",INDEX('Per Line'!$L$2:$L$1501,$V431)&amp;"")</f>
        <v/>
      </c>
      <c r="G431">
        <f>IF($V431="","",INDEX('Per Line'!$O$2:$O$1501,$V431)&amp;"")</f>
        <v/>
      </c>
      <c r="H431">
        <f>IF($V431="","",INDEX('Per Line'!$P$2:$P$1501,$V431)&amp;"")</f>
        <v/>
      </c>
      <c r="I431">
        <f>IF($V431="","",INDEX('Per Line'!$N$2:$N$1501,$V431)&amp;"")</f>
        <v/>
      </c>
      <c r="J431">
        <f>IF($V431="","",INDEX('Per Line'!$Q$2:$Q$1501,$V431))</f>
        <v/>
      </c>
      <c r="K431" s="7">
        <f>IF($V431="","",J431*T431/100)</f>
        <v/>
      </c>
      <c r="L431">
        <f>IF($V431="","",Settings!$C$7)</f>
        <v/>
      </c>
      <c r="M431" s="7">
        <f>IF($V431="","",SUMIFS('Per Line'!$AC$2:$AC$1501,'Per Line'!$C$2:$C$1501,$C431,'Per Line'!$AK$2:$AK$1501,0))</f>
        <v/>
      </c>
      <c r="N431" s="7">
        <f>IF($V431="","",M431*L431)</f>
        <v/>
      </c>
      <c r="O431">
        <f>IF($V431="","",Settings!$C$6)</f>
        <v/>
      </c>
      <c r="P431" s="7">
        <f>IF($V431="","",SUMIFS('Per Line'!$AC$2:$AC$1501,'Per Line'!$C$2:$C$1501,$C431,'Per Line'!$AK$2:$AK$1501,1))</f>
        <v/>
      </c>
      <c r="Q431" s="7">
        <f>IF($V431="","",P431*O431)</f>
        <v/>
      </c>
      <c r="R431" s="7">
        <f>IF($V431="","",Q431+N431)</f>
        <v/>
      </c>
      <c r="S431" s="7">
        <f>IF($V431="","",T431-R431)</f>
        <v/>
      </c>
      <c r="T431" s="7">
        <f>IF($V431="","",M431+P431)</f>
        <v/>
      </c>
      <c r="U431" s="7">
        <f>IF($V431="","",T431-R431-K431)</f>
        <v/>
      </c>
      <c r="V431" s="13">
        <f>IF(ROWS($V$2:$V431)&lt;=MAX('Per Line'!$AJ$2:$AJ$1501),MATCH(ROWS($V$2:$V431),'Per Line'!$AJ$2:$AJ$1501,0),"")</f>
        <v/>
      </c>
    </row>
    <row r="432">
      <c r="A432" s="12" t="n"/>
      <c r="B432">
        <f>IF($V432="","",INDEX('Per Line'!$A$2:$A$1501,$V432)&amp;"")</f>
        <v/>
      </c>
      <c r="C432">
        <f>IF($V432="","",INDEX('Per Line'!$C$2:$C$1501,$V432)&amp;"")</f>
        <v/>
      </c>
      <c r="D432" s="11">
        <f>IF($V432="","",INDEX('Per Line'!$S$2:$S$1501,$V432))</f>
        <v/>
      </c>
      <c r="E432">
        <f>IF($V432="","",INDEX('Per Line'!$F$2:$F$1501,$V432)&amp;"")</f>
        <v/>
      </c>
      <c r="F432">
        <f>IF($V432="","",INDEX('Per Line'!$L$2:$L$1501,$V432)&amp;"")</f>
        <v/>
      </c>
      <c r="G432">
        <f>IF($V432="","",INDEX('Per Line'!$O$2:$O$1501,$V432)&amp;"")</f>
        <v/>
      </c>
      <c r="H432">
        <f>IF($V432="","",INDEX('Per Line'!$P$2:$P$1501,$V432)&amp;"")</f>
        <v/>
      </c>
      <c r="I432">
        <f>IF($V432="","",INDEX('Per Line'!$N$2:$N$1501,$V432)&amp;"")</f>
        <v/>
      </c>
      <c r="J432">
        <f>IF($V432="","",INDEX('Per Line'!$Q$2:$Q$1501,$V432))</f>
        <v/>
      </c>
      <c r="K432" s="7">
        <f>IF($V432="","",J432*T432/100)</f>
        <v/>
      </c>
      <c r="L432">
        <f>IF($V432="","",Settings!$C$7)</f>
        <v/>
      </c>
      <c r="M432" s="7">
        <f>IF($V432="","",SUMIFS('Per Line'!$AC$2:$AC$1501,'Per Line'!$C$2:$C$1501,$C432,'Per Line'!$AK$2:$AK$1501,0))</f>
        <v/>
      </c>
      <c r="N432" s="7">
        <f>IF($V432="","",M432*L432)</f>
        <v/>
      </c>
      <c r="O432">
        <f>IF($V432="","",Settings!$C$6)</f>
        <v/>
      </c>
      <c r="P432" s="7">
        <f>IF($V432="","",SUMIFS('Per Line'!$AC$2:$AC$1501,'Per Line'!$C$2:$C$1501,$C432,'Per Line'!$AK$2:$AK$1501,1))</f>
        <v/>
      </c>
      <c r="Q432" s="7">
        <f>IF($V432="","",P432*O432)</f>
        <v/>
      </c>
      <c r="R432" s="7">
        <f>IF($V432="","",Q432+N432)</f>
        <v/>
      </c>
      <c r="S432" s="7">
        <f>IF($V432="","",T432-R432)</f>
        <v/>
      </c>
      <c r="T432" s="7">
        <f>IF($V432="","",M432+P432)</f>
        <v/>
      </c>
      <c r="U432" s="7">
        <f>IF($V432="","",T432-R432-K432)</f>
        <v/>
      </c>
      <c r="V432" s="13">
        <f>IF(ROWS($V$2:$V432)&lt;=MAX('Per Line'!$AJ$2:$AJ$1501),MATCH(ROWS($V$2:$V432),'Per Line'!$AJ$2:$AJ$1501,0),"")</f>
        <v/>
      </c>
    </row>
    <row r="433">
      <c r="A433" s="12" t="n"/>
      <c r="B433">
        <f>IF($V433="","",INDEX('Per Line'!$A$2:$A$1501,$V433)&amp;"")</f>
        <v/>
      </c>
      <c r="C433">
        <f>IF($V433="","",INDEX('Per Line'!$C$2:$C$1501,$V433)&amp;"")</f>
        <v/>
      </c>
      <c r="D433" s="11">
        <f>IF($V433="","",INDEX('Per Line'!$S$2:$S$1501,$V433))</f>
        <v/>
      </c>
      <c r="E433">
        <f>IF($V433="","",INDEX('Per Line'!$F$2:$F$1501,$V433)&amp;"")</f>
        <v/>
      </c>
      <c r="F433">
        <f>IF($V433="","",INDEX('Per Line'!$L$2:$L$1501,$V433)&amp;"")</f>
        <v/>
      </c>
      <c r="G433">
        <f>IF($V433="","",INDEX('Per Line'!$O$2:$O$1501,$V433)&amp;"")</f>
        <v/>
      </c>
      <c r="H433">
        <f>IF($V433="","",INDEX('Per Line'!$P$2:$P$1501,$V433)&amp;"")</f>
        <v/>
      </c>
      <c r="I433">
        <f>IF($V433="","",INDEX('Per Line'!$N$2:$N$1501,$V433)&amp;"")</f>
        <v/>
      </c>
      <c r="J433">
        <f>IF($V433="","",INDEX('Per Line'!$Q$2:$Q$1501,$V433))</f>
        <v/>
      </c>
      <c r="K433" s="7">
        <f>IF($V433="","",J433*T433/100)</f>
        <v/>
      </c>
      <c r="L433">
        <f>IF($V433="","",Settings!$C$7)</f>
        <v/>
      </c>
      <c r="M433" s="7">
        <f>IF($V433="","",SUMIFS('Per Line'!$AC$2:$AC$1501,'Per Line'!$C$2:$C$1501,$C433,'Per Line'!$AK$2:$AK$1501,0))</f>
        <v/>
      </c>
      <c r="N433" s="7">
        <f>IF($V433="","",M433*L433)</f>
        <v/>
      </c>
      <c r="O433">
        <f>IF($V433="","",Settings!$C$6)</f>
        <v/>
      </c>
      <c r="P433" s="7">
        <f>IF($V433="","",SUMIFS('Per Line'!$AC$2:$AC$1501,'Per Line'!$C$2:$C$1501,$C433,'Per Line'!$AK$2:$AK$1501,1))</f>
        <v/>
      </c>
      <c r="Q433" s="7">
        <f>IF($V433="","",P433*O433)</f>
        <v/>
      </c>
      <c r="R433" s="7">
        <f>IF($V433="","",Q433+N433)</f>
        <v/>
      </c>
      <c r="S433" s="7">
        <f>IF($V433="","",T433-R433)</f>
        <v/>
      </c>
      <c r="T433" s="7">
        <f>IF($V433="","",M433+P433)</f>
        <v/>
      </c>
      <c r="U433" s="7">
        <f>IF($V433="","",T433-R433-K433)</f>
        <v/>
      </c>
      <c r="V433" s="13">
        <f>IF(ROWS($V$2:$V433)&lt;=MAX('Per Line'!$AJ$2:$AJ$1501),MATCH(ROWS($V$2:$V433),'Per Line'!$AJ$2:$AJ$1501,0),"")</f>
        <v/>
      </c>
    </row>
    <row r="434">
      <c r="A434" s="12" t="n"/>
      <c r="B434">
        <f>IF($V434="","",INDEX('Per Line'!$A$2:$A$1501,$V434)&amp;"")</f>
        <v/>
      </c>
      <c r="C434">
        <f>IF($V434="","",INDEX('Per Line'!$C$2:$C$1501,$V434)&amp;"")</f>
        <v/>
      </c>
      <c r="D434" s="11">
        <f>IF($V434="","",INDEX('Per Line'!$S$2:$S$1501,$V434))</f>
        <v/>
      </c>
      <c r="E434">
        <f>IF($V434="","",INDEX('Per Line'!$F$2:$F$1501,$V434)&amp;"")</f>
        <v/>
      </c>
      <c r="F434">
        <f>IF($V434="","",INDEX('Per Line'!$L$2:$L$1501,$V434)&amp;"")</f>
        <v/>
      </c>
      <c r="G434">
        <f>IF($V434="","",INDEX('Per Line'!$O$2:$O$1501,$V434)&amp;"")</f>
        <v/>
      </c>
      <c r="H434">
        <f>IF($V434="","",INDEX('Per Line'!$P$2:$P$1501,$V434)&amp;"")</f>
        <v/>
      </c>
      <c r="I434">
        <f>IF($V434="","",INDEX('Per Line'!$N$2:$N$1501,$V434)&amp;"")</f>
        <v/>
      </c>
      <c r="J434">
        <f>IF($V434="","",INDEX('Per Line'!$Q$2:$Q$1501,$V434))</f>
        <v/>
      </c>
      <c r="K434" s="7">
        <f>IF($V434="","",J434*T434/100)</f>
        <v/>
      </c>
      <c r="L434">
        <f>IF($V434="","",Settings!$C$7)</f>
        <v/>
      </c>
      <c r="M434" s="7">
        <f>IF($V434="","",SUMIFS('Per Line'!$AC$2:$AC$1501,'Per Line'!$C$2:$C$1501,$C434,'Per Line'!$AK$2:$AK$1501,0))</f>
        <v/>
      </c>
      <c r="N434" s="7">
        <f>IF($V434="","",M434*L434)</f>
        <v/>
      </c>
      <c r="O434">
        <f>IF($V434="","",Settings!$C$6)</f>
        <v/>
      </c>
      <c r="P434" s="7">
        <f>IF($V434="","",SUMIFS('Per Line'!$AC$2:$AC$1501,'Per Line'!$C$2:$C$1501,$C434,'Per Line'!$AK$2:$AK$1501,1))</f>
        <v/>
      </c>
      <c r="Q434" s="7">
        <f>IF($V434="","",P434*O434)</f>
        <v/>
      </c>
      <c r="R434" s="7">
        <f>IF($V434="","",Q434+N434)</f>
        <v/>
      </c>
      <c r="S434" s="7">
        <f>IF($V434="","",T434-R434)</f>
        <v/>
      </c>
      <c r="T434" s="7">
        <f>IF($V434="","",M434+P434)</f>
        <v/>
      </c>
      <c r="U434" s="7">
        <f>IF($V434="","",T434-R434-K434)</f>
        <v/>
      </c>
      <c r="V434" s="13">
        <f>IF(ROWS($V$2:$V434)&lt;=MAX('Per Line'!$AJ$2:$AJ$1501),MATCH(ROWS($V$2:$V434),'Per Line'!$AJ$2:$AJ$1501,0),"")</f>
        <v/>
      </c>
    </row>
    <row r="435">
      <c r="A435" s="12" t="n"/>
      <c r="B435">
        <f>IF($V435="","",INDEX('Per Line'!$A$2:$A$1501,$V435)&amp;"")</f>
        <v/>
      </c>
      <c r="C435">
        <f>IF($V435="","",INDEX('Per Line'!$C$2:$C$1501,$V435)&amp;"")</f>
        <v/>
      </c>
      <c r="D435" s="11">
        <f>IF($V435="","",INDEX('Per Line'!$S$2:$S$1501,$V435))</f>
        <v/>
      </c>
      <c r="E435">
        <f>IF($V435="","",INDEX('Per Line'!$F$2:$F$1501,$V435)&amp;"")</f>
        <v/>
      </c>
      <c r="F435">
        <f>IF($V435="","",INDEX('Per Line'!$L$2:$L$1501,$V435)&amp;"")</f>
        <v/>
      </c>
      <c r="G435">
        <f>IF($V435="","",INDEX('Per Line'!$O$2:$O$1501,$V435)&amp;"")</f>
        <v/>
      </c>
      <c r="H435">
        <f>IF($V435="","",INDEX('Per Line'!$P$2:$P$1501,$V435)&amp;"")</f>
        <v/>
      </c>
      <c r="I435">
        <f>IF($V435="","",INDEX('Per Line'!$N$2:$N$1501,$V435)&amp;"")</f>
        <v/>
      </c>
      <c r="J435">
        <f>IF($V435="","",INDEX('Per Line'!$Q$2:$Q$1501,$V435))</f>
        <v/>
      </c>
      <c r="K435" s="7">
        <f>IF($V435="","",J435*T435/100)</f>
        <v/>
      </c>
      <c r="L435">
        <f>IF($V435="","",Settings!$C$7)</f>
        <v/>
      </c>
      <c r="M435" s="7">
        <f>IF($V435="","",SUMIFS('Per Line'!$AC$2:$AC$1501,'Per Line'!$C$2:$C$1501,$C435,'Per Line'!$AK$2:$AK$1501,0))</f>
        <v/>
      </c>
      <c r="N435" s="7">
        <f>IF($V435="","",M435*L435)</f>
        <v/>
      </c>
      <c r="O435">
        <f>IF($V435="","",Settings!$C$6)</f>
        <v/>
      </c>
      <c r="P435" s="7">
        <f>IF($V435="","",SUMIFS('Per Line'!$AC$2:$AC$1501,'Per Line'!$C$2:$C$1501,$C435,'Per Line'!$AK$2:$AK$1501,1))</f>
        <v/>
      </c>
      <c r="Q435" s="7">
        <f>IF($V435="","",P435*O435)</f>
        <v/>
      </c>
      <c r="R435" s="7">
        <f>IF($V435="","",Q435+N435)</f>
        <v/>
      </c>
      <c r="S435" s="7">
        <f>IF($V435="","",T435-R435)</f>
        <v/>
      </c>
      <c r="T435" s="7">
        <f>IF($V435="","",M435+P435)</f>
        <v/>
      </c>
      <c r="U435" s="7">
        <f>IF($V435="","",T435-R435-K435)</f>
        <v/>
      </c>
      <c r="V435" s="13">
        <f>IF(ROWS($V$2:$V435)&lt;=MAX('Per Line'!$AJ$2:$AJ$1501),MATCH(ROWS($V$2:$V435),'Per Line'!$AJ$2:$AJ$1501,0),"")</f>
        <v/>
      </c>
    </row>
    <row r="436">
      <c r="A436" s="12" t="n"/>
      <c r="B436">
        <f>IF($V436="","",INDEX('Per Line'!$A$2:$A$1501,$V436)&amp;"")</f>
        <v/>
      </c>
      <c r="C436">
        <f>IF($V436="","",INDEX('Per Line'!$C$2:$C$1501,$V436)&amp;"")</f>
        <v/>
      </c>
      <c r="D436" s="11">
        <f>IF($V436="","",INDEX('Per Line'!$S$2:$S$1501,$V436))</f>
        <v/>
      </c>
      <c r="E436">
        <f>IF($V436="","",INDEX('Per Line'!$F$2:$F$1501,$V436)&amp;"")</f>
        <v/>
      </c>
      <c r="F436">
        <f>IF($V436="","",INDEX('Per Line'!$L$2:$L$1501,$V436)&amp;"")</f>
        <v/>
      </c>
      <c r="G436">
        <f>IF($V436="","",INDEX('Per Line'!$O$2:$O$1501,$V436)&amp;"")</f>
        <v/>
      </c>
      <c r="H436">
        <f>IF($V436="","",INDEX('Per Line'!$P$2:$P$1501,$V436)&amp;"")</f>
        <v/>
      </c>
      <c r="I436">
        <f>IF($V436="","",INDEX('Per Line'!$N$2:$N$1501,$V436)&amp;"")</f>
        <v/>
      </c>
      <c r="J436">
        <f>IF($V436="","",INDEX('Per Line'!$Q$2:$Q$1501,$V436))</f>
        <v/>
      </c>
      <c r="K436" s="7">
        <f>IF($V436="","",J436*T436/100)</f>
        <v/>
      </c>
      <c r="L436">
        <f>IF($V436="","",Settings!$C$7)</f>
        <v/>
      </c>
      <c r="M436" s="7">
        <f>IF($V436="","",SUMIFS('Per Line'!$AC$2:$AC$1501,'Per Line'!$C$2:$C$1501,$C436,'Per Line'!$AK$2:$AK$1501,0))</f>
        <v/>
      </c>
      <c r="N436" s="7">
        <f>IF($V436="","",M436*L436)</f>
        <v/>
      </c>
      <c r="O436">
        <f>IF($V436="","",Settings!$C$6)</f>
        <v/>
      </c>
      <c r="P436" s="7">
        <f>IF($V436="","",SUMIFS('Per Line'!$AC$2:$AC$1501,'Per Line'!$C$2:$C$1501,$C436,'Per Line'!$AK$2:$AK$1501,1))</f>
        <v/>
      </c>
      <c r="Q436" s="7">
        <f>IF($V436="","",P436*O436)</f>
        <v/>
      </c>
      <c r="R436" s="7">
        <f>IF($V436="","",Q436+N436)</f>
        <v/>
      </c>
      <c r="S436" s="7">
        <f>IF($V436="","",T436-R436)</f>
        <v/>
      </c>
      <c r="T436" s="7">
        <f>IF($V436="","",M436+P436)</f>
        <v/>
      </c>
      <c r="U436" s="7">
        <f>IF($V436="","",T436-R436-K436)</f>
        <v/>
      </c>
      <c r="V436" s="13">
        <f>IF(ROWS($V$2:$V436)&lt;=MAX('Per Line'!$AJ$2:$AJ$1501),MATCH(ROWS($V$2:$V436),'Per Line'!$AJ$2:$AJ$1501,0),"")</f>
        <v/>
      </c>
    </row>
    <row r="437">
      <c r="A437" s="12" t="n"/>
      <c r="B437">
        <f>IF($V437="","",INDEX('Per Line'!$A$2:$A$1501,$V437)&amp;"")</f>
        <v/>
      </c>
      <c r="C437">
        <f>IF($V437="","",INDEX('Per Line'!$C$2:$C$1501,$V437)&amp;"")</f>
        <v/>
      </c>
      <c r="D437" s="11">
        <f>IF($V437="","",INDEX('Per Line'!$S$2:$S$1501,$V437))</f>
        <v/>
      </c>
      <c r="E437">
        <f>IF($V437="","",INDEX('Per Line'!$F$2:$F$1501,$V437)&amp;"")</f>
        <v/>
      </c>
      <c r="F437">
        <f>IF($V437="","",INDEX('Per Line'!$L$2:$L$1501,$V437)&amp;"")</f>
        <v/>
      </c>
      <c r="G437">
        <f>IF($V437="","",INDEX('Per Line'!$O$2:$O$1501,$V437)&amp;"")</f>
        <v/>
      </c>
      <c r="H437">
        <f>IF($V437="","",INDEX('Per Line'!$P$2:$P$1501,$V437)&amp;"")</f>
        <v/>
      </c>
      <c r="I437">
        <f>IF($V437="","",INDEX('Per Line'!$N$2:$N$1501,$V437)&amp;"")</f>
        <v/>
      </c>
      <c r="J437">
        <f>IF($V437="","",INDEX('Per Line'!$Q$2:$Q$1501,$V437))</f>
        <v/>
      </c>
      <c r="K437" s="7">
        <f>IF($V437="","",J437*T437/100)</f>
        <v/>
      </c>
      <c r="L437">
        <f>IF($V437="","",Settings!$C$7)</f>
        <v/>
      </c>
      <c r="M437" s="7">
        <f>IF($V437="","",SUMIFS('Per Line'!$AC$2:$AC$1501,'Per Line'!$C$2:$C$1501,$C437,'Per Line'!$AK$2:$AK$1501,0))</f>
        <v/>
      </c>
      <c r="N437" s="7">
        <f>IF($V437="","",M437*L437)</f>
        <v/>
      </c>
      <c r="O437">
        <f>IF($V437="","",Settings!$C$6)</f>
        <v/>
      </c>
      <c r="P437" s="7">
        <f>IF($V437="","",SUMIFS('Per Line'!$AC$2:$AC$1501,'Per Line'!$C$2:$C$1501,$C437,'Per Line'!$AK$2:$AK$1501,1))</f>
        <v/>
      </c>
      <c r="Q437" s="7">
        <f>IF($V437="","",P437*O437)</f>
        <v/>
      </c>
      <c r="R437" s="7">
        <f>IF($V437="","",Q437+N437)</f>
        <v/>
      </c>
      <c r="S437" s="7">
        <f>IF($V437="","",T437-R437)</f>
        <v/>
      </c>
      <c r="T437" s="7">
        <f>IF($V437="","",M437+P437)</f>
        <v/>
      </c>
      <c r="U437" s="7">
        <f>IF($V437="","",T437-R437-K437)</f>
        <v/>
      </c>
      <c r="V437" s="13">
        <f>IF(ROWS($V$2:$V437)&lt;=MAX('Per Line'!$AJ$2:$AJ$1501),MATCH(ROWS($V$2:$V437),'Per Line'!$AJ$2:$AJ$1501,0),"")</f>
        <v/>
      </c>
    </row>
    <row r="438">
      <c r="A438" s="12" t="n"/>
      <c r="B438">
        <f>IF($V438="","",INDEX('Per Line'!$A$2:$A$1501,$V438)&amp;"")</f>
        <v/>
      </c>
      <c r="C438">
        <f>IF($V438="","",INDEX('Per Line'!$C$2:$C$1501,$V438)&amp;"")</f>
        <v/>
      </c>
      <c r="D438" s="11">
        <f>IF($V438="","",INDEX('Per Line'!$S$2:$S$1501,$V438))</f>
        <v/>
      </c>
      <c r="E438">
        <f>IF($V438="","",INDEX('Per Line'!$F$2:$F$1501,$V438)&amp;"")</f>
        <v/>
      </c>
      <c r="F438">
        <f>IF($V438="","",INDEX('Per Line'!$L$2:$L$1501,$V438)&amp;"")</f>
        <v/>
      </c>
      <c r="G438">
        <f>IF($V438="","",INDEX('Per Line'!$O$2:$O$1501,$V438)&amp;"")</f>
        <v/>
      </c>
      <c r="H438">
        <f>IF($V438="","",INDEX('Per Line'!$P$2:$P$1501,$V438)&amp;"")</f>
        <v/>
      </c>
      <c r="I438">
        <f>IF($V438="","",INDEX('Per Line'!$N$2:$N$1501,$V438)&amp;"")</f>
        <v/>
      </c>
      <c r="J438">
        <f>IF($V438="","",INDEX('Per Line'!$Q$2:$Q$1501,$V438))</f>
        <v/>
      </c>
      <c r="K438" s="7">
        <f>IF($V438="","",J438*T438/100)</f>
        <v/>
      </c>
      <c r="L438">
        <f>IF($V438="","",Settings!$C$7)</f>
        <v/>
      </c>
      <c r="M438" s="7">
        <f>IF($V438="","",SUMIFS('Per Line'!$AC$2:$AC$1501,'Per Line'!$C$2:$C$1501,$C438,'Per Line'!$AK$2:$AK$1501,0))</f>
        <v/>
      </c>
      <c r="N438" s="7">
        <f>IF($V438="","",M438*L438)</f>
        <v/>
      </c>
      <c r="O438">
        <f>IF($V438="","",Settings!$C$6)</f>
        <v/>
      </c>
      <c r="P438" s="7">
        <f>IF($V438="","",SUMIFS('Per Line'!$AC$2:$AC$1501,'Per Line'!$C$2:$C$1501,$C438,'Per Line'!$AK$2:$AK$1501,1))</f>
        <v/>
      </c>
      <c r="Q438" s="7">
        <f>IF($V438="","",P438*O438)</f>
        <v/>
      </c>
      <c r="R438" s="7">
        <f>IF($V438="","",Q438+N438)</f>
        <v/>
      </c>
      <c r="S438" s="7">
        <f>IF($V438="","",T438-R438)</f>
        <v/>
      </c>
      <c r="T438" s="7">
        <f>IF($V438="","",M438+P438)</f>
        <v/>
      </c>
      <c r="U438" s="7">
        <f>IF($V438="","",T438-R438-K438)</f>
        <v/>
      </c>
      <c r="V438" s="13">
        <f>IF(ROWS($V$2:$V438)&lt;=MAX('Per Line'!$AJ$2:$AJ$1501),MATCH(ROWS($V$2:$V438),'Per Line'!$AJ$2:$AJ$1501,0),"")</f>
        <v/>
      </c>
    </row>
    <row r="439">
      <c r="A439" s="12" t="n"/>
      <c r="B439">
        <f>IF($V439="","",INDEX('Per Line'!$A$2:$A$1501,$V439)&amp;"")</f>
        <v/>
      </c>
      <c r="C439">
        <f>IF($V439="","",INDEX('Per Line'!$C$2:$C$1501,$V439)&amp;"")</f>
        <v/>
      </c>
      <c r="D439" s="11">
        <f>IF($V439="","",INDEX('Per Line'!$S$2:$S$1501,$V439))</f>
        <v/>
      </c>
      <c r="E439">
        <f>IF($V439="","",INDEX('Per Line'!$F$2:$F$1501,$V439)&amp;"")</f>
        <v/>
      </c>
      <c r="F439">
        <f>IF($V439="","",INDEX('Per Line'!$L$2:$L$1501,$V439)&amp;"")</f>
        <v/>
      </c>
      <c r="G439">
        <f>IF($V439="","",INDEX('Per Line'!$O$2:$O$1501,$V439)&amp;"")</f>
        <v/>
      </c>
      <c r="H439">
        <f>IF($V439="","",INDEX('Per Line'!$P$2:$P$1501,$V439)&amp;"")</f>
        <v/>
      </c>
      <c r="I439">
        <f>IF($V439="","",INDEX('Per Line'!$N$2:$N$1501,$V439)&amp;"")</f>
        <v/>
      </c>
      <c r="J439">
        <f>IF($V439="","",INDEX('Per Line'!$Q$2:$Q$1501,$V439))</f>
        <v/>
      </c>
      <c r="K439" s="7">
        <f>IF($V439="","",J439*T439/100)</f>
        <v/>
      </c>
      <c r="L439">
        <f>IF($V439="","",Settings!$C$7)</f>
        <v/>
      </c>
      <c r="M439" s="7">
        <f>IF($V439="","",SUMIFS('Per Line'!$AC$2:$AC$1501,'Per Line'!$C$2:$C$1501,$C439,'Per Line'!$AK$2:$AK$1501,0))</f>
        <v/>
      </c>
      <c r="N439" s="7">
        <f>IF($V439="","",M439*L439)</f>
        <v/>
      </c>
      <c r="O439">
        <f>IF($V439="","",Settings!$C$6)</f>
        <v/>
      </c>
      <c r="P439" s="7">
        <f>IF($V439="","",SUMIFS('Per Line'!$AC$2:$AC$1501,'Per Line'!$C$2:$C$1501,$C439,'Per Line'!$AK$2:$AK$1501,1))</f>
        <v/>
      </c>
      <c r="Q439" s="7">
        <f>IF($V439="","",P439*O439)</f>
        <v/>
      </c>
      <c r="R439" s="7">
        <f>IF($V439="","",Q439+N439)</f>
        <v/>
      </c>
      <c r="S439" s="7">
        <f>IF($V439="","",T439-R439)</f>
        <v/>
      </c>
      <c r="T439" s="7">
        <f>IF($V439="","",M439+P439)</f>
        <v/>
      </c>
      <c r="U439" s="7">
        <f>IF($V439="","",T439-R439-K439)</f>
        <v/>
      </c>
      <c r="V439" s="13">
        <f>IF(ROWS($V$2:$V439)&lt;=MAX('Per Line'!$AJ$2:$AJ$1501),MATCH(ROWS($V$2:$V439),'Per Line'!$AJ$2:$AJ$1501,0),"")</f>
        <v/>
      </c>
    </row>
    <row r="440">
      <c r="A440" s="12" t="n"/>
      <c r="B440">
        <f>IF($V440="","",INDEX('Per Line'!$A$2:$A$1501,$V440)&amp;"")</f>
        <v/>
      </c>
      <c r="C440">
        <f>IF($V440="","",INDEX('Per Line'!$C$2:$C$1501,$V440)&amp;"")</f>
        <v/>
      </c>
      <c r="D440" s="11">
        <f>IF($V440="","",INDEX('Per Line'!$S$2:$S$1501,$V440))</f>
        <v/>
      </c>
      <c r="E440">
        <f>IF($V440="","",INDEX('Per Line'!$F$2:$F$1501,$V440)&amp;"")</f>
        <v/>
      </c>
      <c r="F440">
        <f>IF($V440="","",INDEX('Per Line'!$L$2:$L$1501,$V440)&amp;"")</f>
        <v/>
      </c>
      <c r="G440">
        <f>IF($V440="","",INDEX('Per Line'!$O$2:$O$1501,$V440)&amp;"")</f>
        <v/>
      </c>
      <c r="H440">
        <f>IF($V440="","",INDEX('Per Line'!$P$2:$P$1501,$V440)&amp;"")</f>
        <v/>
      </c>
      <c r="I440">
        <f>IF($V440="","",INDEX('Per Line'!$N$2:$N$1501,$V440)&amp;"")</f>
        <v/>
      </c>
      <c r="J440">
        <f>IF($V440="","",INDEX('Per Line'!$Q$2:$Q$1501,$V440))</f>
        <v/>
      </c>
      <c r="K440" s="7">
        <f>IF($V440="","",J440*T440/100)</f>
        <v/>
      </c>
      <c r="L440">
        <f>IF($V440="","",Settings!$C$7)</f>
        <v/>
      </c>
      <c r="M440" s="7">
        <f>IF($V440="","",SUMIFS('Per Line'!$AC$2:$AC$1501,'Per Line'!$C$2:$C$1501,$C440,'Per Line'!$AK$2:$AK$1501,0))</f>
        <v/>
      </c>
      <c r="N440" s="7">
        <f>IF($V440="","",M440*L440)</f>
        <v/>
      </c>
      <c r="O440">
        <f>IF($V440="","",Settings!$C$6)</f>
        <v/>
      </c>
      <c r="P440" s="7">
        <f>IF($V440="","",SUMIFS('Per Line'!$AC$2:$AC$1501,'Per Line'!$C$2:$C$1501,$C440,'Per Line'!$AK$2:$AK$1501,1))</f>
        <v/>
      </c>
      <c r="Q440" s="7">
        <f>IF($V440="","",P440*O440)</f>
        <v/>
      </c>
      <c r="R440" s="7">
        <f>IF($V440="","",Q440+N440)</f>
        <v/>
      </c>
      <c r="S440" s="7">
        <f>IF($V440="","",T440-R440)</f>
        <v/>
      </c>
      <c r="T440" s="7">
        <f>IF($V440="","",M440+P440)</f>
        <v/>
      </c>
      <c r="U440" s="7">
        <f>IF($V440="","",T440-R440-K440)</f>
        <v/>
      </c>
      <c r="V440" s="13">
        <f>IF(ROWS($V$2:$V440)&lt;=MAX('Per Line'!$AJ$2:$AJ$1501),MATCH(ROWS($V$2:$V440),'Per Line'!$AJ$2:$AJ$1501,0),"")</f>
        <v/>
      </c>
    </row>
    <row r="441">
      <c r="A441" s="12" t="n"/>
      <c r="B441">
        <f>IF($V441="","",INDEX('Per Line'!$A$2:$A$1501,$V441)&amp;"")</f>
        <v/>
      </c>
      <c r="C441">
        <f>IF($V441="","",INDEX('Per Line'!$C$2:$C$1501,$V441)&amp;"")</f>
        <v/>
      </c>
      <c r="D441" s="11">
        <f>IF($V441="","",INDEX('Per Line'!$S$2:$S$1501,$V441))</f>
        <v/>
      </c>
      <c r="E441">
        <f>IF($V441="","",INDEX('Per Line'!$F$2:$F$1501,$V441)&amp;"")</f>
        <v/>
      </c>
      <c r="F441">
        <f>IF($V441="","",INDEX('Per Line'!$L$2:$L$1501,$V441)&amp;"")</f>
        <v/>
      </c>
      <c r="G441">
        <f>IF($V441="","",INDEX('Per Line'!$O$2:$O$1501,$V441)&amp;"")</f>
        <v/>
      </c>
      <c r="H441">
        <f>IF($V441="","",INDEX('Per Line'!$P$2:$P$1501,$V441)&amp;"")</f>
        <v/>
      </c>
      <c r="I441">
        <f>IF($V441="","",INDEX('Per Line'!$N$2:$N$1501,$V441)&amp;"")</f>
        <v/>
      </c>
      <c r="J441">
        <f>IF($V441="","",INDEX('Per Line'!$Q$2:$Q$1501,$V441))</f>
        <v/>
      </c>
      <c r="K441" s="7">
        <f>IF($V441="","",J441*T441/100)</f>
        <v/>
      </c>
      <c r="L441">
        <f>IF($V441="","",Settings!$C$7)</f>
        <v/>
      </c>
      <c r="M441" s="7">
        <f>IF($V441="","",SUMIFS('Per Line'!$AC$2:$AC$1501,'Per Line'!$C$2:$C$1501,$C441,'Per Line'!$AK$2:$AK$1501,0))</f>
        <v/>
      </c>
      <c r="N441" s="7">
        <f>IF($V441="","",M441*L441)</f>
        <v/>
      </c>
      <c r="O441">
        <f>IF($V441="","",Settings!$C$6)</f>
        <v/>
      </c>
      <c r="P441" s="7">
        <f>IF($V441="","",SUMIFS('Per Line'!$AC$2:$AC$1501,'Per Line'!$C$2:$C$1501,$C441,'Per Line'!$AK$2:$AK$1501,1))</f>
        <v/>
      </c>
      <c r="Q441" s="7">
        <f>IF($V441="","",P441*O441)</f>
        <v/>
      </c>
      <c r="R441" s="7">
        <f>IF($V441="","",Q441+N441)</f>
        <v/>
      </c>
      <c r="S441" s="7">
        <f>IF($V441="","",T441-R441)</f>
        <v/>
      </c>
      <c r="T441" s="7">
        <f>IF($V441="","",M441+P441)</f>
        <v/>
      </c>
      <c r="U441" s="7">
        <f>IF($V441="","",T441-R441-K441)</f>
        <v/>
      </c>
      <c r="V441" s="13">
        <f>IF(ROWS($V$2:$V441)&lt;=MAX('Per Line'!$AJ$2:$AJ$1501),MATCH(ROWS($V$2:$V441),'Per Line'!$AJ$2:$AJ$1501,0),"")</f>
        <v/>
      </c>
    </row>
    <row r="442">
      <c r="A442" s="12" t="n"/>
      <c r="B442">
        <f>IF($V442="","",INDEX('Per Line'!$A$2:$A$1501,$V442)&amp;"")</f>
        <v/>
      </c>
      <c r="C442">
        <f>IF($V442="","",INDEX('Per Line'!$C$2:$C$1501,$V442)&amp;"")</f>
        <v/>
      </c>
      <c r="D442" s="11">
        <f>IF($V442="","",INDEX('Per Line'!$S$2:$S$1501,$V442))</f>
        <v/>
      </c>
      <c r="E442">
        <f>IF($V442="","",INDEX('Per Line'!$F$2:$F$1501,$V442)&amp;"")</f>
        <v/>
      </c>
      <c r="F442">
        <f>IF($V442="","",INDEX('Per Line'!$L$2:$L$1501,$V442)&amp;"")</f>
        <v/>
      </c>
      <c r="G442">
        <f>IF($V442="","",INDEX('Per Line'!$O$2:$O$1501,$V442)&amp;"")</f>
        <v/>
      </c>
      <c r="H442">
        <f>IF($V442="","",INDEX('Per Line'!$P$2:$P$1501,$V442)&amp;"")</f>
        <v/>
      </c>
      <c r="I442">
        <f>IF($V442="","",INDEX('Per Line'!$N$2:$N$1501,$V442)&amp;"")</f>
        <v/>
      </c>
      <c r="J442">
        <f>IF($V442="","",INDEX('Per Line'!$Q$2:$Q$1501,$V442))</f>
        <v/>
      </c>
      <c r="K442" s="7">
        <f>IF($V442="","",J442*T442/100)</f>
        <v/>
      </c>
      <c r="L442">
        <f>IF($V442="","",Settings!$C$7)</f>
        <v/>
      </c>
      <c r="M442" s="7">
        <f>IF($V442="","",SUMIFS('Per Line'!$AC$2:$AC$1501,'Per Line'!$C$2:$C$1501,$C442,'Per Line'!$AK$2:$AK$1501,0))</f>
        <v/>
      </c>
      <c r="N442" s="7">
        <f>IF($V442="","",M442*L442)</f>
        <v/>
      </c>
      <c r="O442">
        <f>IF($V442="","",Settings!$C$6)</f>
        <v/>
      </c>
      <c r="P442" s="7">
        <f>IF($V442="","",SUMIFS('Per Line'!$AC$2:$AC$1501,'Per Line'!$C$2:$C$1501,$C442,'Per Line'!$AK$2:$AK$1501,1))</f>
        <v/>
      </c>
      <c r="Q442" s="7">
        <f>IF($V442="","",P442*O442)</f>
        <v/>
      </c>
      <c r="R442" s="7">
        <f>IF($V442="","",Q442+N442)</f>
        <v/>
      </c>
      <c r="S442" s="7">
        <f>IF($V442="","",T442-R442)</f>
        <v/>
      </c>
      <c r="T442" s="7">
        <f>IF($V442="","",M442+P442)</f>
        <v/>
      </c>
      <c r="U442" s="7">
        <f>IF($V442="","",T442-R442-K442)</f>
        <v/>
      </c>
      <c r="V442" s="13">
        <f>IF(ROWS($V$2:$V442)&lt;=MAX('Per Line'!$AJ$2:$AJ$1501),MATCH(ROWS($V$2:$V442),'Per Line'!$AJ$2:$AJ$1501,0),"")</f>
        <v/>
      </c>
    </row>
    <row r="443">
      <c r="A443" s="12" t="n"/>
      <c r="B443">
        <f>IF($V443="","",INDEX('Per Line'!$A$2:$A$1501,$V443)&amp;"")</f>
        <v/>
      </c>
      <c r="C443">
        <f>IF($V443="","",INDEX('Per Line'!$C$2:$C$1501,$V443)&amp;"")</f>
        <v/>
      </c>
      <c r="D443" s="11">
        <f>IF($V443="","",INDEX('Per Line'!$S$2:$S$1501,$V443))</f>
        <v/>
      </c>
      <c r="E443">
        <f>IF($V443="","",INDEX('Per Line'!$F$2:$F$1501,$V443)&amp;"")</f>
        <v/>
      </c>
      <c r="F443">
        <f>IF($V443="","",INDEX('Per Line'!$L$2:$L$1501,$V443)&amp;"")</f>
        <v/>
      </c>
      <c r="G443">
        <f>IF($V443="","",INDEX('Per Line'!$O$2:$O$1501,$V443)&amp;"")</f>
        <v/>
      </c>
      <c r="H443">
        <f>IF($V443="","",INDEX('Per Line'!$P$2:$P$1501,$V443)&amp;"")</f>
        <v/>
      </c>
      <c r="I443">
        <f>IF($V443="","",INDEX('Per Line'!$N$2:$N$1501,$V443)&amp;"")</f>
        <v/>
      </c>
      <c r="J443">
        <f>IF($V443="","",INDEX('Per Line'!$Q$2:$Q$1501,$V443))</f>
        <v/>
      </c>
      <c r="K443" s="7">
        <f>IF($V443="","",J443*T443/100)</f>
        <v/>
      </c>
      <c r="L443">
        <f>IF($V443="","",Settings!$C$7)</f>
        <v/>
      </c>
      <c r="M443" s="7">
        <f>IF($V443="","",SUMIFS('Per Line'!$AC$2:$AC$1501,'Per Line'!$C$2:$C$1501,$C443,'Per Line'!$AK$2:$AK$1501,0))</f>
        <v/>
      </c>
      <c r="N443" s="7">
        <f>IF($V443="","",M443*L443)</f>
        <v/>
      </c>
      <c r="O443">
        <f>IF($V443="","",Settings!$C$6)</f>
        <v/>
      </c>
      <c r="P443" s="7">
        <f>IF($V443="","",SUMIFS('Per Line'!$AC$2:$AC$1501,'Per Line'!$C$2:$C$1501,$C443,'Per Line'!$AK$2:$AK$1501,1))</f>
        <v/>
      </c>
      <c r="Q443" s="7">
        <f>IF($V443="","",P443*O443)</f>
        <v/>
      </c>
      <c r="R443" s="7">
        <f>IF($V443="","",Q443+N443)</f>
        <v/>
      </c>
      <c r="S443" s="7">
        <f>IF($V443="","",T443-R443)</f>
        <v/>
      </c>
      <c r="T443" s="7">
        <f>IF($V443="","",M443+P443)</f>
        <v/>
      </c>
      <c r="U443" s="7">
        <f>IF($V443="","",T443-R443-K443)</f>
        <v/>
      </c>
      <c r="V443" s="13">
        <f>IF(ROWS($V$2:$V443)&lt;=MAX('Per Line'!$AJ$2:$AJ$1501),MATCH(ROWS($V$2:$V443),'Per Line'!$AJ$2:$AJ$1501,0),"")</f>
        <v/>
      </c>
    </row>
    <row r="444">
      <c r="A444" s="12" t="n"/>
      <c r="B444">
        <f>IF($V444="","",INDEX('Per Line'!$A$2:$A$1501,$V444)&amp;"")</f>
        <v/>
      </c>
      <c r="C444">
        <f>IF($V444="","",INDEX('Per Line'!$C$2:$C$1501,$V444)&amp;"")</f>
        <v/>
      </c>
      <c r="D444" s="11">
        <f>IF($V444="","",INDEX('Per Line'!$S$2:$S$1501,$V444))</f>
        <v/>
      </c>
      <c r="E444">
        <f>IF($V444="","",INDEX('Per Line'!$F$2:$F$1501,$V444)&amp;"")</f>
        <v/>
      </c>
      <c r="F444">
        <f>IF($V444="","",INDEX('Per Line'!$L$2:$L$1501,$V444)&amp;"")</f>
        <v/>
      </c>
      <c r="G444">
        <f>IF($V444="","",INDEX('Per Line'!$O$2:$O$1501,$V444)&amp;"")</f>
        <v/>
      </c>
      <c r="H444">
        <f>IF($V444="","",INDEX('Per Line'!$P$2:$P$1501,$V444)&amp;"")</f>
        <v/>
      </c>
      <c r="I444">
        <f>IF($V444="","",INDEX('Per Line'!$N$2:$N$1501,$V444)&amp;"")</f>
        <v/>
      </c>
      <c r="J444">
        <f>IF($V444="","",INDEX('Per Line'!$Q$2:$Q$1501,$V444))</f>
        <v/>
      </c>
      <c r="K444" s="7">
        <f>IF($V444="","",J444*T444/100)</f>
        <v/>
      </c>
      <c r="L444">
        <f>IF($V444="","",Settings!$C$7)</f>
        <v/>
      </c>
      <c r="M444" s="7">
        <f>IF($V444="","",SUMIFS('Per Line'!$AC$2:$AC$1501,'Per Line'!$C$2:$C$1501,$C444,'Per Line'!$AK$2:$AK$1501,0))</f>
        <v/>
      </c>
      <c r="N444" s="7">
        <f>IF($V444="","",M444*L444)</f>
        <v/>
      </c>
      <c r="O444">
        <f>IF($V444="","",Settings!$C$6)</f>
        <v/>
      </c>
      <c r="P444" s="7">
        <f>IF($V444="","",SUMIFS('Per Line'!$AC$2:$AC$1501,'Per Line'!$C$2:$C$1501,$C444,'Per Line'!$AK$2:$AK$1501,1))</f>
        <v/>
      </c>
      <c r="Q444" s="7">
        <f>IF($V444="","",P444*O444)</f>
        <v/>
      </c>
      <c r="R444" s="7">
        <f>IF($V444="","",Q444+N444)</f>
        <v/>
      </c>
      <c r="S444" s="7">
        <f>IF($V444="","",T444-R444)</f>
        <v/>
      </c>
      <c r="T444" s="7">
        <f>IF($V444="","",M444+P444)</f>
        <v/>
      </c>
      <c r="U444" s="7">
        <f>IF($V444="","",T444-R444-K444)</f>
        <v/>
      </c>
      <c r="V444" s="13">
        <f>IF(ROWS($V$2:$V444)&lt;=MAX('Per Line'!$AJ$2:$AJ$1501),MATCH(ROWS($V$2:$V444),'Per Line'!$AJ$2:$AJ$1501,0),"")</f>
        <v/>
      </c>
    </row>
    <row r="445">
      <c r="A445" s="12" t="n"/>
      <c r="B445">
        <f>IF($V445="","",INDEX('Per Line'!$A$2:$A$1501,$V445)&amp;"")</f>
        <v/>
      </c>
      <c r="C445">
        <f>IF($V445="","",INDEX('Per Line'!$C$2:$C$1501,$V445)&amp;"")</f>
        <v/>
      </c>
      <c r="D445" s="11">
        <f>IF($V445="","",INDEX('Per Line'!$S$2:$S$1501,$V445))</f>
        <v/>
      </c>
      <c r="E445">
        <f>IF($V445="","",INDEX('Per Line'!$F$2:$F$1501,$V445)&amp;"")</f>
        <v/>
      </c>
      <c r="F445">
        <f>IF($V445="","",INDEX('Per Line'!$L$2:$L$1501,$V445)&amp;"")</f>
        <v/>
      </c>
      <c r="G445">
        <f>IF($V445="","",INDEX('Per Line'!$O$2:$O$1501,$V445)&amp;"")</f>
        <v/>
      </c>
      <c r="H445">
        <f>IF($V445="","",INDEX('Per Line'!$P$2:$P$1501,$V445)&amp;"")</f>
        <v/>
      </c>
      <c r="I445">
        <f>IF($V445="","",INDEX('Per Line'!$N$2:$N$1501,$V445)&amp;"")</f>
        <v/>
      </c>
      <c r="J445">
        <f>IF($V445="","",INDEX('Per Line'!$Q$2:$Q$1501,$V445))</f>
        <v/>
      </c>
      <c r="K445" s="7">
        <f>IF($V445="","",J445*T445/100)</f>
        <v/>
      </c>
      <c r="L445">
        <f>IF($V445="","",Settings!$C$7)</f>
        <v/>
      </c>
      <c r="M445" s="7">
        <f>IF($V445="","",SUMIFS('Per Line'!$AC$2:$AC$1501,'Per Line'!$C$2:$C$1501,$C445,'Per Line'!$AK$2:$AK$1501,0))</f>
        <v/>
      </c>
      <c r="N445" s="7">
        <f>IF($V445="","",M445*L445)</f>
        <v/>
      </c>
      <c r="O445">
        <f>IF($V445="","",Settings!$C$6)</f>
        <v/>
      </c>
      <c r="P445" s="7">
        <f>IF($V445="","",SUMIFS('Per Line'!$AC$2:$AC$1501,'Per Line'!$C$2:$C$1501,$C445,'Per Line'!$AK$2:$AK$1501,1))</f>
        <v/>
      </c>
      <c r="Q445" s="7">
        <f>IF($V445="","",P445*O445)</f>
        <v/>
      </c>
      <c r="R445" s="7">
        <f>IF($V445="","",Q445+N445)</f>
        <v/>
      </c>
      <c r="S445" s="7">
        <f>IF($V445="","",T445-R445)</f>
        <v/>
      </c>
      <c r="T445" s="7">
        <f>IF($V445="","",M445+P445)</f>
        <v/>
      </c>
      <c r="U445" s="7">
        <f>IF($V445="","",T445-R445-K445)</f>
        <v/>
      </c>
      <c r="V445" s="13">
        <f>IF(ROWS($V$2:$V445)&lt;=MAX('Per Line'!$AJ$2:$AJ$1501),MATCH(ROWS($V$2:$V445),'Per Line'!$AJ$2:$AJ$1501,0),"")</f>
        <v/>
      </c>
    </row>
    <row r="446">
      <c r="A446" s="12" t="n"/>
      <c r="B446">
        <f>IF($V446="","",INDEX('Per Line'!$A$2:$A$1501,$V446)&amp;"")</f>
        <v/>
      </c>
      <c r="C446">
        <f>IF($V446="","",INDEX('Per Line'!$C$2:$C$1501,$V446)&amp;"")</f>
        <v/>
      </c>
      <c r="D446" s="11">
        <f>IF($V446="","",INDEX('Per Line'!$S$2:$S$1501,$V446))</f>
        <v/>
      </c>
      <c r="E446">
        <f>IF($V446="","",INDEX('Per Line'!$F$2:$F$1501,$V446)&amp;"")</f>
        <v/>
      </c>
      <c r="F446">
        <f>IF($V446="","",INDEX('Per Line'!$L$2:$L$1501,$V446)&amp;"")</f>
        <v/>
      </c>
      <c r="G446">
        <f>IF($V446="","",INDEX('Per Line'!$O$2:$O$1501,$V446)&amp;"")</f>
        <v/>
      </c>
      <c r="H446">
        <f>IF($V446="","",INDEX('Per Line'!$P$2:$P$1501,$V446)&amp;"")</f>
        <v/>
      </c>
      <c r="I446">
        <f>IF($V446="","",INDEX('Per Line'!$N$2:$N$1501,$V446)&amp;"")</f>
        <v/>
      </c>
      <c r="J446">
        <f>IF($V446="","",INDEX('Per Line'!$Q$2:$Q$1501,$V446))</f>
        <v/>
      </c>
      <c r="K446" s="7">
        <f>IF($V446="","",J446*T446/100)</f>
        <v/>
      </c>
      <c r="L446">
        <f>IF($V446="","",Settings!$C$7)</f>
        <v/>
      </c>
      <c r="M446" s="7">
        <f>IF($V446="","",SUMIFS('Per Line'!$AC$2:$AC$1501,'Per Line'!$C$2:$C$1501,$C446,'Per Line'!$AK$2:$AK$1501,0))</f>
        <v/>
      </c>
      <c r="N446" s="7">
        <f>IF($V446="","",M446*L446)</f>
        <v/>
      </c>
      <c r="O446">
        <f>IF($V446="","",Settings!$C$6)</f>
        <v/>
      </c>
      <c r="P446" s="7">
        <f>IF($V446="","",SUMIFS('Per Line'!$AC$2:$AC$1501,'Per Line'!$C$2:$C$1501,$C446,'Per Line'!$AK$2:$AK$1501,1))</f>
        <v/>
      </c>
      <c r="Q446" s="7">
        <f>IF($V446="","",P446*O446)</f>
        <v/>
      </c>
      <c r="R446" s="7">
        <f>IF($V446="","",Q446+N446)</f>
        <v/>
      </c>
      <c r="S446" s="7">
        <f>IF($V446="","",T446-R446)</f>
        <v/>
      </c>
      <c r="T446" s="7">
        <f>IF($V446="","",M446+P446)</f>
        <v/>
      </c>
      <c r="U446" s="7">
        <f>IF($V446="","",T446-R446-K446)</f>
        <v/>
      </c>
      <c r="V446" s="13">
        <f>IF(ROWS($V$2:$V446)&lt;=MAX('Per Line'!$AJ$2:$AJ$1501),MATCH(ROWS($V$2:$V446),'Per Line'!$AJ$2:$AJ$1501,0),"")</f>
        <v/>
      </c>
    </row>
    <row r="447">
      <c r="A447" s="12" t="n"/>
      <c r="B447">
        <f>IF($V447="","",INDEX('Per Line'!$A$2:$A$1501,$V447)&amp;"")</f>
        <v/>
      </c>
      <c r="C447">
        <f>IF($V447="","",INDEX('Per Line'!$C$2:$C$1501,$V447)&amp;"")</f>
        <v/>
      </c>
      <c r="D447" s="11">
        <f>IF($V447="","",INDEX('Per Line'!$S$2:$S$1501,$V447))</f>
        <v/>
      </c>
      <c r="E447">
        <f>IF($V447="","",INDEX('Per Line'!$F$2:$F$1501,$V447)&amp;"")</f>
        <v/>
      </c>
      <c r="F447">
        <f>IF($V447="","",INDEX('Per Line'!$L$2:$L$1501,$V447)&amp;"")</f>
        <v/>
      </c>
      <c r="G447">
        <f>IF($V447="","",INDEX('Per Line'!$O$2:$O$1501,$V447)&amp;"")</f>
        <v/>
      </c>
      <c r="H447">
        <f>IF($V447="","",INDEX('Per Line'!$P$2:$P$1501,$V447)&amp;"")</f>
        <v/>
      </c>
      <c r="I447">
        <f>IF($V447="","",INDEX('Per Line'!$N$2:$N$1501,$V447)&amp;"")</f>
        <v/>
      </c>
      <c r="J447">
        <f>IF($V447="","",INDEX('Per Line'!$Q$2:$Q$1501,$V447))</f>
        <v/>
      </c>
      <c r="K447" s="7">
        <f>IF($V447="","",J447*T447/100)</f>
        <v/>
      </c>
      <c r="L447">
        <f>IF($V447="","",Settings!$C$7)</f>
        <v/>
      </c>
      <c r="M447" s="7">
        <f>IF($V447="","",SUMIFS('Per Line'!$AC$2:$AC$1501,'Per Line'!$C$2:$C$1501,$C447,'Per Line'!$AK$2:$AK$1501,0))</f>
        <v/>
      </c>
      <c r="N447" s="7">
        <f>IF($V447="","",M447*L447)</f>
        <v/>
      </c>
      <c r="O447">
        <f>IF($V447="","",Settings!$C$6)</f>
        <v/>
      </c>
      <c r="P447" s="7">
        <f>IF($V447="","",SUMIFS('Per Line'!$AC$2:$AC$1501,'Per Line'!$C$2:$C$1501,$C447,'Per Line'!$AK$2:$AK$1501,1))</f>
        <v/>
      </c>
      <c r="Q447" s="7">
        <f>IF($V447="","",P447*O447)</f>
        <v/>
      </c>
      <c r="R447" s="7">
        <f>IF($V447="","",Q447+N447)</f>
        <v/>
      </c>
      <c r="S447" s="7">
        <f>IF($V447="","",T447-R447)</f>
        <v/>
      </c>
      <c r="T447" s="7">
        <f>IF($V447="","",M447+P447)</f>
        <v/>
      </c>
      <c r="U447" s="7">
        <f>IF($V447="","",T447-R447-K447)</f>
        <v/>
      </c>
      <c r="V447" s="13">
        <f>IF(ROWS($V$2:$V447)&lt;=MAX('Per Line'!$AJ$2:$AJ$1501),MATCH(ROWS($V$2:$V447),'Per Line'!$AJ$2:$AJ$1501,0),"")</f>
        <v/>
      </c>
    </row>
    <row r="448">
      <c r="A448" s="12" t="n"/>
      <c r="B448">
        <f>IF($V448="","",INDEX('Per Line'!$A$2:$A$1501,$V448)&amp;"")</f>
        <v/>
      </c>
      <c r="C448">
        <f>IF($V448="","",INDEX('Per Line'!$C$2:$C$1501,$V448)&amp;"")</f>
        <v/>
      </c>
      <c r="D448" s="11">
        <f>IF($V448="","",INDEX('Per Line'!$S$2:$S$1501,$V448))</f>
        <v/>
      </c>
      <c r="E448">
        <f>IF($V448="","",INDEX('Per Line'!$F$2:$F$1501,$V448)&amp;"")</f>
        <v/>
      </c>
      <c r="F448">
        <f>IF($V448="","",INDEX('Per Line'!$L$2:$L$1501,$V448)&amp;"")</f>
        <v/>
      </c>
      <c r="G448">
        <f>IF($V448="","",INDEX('Per Line'!$O$2:$O$1501,$V448)&amp;"")</f>
        <v/>
      </c>
      <c r="H448">
        <f>IF($V448="","",INDEX('Per Line'!$P$2:$P$1501,$V448)&amp;"")</f>
        <v/>
      </c>
      <c r="I448">
        <f>IF($V448="","",INDEX('Per Line'!$N$2:$N$1501,$V448)&amp;"")</f>
        <v/>
      </c>
      <c r="J448">
        <f>IF($V448="","",INDEX('Per Line'!$Q$2:$Q$1501,$V448))</f>
        <v/>
      </c>
      <c r="K448" s="7">
        <f>IF($V448="","",J448*T448/100)</f>
        <v/>
      </c>
      <c r="L448">
        <f>IF($V448="","",Settings!$C$7)</f>
        <v/>
      </c>
      <c r="M448" s="7">
        <f>IF($V448="","",SUMIFS('Per Line'!$AC$2:$AC$1501,'Per Line'!$C$2:$C$1501,$C448,'Per Line'!$AK$2:$AK$1501,0))</f>
        <v/>
      </c>
      <c r="N448" s="7">
        <f>IF($V448="","",M448*L448)</f>
        <v/>
      </c>
      <c r="O448">
        <f>IF($V448="","",Settings!$C$6)</f>
        <v/>
      </c>
      <c r="P448" s="7">
        <f>IF($V448="","",SUMIFS('Per Line'!$AC$2:$AC$1501,'Per Line'!$C$2:$C$1501,$C448,'Per Line'!$AK$2:$AK$1501,1))</f>
        <v/>
      </c>
      <c r="Q448" s="7">
        <f>IF($V448="","",P448*O448)</f>
        <v/>
      </c>
      <c r="R448" s="7">
        <f>IF($V448="","",Q448+N448)</f>
        <v/>
      </c>
      <c r="S448" s="7">
        <f>IF($V448="","",T448-R448)</f>
        <v/>
      </c>
      <c r="T448" s="7">
        <f>IF($V448="","",M448+P448)</f>
        <v/>
      </c>
      <c r="U448" s="7">
        <f>IF($V448="","",T448-R448-K448)</f>
        <v/>
      </c>
      <c r="V448" s="13">
        <f>IF(ROWS($V$2:$V448)&lt;=MAX('Per Line'!$AJ$2:$AJ$1501),MATCH(ROWS($V$2:$V448),'Per Line'!$AJ$2:$AJ$1501,0),"")</f>
        <v/>
      </c>
    </row>
    <row r="449">
      <c r="A449" s="12" t="n"/>
      <c r="B449">
        <f>IF($V449="","",INDEX('Per Line'!$A$2:$A$1501,$V449)&amp;"")</f>
        <v/>
      </c>
      <c r="C449">
        <f>IF($V449="","",INDEX('Per Line'!$C$2:$C$1501,$V449)&amp;"")</f>
        <v/>
      </c>
      <c r="D449" s="11">
        <f>IF($V449="","",INDEX('Per Line'!$S$2:$S$1501,$V449))</f>
        <v/>
      </c>
      <c r="E449">
        <f>IF($V449="","",INDEX('Per Line'!$F$2:$F$1501,$V449)&amp;"")</f>
        <v/>
      </c>
      <c r="F449">
        <f>IF($V449="","",INDEX('Per Line'!$L$2:$L$1501,$V449)&amp;"")</f>
        <v/>
      </c>
      <c r="G449">
        <f>IF($V449="","",INDEX('Per Line'!$O$2:$O$1501,$V449)&amp;"")</f>
        <v/>
      </c>
      <c r="H449">
        <f>IF($V449="","",INDEX('Per Line'!$P$2:$P$1501,$V449)&amp;"")</f>
        <v/>
      </c>
      <c r="I449">
        <f>IF($V449="","",INDEX('Per Line'!$N$2:$N$1501,$V449)&amp;"")</f>
        <v/>
      </c>
      <c r="J449">
        <f>IF($V449="","",INDEX('Per Line'!$Q$2:$Q$1501,$V449))</f>
        <v/>
      </c>
      <c r="K449" s="7">
        <f>IF($V449="","",J449*T449/100)</f>
        <v/>
      </c>
      <c r="L449">
        <f>IF($V449="","",Settings!$C$7)</f>
        <v/>
      </c>
      <c r="M449" s="7">
        <f>IF($V449="","",SUMIFS('Per Line'!$AC$2:$AC$1501,'Per Line'!$C$2:$C$1501,$C449,'Per Line'!$AK$2:$AK$1501,0))</f>
        <v/>
      </c>
      <c r="N449" s="7">
        <f>IF($V449="","",M449*L449)</f>
        <v/>
      </c>
      <c r="O449">
        <f>IF($V449="","",Settings!$C$6)</f>
        <v/>
      </c>
      <c r="P449" s="7">
        <f>IF($V449="","",SUMIFS('Per Line'!$AC$2:$AC$1501,'Per Line'!$C$2:$C$1501,$C449,'Per Line'!$AK$2:$AK$1501,1))</f>
        <v/>
      </c>
      <c r="Q449" s="7">
        <f>IF($V449="","",P449*O449)</f>
        <v/>
      </c>
      <c r="R449" s="7">
        <f>IF($V449="","",Q449+N449)</f>
        <v/>
      </c>
      <c r="S449" s="7">
        <f>IF($V449="","",T449-R449)</f>
        <v/>
      </c>
      <c r="T449" s="7">
        <f>IF($V449="","",M449+P449)</f>
        <v/>
      </c>
      <c r="U449" s="7">
        <f>IF($V449="","",T449-R449-K449)</f>
        <v/>
      </c>
      <c r="V449" s="13">
        <f>IF(ROWS($V$2:$V449)&lt;=MAX('Per Line'!$AJ$2:$AJ$1501),MATCH(ROWS($V$2:$V449),'Per Line'!$AJ$2:$AJ$1501,0),"")</f>
        <v/>
      </c>
    </row>
    <row r="450">
      <c r="A450" s="12" t="n"/>
      <c r="B450">
        <f>IF($V450="","",INDEX('Per Line'!$A$2:$A$1501,$V450)&amp;"")</f>
        <v/>
      </c>
      <c r="C450">
        <f>IF($V450="","",INDEX('Per Line'!$C$2:$C$1501,$V450)&amp;"")</f>
        <v/>
      </c>
      <c r="D450" s="11">
        <f>IF($V450="","",INDEX('Per Line'!$S$2:$S$1501,$V450))</f>
        <v/>
      </c>
      <c r="E450">
        <f>IF($V450="","",INDEX('Per Line'!$F$2:$F$1501,$V450)&amp;"")</f>
        <v/>
      </c>
      <c r="F450">
        <f>IF($V450="","",INDEX('Per Line'!$L$2:$L$1501,$V450)&amp;"")</f>
        <v/>
      </c>
      <c r="G450">
        <f>IF($V450="","",INDEX('Per Line'!$O$2:$O$1501,$V450)&amp;"")</f>
        <v/>
      </c>
      <c r="H450">
        <f>IF($V450="","",INDEX('Per Line'!$P$2:$P$1501,$V450)&amp;"")</f>
        <v/>
      </c>
      <c r="I450">
        <f>IF($V450="","",INDEX('Per Line'!$N$2:$N$1501,$V450)&amp;"")</f>
        <v/>
      </c>
      <c r="J450">
        <f>IF($V450="","",INDEX('Per Line'!$Q$2:$Q$1501,$V450))</f>
        <v/>
      </c>
      <c r="K450" s="7">
        <f>IF($V450="","",J450*T450/100)</f>
        <v/>
      </c>
      <c r="L450">
        <f>IF($V450="","",Settings!$C$7)</f>
        <v/>
      </c>
      <c r="M450" s="7">
        <f>IF($V450="","",SUMIFS('Per Line'!$AC$2:$AC$1501,'Per Line'!$C$2:$C$1501,$C450,'Per Line'!$AK$2:$AK$1501,0))</f>
        <v/>
      </c>
      <c r="N450" s="7">
        <f>IF($V450="","",M450*L450)</f>
        <v/>
      </c>
      <c r="O450">
        <f>IF($V450="","",Settings!$C$6)</f>
        <v/>
      </c>
      <c r="P450" s="7">
        <f>IF($V450="","",SUMIFS('Per Line'!$AC$2:$AC$1501,'Per Line'!$C$2:$C$1501,$C450,'Per Line'!$AK$2:$AK$1501,1))</f>
        <v/>
      </c>
      <c r="Q450" s="7">
        <f>IF($V450="","",P450*O450)</f>
        <v/>
      </c>
      <c r="R450" s="7">
        <f>IF($V450="","",Q450+N450)</f>
        <v/>
      </c>
      <c r="S450" s="7">
        <f>IF($V450="","",T450-R450)</f>
        <v/>
      </c>
      <c r="T450" s="7">
        <f>IF($V450="","",M450+P450)</f>
        <v/>
      </c>
      <c r="U450" s="7">
        <f>IF($V450="","",T450-R450-K450)</f>
        <v/>
      </c>
      <c r="V450" s="13">
        <f>IF(ROWS($V$2:$V450)&lt;=MAX('Per Line'!$AJ$2:$AJ$1501),MATCH(ROWS($V$2:$V450),'Per Line'!$AJ$2:$AJ$1501,0),"")</f>
        <v/>
      </c>
    </row>
    <row r="451">
      <c r="A451" s="12" t="n"/>
      <c r="B451">
        <f>IF($V451="","",INDEX('Per Line'!$A$2:$A$1501,$V451)&amp;"")</f>
        <v/>
      </c>
      <c r="C451">
        <f>IF($V451="","",INDEX('Per Line'!$C$2:$C$1501,$V451)&amp;"")</f>
        <v/>
      </c>
      <c r="D451" s="11">
        <f>IF($V451="","",INDEX('Per Line'!$S$2:$S$1501,$V451))</f>
        <v/>
      </c>
      <c r="E451">
        <f>IF($V451="","",INDEX('Per Line'!$F$2:$F$1501,$V451)&amp;"")</f>
        <v/>
      </c>
      <c r="F451">
        <f>IF($V451="","",INDEX('Per Line'!$L$2:$L$1501,$V451)&amp;"")</f>
        <v/>
      </c>
      <c r="G451">
        <f>IF($V451="","",INDEX('Per Line'!$O$2:$O$1501,$V451)&amp;"")</f>
        <v/>
      </c>
      <c r="H451">
        <f>IF($V451="","",INDEX('Per Line'!$P$2:$P$1501,$V451)&amp;"")</f>
        <v/>
      </c>
      <c r="I451">
        <f>IF($V451="","",INDEX('Per Line'!$N$2:$N$1501,$V451)&amp;"")</f>
        <v/>
      </c>
      <c r="J451">
        <f>IF($V451="","",INDEX('Per Line'!$Q$2:$Q$1501,$V451))</f>
        <v/>
      </c>
      <c r="K451" s="7">
        <f>IF($V451="","",J451*T451/100)</f>
        <v/>
      </c>
      <c r="L451">
        <f>IF($V451="","",Settings!$C$7)</f>
        <v/>
      </c>
      <c r="M451" s="7">
        <f>IF($V451="","",SUMIFS('Per Line'!$AC$2:$AC$1501,'Per Line'!$C$2:$C$1501,$C451,'Per Line'!$AK$2:$AK$1501,0))</f>
        <v/>
      </c>
      <c r="N451" s="7">
        <f>IF($V451="","",M451*L451)</f>
        <v/>
      </c>
      <c r="O451">
        <f>IF($V451="","",Settings!$C$6)</f>
        <v/>
      </c>
      <c r="P451" s="7">
        <f>IF($V451="","",SUMIFS('Per Line'!$AC$2:$AC$1501,'Per Line'!$C$2:$C$1501,$C451,'Per Line'!$AK$2:$AK$1501,1))</f>
        <v/>
      </c>
      <c r="Q451" s="7">
        <f>IF($V451="","",P451*O451)</f>
        <v/>
      </c>
      <c r="R451" s="7">
        <f>IF($V451="","",Q451+N451)</f>
        <v/>
      </c>
      <c r="S451" s="7">
        <f>IF($V451="","",T451-R451)</f>
        <v/>
      </c>
      <c r="T451" s="7">
        <f>IF($V451="","",M451+P451)</f>
        <v/>
      </c>
      <c r="U451" s="7">
        <f>IF($V451="","",T451-R451-K451)</f>
        <v/>
      </c>
      <c r="V451" s="13">
        <f>IF(ROWS($V$2:$V451)&lt;=MAX('Per Line'!$AJ$2:$AJ$1501),MATCH(ROWS($V$2:$V451),'Per Line'!$AJ$2:$AJ$1501,0),"")</f>
        <v/>
      </c>
    </row>
    <row r="452">
      <c r="A452" s="12" t="n"/>
      <c r="B452">
        <f>IF($V452="","",INDEX('Per Line'!$A$2:$A$1501,$V452)&amp;"")</f>
        <v/>
      </c>
      <c r="C452">
        <f>IF($V452="","",INDEX('Per Line'!$C$2:$C$1501,$V452)&amp;"")</f>
        <v/>
      </c>
      <c r="D452" s="11">
        <f>IF($V452="","",INDEX('Per Line'!$S$2:$S$1501,$V452))</f>
        <v/>
      </c>
      <c r="E452">
        <f>IF($V452="","",INDEX('Per Line'!$F$2:$F$1501,$V452)&amp;"")</f>
        <v/>
      </c>
      <c r="F452">
        <f>IF($V452="","",INDEX('Per Line'!$L$2:$L$1501,$V452)&amp;"")</f>
        <v/>
      </c>
      <c r="G452">
        <f>IF($V452="","",INDEX('Per Line'!$O$2:$O$1501,$V452)&amp;"")</f>
        <v/>
      </c>
      <c r="H452">
        <f>IF($V452="","",INDEX('Per Line'!$P$2:$P$1501,$V452)&amp;"")</f>
        <v/>
      </c>
      <c r="I452">
        <f>IF($V452="","",INDEX('Per Line'!$N$2:$N$1501,$V452)&amp;"")</f>
        <v/>
      </c>
      <c r="J452">
        <f>IF($V452="","",INDEX('Per Line'!$Q$2:$Q$1501,$V452))</f>
        <v/>
      </c>
      <c r="K452" s="7">
        <f>IF($V452="","",J452*T452/100)</f>
        <v/>
      </c>
      <c r="L452">
        <f>IF($V452="","",Settings!$C$7)</f>
        <v/>
      </c>
      <c r="M452" s="7">
        <f>IF($V452="","",SUMIFS('Per Line'!$AC$2:$AC$1501,'Per Line'!$C$2:$C$1501,$C452,'Per Line'!$AK$2:$AK$1501,0))</f>
        <v/>
      </c>
      <c r="N452" s="7">
        <f>IF($V452="","",M452*L452)</f>
        <v/>
      </c>
      <c r="O452">
        <f>IF($V452="","",Settings!$C$6)</f>
        <v/>
      </c>
      <c r="P452" s="7">
        <f>IF($V452="","",SUMIFS('Per Line'!$AC$2:$AC$1501,'Per Line'!$C$2:$C$1501,$C452,'Per Line'!$AK$2:$AK$1501,1))</f>
        <v/>
      </c>
      <c r="Q452" s="7">
        <f>IF($V452="","",P452*O452)</f>
        <v/>
      </c>
      <c r="R452" s="7">
        <f>IF($V452="","",Q452+N452)</f>
        <v/>
      </c>
      <c r="S452" s="7">
        <f>IF($V452="","",T452-R452)</f>
        <v/>
      </c>
      <c r="T452" s="7">
        <f>IF($V452="","",M452+P452)</f>
        <v/>
      </c>
      <c r="U452" s="7">
        <f>IF($V452="","",T452-R452-K452)</f>
        <v/>
      </c>
      <c r="V452" s="13">
        <f>IF(ROWS($V$2:$V452)&lt;=MAX('Per Line'!$AJ$2:$AJ$1501),MATCH(ROWS($V$2:$V452),'Per Line'!$AJ$2:$AJ$1501,0),"")</f>
        <v/>
      </c>
    </row>
    <row r="453">
      <c r="A453" s="12" t="n"/>
      <c r="B453">
        <f>IF($V453="","",INDEX('Per Line'!$A$2:$A$1501,$V453)&amp;"")</f>
        <v/>
      </c>
      <c r="C453">
        <f>IF($V453="","",INDEX('Per Line'!$C$2:$C$1501,$V453)&amp;"")</f>
        <v/>
      </c>
      <c r="D453" s="11">
        <f>IF($V453="","",INDEX('Per Line'!$S$2:$S$1501,$V453))</f>
        <v/>
      </c>
      <c r="E453">
        <f>IF($V453="","",INDEX('Per Line'!$F$2:$F$1501,$V453)&amp;"")</f>
        <v/>
      </c>
      <c r="F453">
        <f>IF($V453="","",INDEX('Per Line'!$L$2:$L$1501,$V453)&amp;"")</f>
        <v/>
      </c>
      <c r="G453">
        <f>IF($V453="","",INDEX('Per Line'!$O$2:$O$1501,$V453)&amp;"")</f>
        <v/>
      </c>
      <c r="H453">
        <f>IF($V453="","",INDEX('Per Line'!$P$2:$P$1501,$V453)&amp;"")</f>
        <v/>
      </c>
      <c r="I453">
        <f>IF($V453="","",INDEX('Per Line'!$N$2:$N$1501,$V453)&amp;"")</f>
        <v/>
      </c>
      <c r="J453">
        <f>IF($V453="","",INDEX('Per Line'!$Q$2:$Q$1501,$V453))</f>
        <v/>
      </c>
      <c r="K453" s="7">
        <f>IF($V453="","",J453*T453/100)</f>
        <v/>
      </c>
      <c r="L453">
        <f>IF($V453="","",Settings!$C$7)</f>
        <v/>
      </c>
      <c r="M453" s="7">
        <f>IF($V453="","",SUMIFS('Per Line'!$AC$2:$AC$1501,'Per Line'!$C$2:$C$1501,$C453,'Per Line'!$AK$2:$AK$1501,0))</f>
        <v/>
      </c>
      <c r="N453" s="7">
        <f>IF($V453="","",M453*L453)</f>
        <v/>
      </c>
      <c r="O453">
        <f>IF($V453="","",Settings!$C$6)</f>
        <v/>
      </c>
      <c r="P453" s="7">
        <f>IF($V453="","",SUMIFS('Per Line'!$AC$2:$AC$1501,'Per Line'!$C$2:$C$1501,$C453,'Per Line'!$AK$2:$AK$1501,1))</f>
        <v/>
      </c>
      <c r="Q453" s="7">
        <f>IF($V453="","",P453*O453)</f>
        <v/>
      </c>
      <c r="R453" s="7">
        <f>IF($V453="","",Q453+N453)</f>
        <v/>
      </c>
      <c r="S453" s="7">
        <f>IF($V453="","",T453-R453)</f>
        <v/>
      </c>
      <c r="T453" s="7">
        <f>IF($V453="","",M453+P453)</f>
        <v/>
      </c>
      <c r="U453" s="7">
        <f>IF($V453="","",T453-R453-K453)</f>
        <v/>
      </c>
      <c r="V453" s="13">
        <f>IF(ROWS($V$2:$V453)&lt;=MAX('Per Line'!$AJ$2:$AJ$1501),MATCH(ROWS($V$2:$V453),'Per Line'!$AJ$2:$AJ$1501,0),"")</f>
        <v/>
      </c>
    </row>
    <row r="454">
      <c r="A454" s="12" t="n"/>
      <c r="B454">
        <f>IF($V454="","",INDEX('Per Line'!$A$2:$A$1501,$V454)&amp;"")</f>
        <v/>
      </c>
      <c r="C454">
        <f>IF($V454="","",INDEX('Per Line'!$C$2:$C$1501,$V454)&amp;"")</f>
        <v/>
      </c>
      <c r="D454" s="11">
        <f>IF($V454="","",INDEX('Per Line'!$S$2:$S$1501,$V454))</f>
        <v/>
      </c>
      <c r="E454">
        <f>IF($V454="","",INDEX('Per Line'!$F$2:$F$1501,$V454)&amp;"")</f>
        <v/>
      </c>
      <c r="F454">
        <f>IF($V454="","",INDEX('Per Line'!$L$2:$L$1501,$V454)&amp;"")</f>
        <v/>
      </c>
      <c r="G454">
        <f>IF($V454="","",INDEX('Per Line'!$O$2:$O$1501,$V454)&amp;"")</f>
        <v/>
      </c>
      <c r="H454">
        <f>IF($V454="","",INDEX('Per Line'!$P$2:$P$1501,$V454)&amp;"")</f>
        <v/>
      </c>
      <c r="I454">
        <f>IF($V454="","",INDEX('Per Line'!$N$2:$N$1501,$V454)&amp;"")</f>
        <v/>
      </c>
      <c r="J454">
        <f>IF($V454="","",INDEX('Per Line'!$Q$2:$Q$1501,$V454))</f>
        <v/>
      </c>
      <c r="K454" s="7">
        <f>IF($V454="","",J454*T454/100)</f>
        <v/>
      </c>
      <c r="L454">
        <f>IF($V454="","",Settings!$C$7)</f>
        <v/>
      </c>
      <c r="M454" s="7">
        <f>IF($V454="","",SUMIFS('Per Line'!$AC$2:$AC$1501,'Per Line'!$C$2:$C$1501,$C454,'Per Line'!$AK$2:$AK$1501,0))</f>
        <v/>
      </c>
      <c r="N454" s="7">
        <f>IF($V454="","",M454*L454)</f>
        <v/>
      </c>
      <c r="O454">
        <f>IF($V454="","",Settings!$C$6)</f>
        <v/>
      </c>
      <c r="P454" s="7">
        <f>IF($V454="","",SUMIFS('Per Line'!$AC$2:$AC$1501,'Per Line'!$C$2:$C$1501,$C454,'Per Line'!$AK$2:$AK$1501,1))</f>
        <v/>
      </c>
      <c r="Q454" s="7">
        <f>IF($V454="","",P454*O454)</f>
        <v/>
      </c>
      <c r="R454" s="7">
        <f>IF($V454="","",Q454+N454)</f>
        <v/>
      </c>
      <c r="S454" s="7">
        <f>IF($V454="","",T454-R454)</f>
        <v/>
      </c>
      <c r="T454" s="7">
        <f>IF($V454="","",M454+P454)</f>
        <v/>
      </c>
      <c r="U454" s="7">
        <f>IF($V454="","",T454-R454-K454)</f>
        <v/>
      </c>
      <c r="V454" s="13">
        <f>IF(ROWS($V$2:$V454)&lt;=MAX('Per Line'!$AJ$2:$AJ$1501),MATCH(ROWS($V$2:$V454),'Per Line'!$AJ$2:$AJ$1501,0),"")</f>
        <v/>
      </c>
    </row>
    <row r="455">
      <c r="A455" s="12" t="n"/>
      <c r="B455">
        <f>IF($V455="","",INDEX('Per Line'!$A$2:$A$1501,$V455)&amp;"")</f>
        <v/>
      </c>
      <c r="C455">
        <f>IF($V455="","",INDEX('Per Line'!$C$2:$C$1501,$V455)&amp;"")</f>
        <v/>
      </c>
      <c r="D455" s="11">
        <f>IF($V455="","",INDEX('Per Line'!$S$2:$S$1501,$V455))</f>
        <v/>
      </c>
      <c r="E455">
        <f>IF($V455="","",INDEX('Per Line'!$F$2:$F$1501,$V455)&amp;"")</f>
        <v/>
      </c>
      <c r="F455">
        <f>IF($V455="","",INDEX('Per Line'!$L$2:$L$1501,$V455)&amp;"")</f>
        <v/>
      </c>
      <c r="G455">
        <f>IF($V455="","",INDEX('Per Line'!$O$2:$O$1501,$V455)&amp;"")</f>
        <v/>
      </c>
      <c r="H455">
        <f>IF($V455="","",INDEX('Per Line'!$P$2:$P$1501,$V455)&amp;"")</f>
        <v/>
      </c>
      <c r="I455">
        <f>IF($V455="","",INDEX('Per Line'!$N$2:$N$1501,$V455)&amp;"")</f>
        <v/>
      </c>
      <c r="J455">
        <f>IF($V455="","",INDEX('Per Line'!$Q$2:$Q$1501,$V455))</f>
        <v/>
      </c>
      <c r="K455" s="7">
        <f>IF($V455="","",J455*T455/100)</f>
        <v/>
      </c>
      <c r="L455">
        <f>IF($V455="","",Settings!$C$7)</f>
        <v/>
      </c>
      <c r="M455" s="7">
        <f>IF($V455="","",SUMIFS('Per Line'!$AC$2:$AC$1501,'Per Line'!$C$2:$C$1501,$C455,'Per Line'!$AK$2:$AK$1501,0))</f>
        <v/>
      </c>
      <c r="N455" s="7">
        <f>IF($V455="","",M455*L455)</f>
        <v/>
      </c>
      <c r="O455">
        <f>IF($V455="","",Settings!$C$6)</f>
        <v/>
      </c>
      <c r="P455" s="7">
        <f>IF($V455="","",SUMIFS('Per Line'!$AC$2:$AC$1501,'Per Line'!$C$2:$C$1501,$C455,'Per Line'!$AK$2:$AK$1501,1))</f>
        <v/>
      </c>
      <c r="Q455" s="7">
        <f>IF($V455="","",P455*O455)</f>
        <v/>
      </c>
      <c r="R455" s="7">
        <f>IF($V455="","",Q455+N455)</f>
        <v/>
      </c>
      <c r="S455" s="7">
        <f>IF($V455="","",T455-R455)</f>
        <v/>
      </c>
      <c r="T455" s="7">
        <f>IF($V455="","",M455+P455)</f>
        <v/>
      </c>
      <c r="U455" s="7">
        <f>IF($V455="","",T455-R455-K455)</f>
        <v/>
      </c>
      <c r="V455" s="13">
        <f>IF(ROWS($V$2:$V455)&lt;=MAX('Per Line'!$AJ$2:$AJ$1501),MATCH(ROWS($V$2:$V455),'Per Line'!$AJ$2:$AJ$1501,0),"")</f>
        <v/>
      </c>
    </row>
    <row r="456">
      <c r="A456" s="12" t="n"/>
      <c r="B456">
        <f>IF($V456="","",INDEX('Per Line'!$A$2:$A$1501,$V456)&amp;"")</f>
        <v/>
      </c>
      <c r="C456">
        <f>IF($V456="","",INDEX('Per Line'!$C$2:$C$1501,$V456)&amp;"")</f>
        <v/>
      </c>
      <c r="D456" s="11">
        <f>IF($V456="","",INDEX('Per Line'!$S$2:$S$1501,$V456))</f>
        <v/>
      </c>
      <c r="E456">
        <f>IF($V456="","",INDEX('Per Line'!$F$2:$F$1501,$V456)&amp;"")</f>
        <v/>
      </c>
      <c r="F456">
        <f>IF($V456="","",INDEX('Per Line'!$L$2:$L$1501,$V456)&amp;"")</f>
        <v/>
      </c>
      <c r="G456">
        <f>IF($V456="","",INDEX('Per Line'!$O$2:$O$1501,$V456)&amp;"")</f>
        <v/>
      </c>
      <c r="H456">
        <f>IF($V456="","",INDEX('Per Line'!$P$2:$P$1501,$V456)&amp;"")</f>
        <v/>
      </c>
      <c r="I456">
        <f>IF($V456="","",INDEX('Per Line'!$N$2:$N$1501,$V456)&amp;"")</f>
        <v/>
      </c>
      <c r="J456">
        <f>IF($V456="","",INDEX('Per Line'!$Q$2:$Q$1501,$V456))</f>
        <v/>
      </c>
      <c r="K456" s="7">
        <f>IF($V456="","",J456*T456/100)</f>
        <v/>
      </c>
      <c r="L456">
        <f>IF($V456="","",Settings!$C$7)</f>
        <v/>
      </c>
      <c r="M456" s="7">
        <f>IF($V456="","",SUMIFS('Per Line'!$AC$2:$AC$1501,'Per Line'!$C$2:$C$1501,$C456,'Per Line'!$AK$2:$AK$1501,0))</f>
        <v/>
      </c>
      <c r="N456" s="7">
        <f>IF($V456="","",M456*L456)</f>
        <v/>
      </c>
      <c r="O456">
        <f>IF($V456="","",Settings!$C$6)</f>
        <v/>
      </c>
      <c r="P456" s="7">
        <f>IF($V456="","",SUMIFS('Per Line'!$AC$2:$AC$1501,'Per Line'!$C$2:$C$1501,$C456,'Per Line'!$AK$2:$AK$1501,1))</f>
        <v/>
      </c>
      <c r="Q456" s="7">
        <f>IF($V456="","",P456*O456)</f>
        <v/>
      </c>
      <c r="R456" s="7">
        <f>IF($V456="","",Q456+N456)</f>
        <v/>
      </c>
      <c r="S456" s="7">
        <f>IF($V456="","",T456-R456)</f>
        <v/>
      </c>
      <c r="T456" s="7">
        <f>IF($V456="","",M456+P456)</f>
        <v/>
      </c>
      <c r="U456" s="7">
        <f>IF($V456="","",T456-R456-K456)</f>
        <v/>
      </c>
      <c r="V456" s="13">
        <f>IF(ROWS($V$2:$V456)&lt;=MAX('Per Line'!$AJ$2:$AJ$1501),MATCH(ROWS($V$2:$V456),'Per Line'!$AJ$2:$AJ$1501,0),"")</f>
        <v/>
      </c>
    </row>
    <row r="457">
      <c r="A457" s="12" t="n"/>
      <c r="B457">
        <f>IF($V457="","",INDEX('Per Line'!$A$2:$A$1501,$V457)&amp;"")</f>
        <v/>
      </c>
      <c r="C457">
        <f>IF($V457="","",INDEX('Per Line'!$C$2:$C$1501,$V457)&amp;"")</f>
        <v/>
      </c>
      <c r="D457" s="11">
        <f>IF($V457="","",INDEX('Per Line'!$S$2:$S$1501,$V457))</f>
        <v/>
      </c>
      <c r="E457">
        <f>IF($V457="","",INDEX('Per Line'!$F$2:$F$1501,$V457)&amp;"")</f>
        <v/>
      </c>
      <c r="F457">
        <f>IF($V457="","",INDEX('Per Line'!$L$2:$L$1501,$V457)&amp;"")</f>
        <v/>
      </c>
      <c r="G457">
        <f>IF($V457="","",INDEX('Per Line'!$O$2:$O$1501,$V457)&amp;"")</f>
        <v/>
      </c>
      <c r="H457">
        <f>IF($V457="","",INDEX('Per Line'!$P$2:$P$1501,$V457)&amp;"")</f>
        <v/>
      </c>
      <c r="I457">
        <f>IF($V457="","",INDEX('Per Line'!$N$2:$N$1501,$V457)&amp;"")</f>
        <v/>
      </c>
      <c r="J457">
        <f>IF($V457="","",INDEX('Per Line'!$Q$2:$Q$1501,$V457))</f>
        <v/>
      </c>
      <c r="K457" s="7">
        <f>IF($V457="","",J457*T457/100)</f>
        <v/>
      </c>
      <c r="L457">
        <f>IF($V457="","",Settings!$C$7)</f>
        <v/>
      </c>
      <c r="M457" s="7">
        <f>IF($V457="","",SUMIFS('Per Line'!$AC$2:$AC$1501,'Per Line'!$C$2:$C$1501,$C457,'Per Line'!$AK$2:$AK$1501,0))</f>
        <v/>
      </c>
      <c r="N457" s="7">
        <f>IF($V457="","",M457*L457)</f>
        <v/>
      </c>
      <c r="O457">
        <f>IF($V457="","",Settings!$C$6)</f>
        <v/>
      </c>
      <c r="P457" s="7">
        <f>IF($V457="","",SUMIFS('Per Line'!$AC$2:$AC$1501,'Per Line'!$C$2:$C$1501,$C457,'Per Line'!$AK$2:$AK$1501,1))</f>
        <v/>
      </c>
      <c r="Q457" s="7">
        <f>IF($V457="","",P457*O457)</f>
        <v/>
      </c>
      <c r="R457" s="7">
        <f>IF($V457="","",Q457+N457)</f>
        <v/>
      </c>
      <c r="S457" s="7">
        <f>IF($V457="","",T457-R457)</f>
        <v/>
      </c>
      <c r="T457" s="7">
        <f>IF($V457="","",M457+P457)</f>
        <v/>
      </c>
      <c r="U457" s="7">
        <f>IF($V457="","",T457-R457-K457)</f>
        <v/>
      </c>
      <c r="V457" s="13">
        <f>IF(ROWS($V$2:$V457)&lt;=MAX('Per Line'!$AJ$2:$AJ$1501),MATCH(ROWS($V$2:$V457),'Per Line'!$AJ$2:$AJ$1501,0),"")</f>
        <v/>
      </c>
    </row>
    <row r="458">
      <c r="A458" s="12" t="n"/>
      <c r="B458">
        <f>IF($V458="","",INDEX('Per Line'!$A$2:$A$1501,$V458)&amp;"")</f>
        <v/>
      </c>
      <c r="C458">
        <f>IF($V458="","",INDEX('Per Line'!$C$2:$C$1501,$V458)&amp;"")</f>
        <v/>
      </c>
      <c r="D458" s="11">
        <f>IF($V458="","",INDEX('Per Line'!$S$2:$S$1501,$V458))</f>
        <v/>
      </c>
      <c r="E458">
        <f>IF($V458="","",INDEX('Per Line'!$F$2:$F$1501,$V458)&amp;"")</f>
        <v/>
      </c>
      <c r="F458">
        <f>IF($V458="","",INDEX('Per Line'!$L$2:$L$1501,$V458)&amp;"")</f>
        <v/>
      </c>
      <c r="G458">
        <f>IF($V458="","",INDEX('Per Line'!$O$2:$O$1501,$V458)&amp;"")</f>
        <v/>
      </c>
      <c r="H458">
        <f>IF($V458="","",INDEX('Per Line'!$P$2:$P$1501,$V458)&amp;"")</f>
        <v/>
      </c>
      <c r="I458">
        <f>IF($V458="","",INDEX('Per Line'!$N$2:$N$1501,$V458)&amp;"")</f>
        <v/>
      </c>
      <c r="J458">
        <f>IF($V458="","",INDEX('Per Line'!$Q$2:$Q$1501,$V458))</f>
        <v/>
      </c>
      <c r="K458" s="7">
        <f>IF($V458="","",J458*T458/100)</f>
        <v/>
      </c>
      <c r="L458">
        <f>IF($V458="","",Settings!$C$7)</f>
        <v/>
      </c>
      <c r="M458" s="7">
        <f>IF($V458="","",SUMIFS('Per Line'!$AC$2:$AC$1501,'Per Line'!$C$2:$C$1501,$C458,'Per Line'!$AK$2:$AK$1501,0))</f>
        <v/>
      </c>
      <c r="N458" s="7">
        <f>IF($V458="","",M458*L458)</f>
        <v/>
      </c>
      <c r="O458">
        <f>IF($V458="","",Settings!$C$6)</f>
        <v/>
      </c>
      <c r="P458" s="7">
        <f>IF($V458="","",SUMIFS('Per Line'!$AC$2:$AC$1501,'Per Line'!$C$2:$C$1501,$C458,'Per Line'!$AK$2:$AK$1501,1))</f>
        <v/>
      </c>
      <c r="Q458" s="7">
        <f>IF($V458="","",P458*O458)</f>
        <v/>
      </c>
      <c r="R458" s="7">
        <f>IF($V458="","",Q458+N458)</f>
        <v/>
      </c>
      <c r="S458" s="7">
        <f>IF($V458="","",T458-R458)</f>
        <v/>
      </c>
      <c r="T458" s="7">
        <f>IF($V458="","",M458+P458)</f>
        <v/>
      </c>
      <c r="U458" s="7">
        <f>IF($V458="","",T458-R458-K458)</f>
        <v/>
      </c>
      <c r="V458" s="13">
        <f>IF(ROWS($V$2:$V458)&lt;=MAX('Per Line'!$AJ$2:$AJ$1501),MATCH(ROWS($V$2:$V458),'Per Line'!$AJ$2:$AJ$1501,0),"")</f>
        <v/>
      </c>
    </row>
    <row r="459">
      <c r="A459" s="12" t="n"/>
      <c r="B459">
        <f>IF($V459="","",INDEX('Per Line'!$A$2:$A$1501,$V459)&amp;"")</f>
        <v/>
      </c>
      <c r="C459">
        <f>IF($V459="","",INDEX('Per Line'!$C$2:$C$1501,$V459)&amp;"")</f>
        <v/>
      </c>
      <c r="D459" s="11">
        <f>IF($V459="","",INDEX('Per Line'!$S$2:$S$1501,$V459))</f>
        <v/>
      </c>
      <c r="E459">
        <f>IF($V459="","",INDEX('Per Line'!$F$2:$F$1501,$V459)&amp;"")</f>
        <v/>
      </c>
      <c r="F459">
        <f>IF($V459="","",INDEX('Per Line'!$L$2:$L$1501,$V459)&amp;"")</f>
        <v/>
      </c>
      <c r="G459">
        <f>IF($V459="","",INDEX('Per Line'!$O$2:$O$1501,$V459)&amp;"")</f>
        <v/>
      </c>
      <c r="H459">
        <f>IF($V459="","",INDEX('Per Line'!$P$2:$P$1501,$V459)&amp;"")</f>
        <v/>
      </c>
      <c r="I459">
        <f>IF($V459="","",INDEX('Per Line'!$N$2:$N$1501,$V459)&amp;"")</f>
        <v/>
      </c>
      <c r="J459">
        <f>IF($V459="","",INDEX('Per Line'!$Q$2:$Q$1501,$V459))</f>
        <v/>
      </c>
      <c r="K459" s="7">
        <f>IF($V459="","",J459*T459/100)</f>
        <v/>
      </c>
      <c r="L459">
        <f>IF($V459="","",Settings!$C$7)</f>
        <v/>
      </c>
      <c r="M459" s="7">
        <f>IF($V459="","",SUMIFS('Per Line'!$AC$2:$AC$1501,'Per Line'!$C$2:$C$1501,$C459,'Per Line'!$AK$2:$AK$1501,0))</f>
        <v/>
      </c>
      <c r="N459" s="7">
        <f>IF($V459="","",M459*L459)</f>
        <v/>
      </c>
      <c r="O459">
        <f>IF($V459="","",Settings!$C$6)</f>
        <v/>
      </c>
      <c r="P459" s="7">
        <f>IF($V459="","",SUMIFS('Per Line'!$AC$2:$AC$1501,'Per Line'!$C$2:$C$1501,$C459,'Per Line'!$AK$2:$AK$1501,1))</f>
        <v/>
      </c>
      <c r="Q459" s="7">
        <f>IF($V459="","",P459*O459)</f>
        <v/>
      </c>
      <c r="R459" s="7">
        <f>IF($V459="","",Q459+N459)</f>
        <v/>
      </c>
      <c r="S459" s="7">
        <f>IF($V459="","",T459-R459)</f>
        <v/>
      </c>
      <c r="T459" s="7">
        <f>IF($V459="","",M459+P459)</f>
        <v/>
      </c>
      <c r="U459" s="7">
        <f>IF($V459="","",T459-R459-K459)</f>
        <v/>
      </c>
      <c r="V459" s="13">
        <f>IF(ROWS($V$2:$V459)&lt;=MAX('Per Line'!$AJ$2:$AJ$1501),MATCH(ROWS($V$2:$V459),'Per Line'!$AJ$2:$AJ$1501,0),"")</f>
        <v/>
      </c>
    </row>
    <row r="460">
      <c r="A460" s="12" t="n"/>
      <c r="B460">
        <f>IF($V460="","",INDEX('Per Line'!$A$2:$A$1501,$V460)&amp;"")</f>
        <v/>
      </c>
      <c r="C460">
        <f>IF($V460="","",INDEX('Per Line'!$C$2:$C$1501,$V460)&amp;"")</f>
        <v/>
      </c>
      <c r="D460" s="11">
        <f>IF($V460="","",INDEX('Per Line'!$S$2:$S$1501,$V460))</f>
        <v/>
      </c>
      <c r="E460">
        <f>IF($V460="","",INDEX('Per Line'!$F$2:$F$1501,$V460)&amp;"")</f>
        <v/>
      </c>
      <c r="F460">
        <f>IF($V460="","",INDEX('Per Line'!$L$2:$L$1501,$V460)&amp;"")</f>
        <v/>
      </c>
      <c r="G460">
        <f>IF($V460="","",INDEX('Per Line'!$O$2:$O$1501,$V460)&amp;"")</f>
        <v/>
      </c>
      <c r="H460">
        <f>IF($V460="","",INDEX('Per Line'!$P$2:$P$1501,$V460)&amp;"")</f>
        <v/>
      </c>
      <c r="I460">
        <f>IF($V460="","",INDEX('Per Line'!$N$2:$N$1501,$V460)&amp;"")</f>
        <v/>
      </c>
      <c r="J460">
        <f>IF($V460="","",INDEX('Per Line'!$Q$2:$Q$1501,$V460))</f>
        <v/>
      </c>
      <c r="K460" s="7">
        <f>IF($V460="","",J460*T460/100)</f>
        <v/>
      </c>
      <c r="L460">
        <f>IF($V460="","",Settings!$C$7)</f>
        <v/>
      </c>
      <c r="M460" s="7">
        <f>IF($V460="","",SUMIFS('Per Line'!$AC$2:$AC$1501,'Per Line'!$C$2:$C$1501,$C460,'Per Line'!$AK$2:$AK$1501,0))</f>
        <v/>
      </c>
      <c r="N460" s="7">
        <f>IF($V460="","",M460*L460)</f>
        <v/>
      </c>
      <c r="O460">
        <f>IF($V460="","",Settings!$C$6)</f>
        <v/>
      </c>
      <c r="P460" s="7">
        <f>IF($V460="","",SUMIFS('Per Line'!$AC$2:$AC$1501,'Per Line'!$C$2:$C$1501,$C460,'Per Line'!$AK$2:$AK$1501,1))</f>
        <v/>
      </c>
      <c r="Q460" s="7">
        <f>IF($V460="","",P460*O460)</f>
        <v/>
      </c>
      <c r="R460" s="7">
        <f>IF($V460="","",Q460+N460)</f>
        <v/>
      </c>
      <c r="S460" s="7">
        <f>IF($V460="","",T460-R460)</f>
        <v/>
      </c>
      <c r="T460" s="7">
        <f>IF($V460="","",M460+P460)</f>
        <v/>
      </c>
      <c r="U460" s="7">
        <f>IF($V460="","",T460-R460-K460)</f>
        <v/>
      </c>
      <c r="V460" s="13">
        <f>IF(ROWS($V$2:$V460)&lt;=MAX('Per Line'!$AJ$2:$AJ$1501),MATCH(ROWS($V$2:$V460),'Per Line'!$AJ$2:$AJ$1501,0),"")</f>
        <v/>
      </c>
    </row>
    <row r="461">
      <c r="A461" s="12" t="n"/>
      <c r="B461">
        <f>IF($V461="","",INDEX('Per Line'!$A$2:$A$1501,$V461)&amp;"")</f>
        <v/>
      </c>
      <c r="C461">
        <f>IF($V461="","",INDEX('Per Line'!$C$2:$C$1501,$V461)&amp;"")</f>
        <v/>
      </c>
      <c r="D461" s="11">
        <f>IF($V461="","",INDEX('Per Line'!$S$2:$S$1501,$V461))</f>
        <v/>
      </c>
      <c r="E461">
        <f>IF($V461="","",INDEX('Per Line'!$F$2:$F$1501,$V461)&amp;"")</f>
        <v/>
      </c>
      <c r="F461">
        <f>IF($V461="","",INDEX('Per Line'!$L$2:$L$1501,$V461)&amp;"")</f>
        <v/>
      </c>
      <c r="G461">
        <f>IF($V461="","",INDEX('Per Line'!$O$2:$O$1501,$V461)&amp;"")</f>
        <v/>
      </c>
      <c r="H461">
        <f>IF($V461="","",INDEX('Per Line'!$P$2:$P$1501,$V461)&amp;"")</f>
        <v/>
      </c>
      <c r="I461">
        <f>IF($V461="","",INDEX('Per Line'!$N$2:$N$1501,$V461)&amp;"")</f>
        <v/>
      </c>
      <c r="J461">
        <f>IF($V461="","",INDEX('Per Line'!$Q$2:$Q$1501,$V461))</f>
        <v/>
      </c>
      <c r="K461" s="7">
        <f>IF($V461="","",J461*T461/100)</f>
        <v/>
      </c>
      <c r="L461">
        <f>IF($V461="","",Settings!$C$7)</f>
        <v/>
      </c>
      <c r="M461" s="7">
        <f>IF($V461="","",SUMIFS('Per Line'!$AC$2:$AC$1501,'Per Line'!$C$2:$C$1501,$C461,'Per Line'!$AK$2:$AK$1501,0))</f>
        <v/>
      </c>
      <c r="N461" s="7">
        <f>IF($V461="","",M461*L461)</f>
        <v/>
      </c>
      <c r="O461">
        <f>IF($V461="","",Settings!$C$6)</f>
        <v/>
      </c>
      <c r="P461" s="7">
        <f>IF($V461="","",SUMIFS('Per Line'!$AC$2:$AC$1501,'Per Line'!$C$2:$C$1501,$C461,'Per Line'!$AK$2:$AK$1501,1))</f>
        <v/>
      </c>
      <c r="Q461" s="7">
        <f>IF($V461="","",P461*O461)</f>
        <v/>
      </c>
      <c r="R461" s="7">
        <f>IF($V461="","",Q461+N461)</f>
        <v/>
      </c>
      <c r="S461" s="7">
        <f>IF($V461="","",T461-R461)</f>
        <v/>
      </c>
      <c r="T461" s="7">
        <f>IF($V461="","",M461+P461)</f>
        <v/>
      </c>
      <c r="U461" s="7">
        <f>IF($V461="","",T461-R461-K461)</f>
        <v/>
      </c>
      <c r="V461" s="13">
        <f>IF(ROWS($V$2:$V461)&lt;=MAX('Per Line'!$AJ$2:$AJ$1501),MATCH(ROWS($V$2:$V461),'Per Line'!$AJ$2:$AJ$1501,0),"")</f>
        <v/>
      </c>
    </row>
    <row r="462">
      <c r="A462" s="12" t="n"/>
      <c r="B462">
        <f>IF($V462="","",INDEX('Per Line'!$A$2:$A$1501,$V462)&amp;"")</f>
        <v/>
      </c>
      <c r="C462">
        <f>IF($V462="","",INDEX('Per Line'!$C$2:$C$1501,$V462)&amp;"")</f>
        <v/>
      </c>
      <c r="D462" s="11">
        <f>IF($V462="","",INDEX('Per Line'!$S$2:$S$1501,$V462))</f>
        <v/>
      </c>
      <c r="E462">
        <f>IF($V462="","",INDEX('Per Line'!$F$2:$F$1501,$V462)&amp;"")</f>
        <v/>
      </c>
      <c r="F462">
        <f>IF($V462="","",INDEX('Per Line'!$L$2:$L$1501,$V462)&amp;"")</f>
        <v/>
      </c>
      <c r="G462">
        <f>IF($V462="","",INDEX('Per Line'!$O$2:$O$1501,$V462)&amp;"")</f>
        <v/>
      </c>
      <c r="H462">
        <f>IF($V462="","",INDEX('Per Line'!$P$2:$P$1501,$V462)&amp;"")</f>
        <v/>
      </c>
      <c r="I462">
        <f>IF($V462="","",INDEX('Per Line'!$N$2:$N$1501,$V462)&amp;"")</f>
        <v/>
      </c>
      <c r="J462">
        <f>IF($V462="","",INDEX('Per Line'!$Q$2:$Q$1501,$V462))</f>
        <v/>
      </c>
      <c r="K462" s="7">
        <f>IF($V462="","",J462*T462/100)</f>
        <v/>
      </c>
      <c r="L462">
        <f>IF($V462="","",Settings!$C$7)</f>
        <v/>
      </c>
      <c r="M462" s="7">
        <f>IF($V462="","",SUMIFS('Per Line'!$AC$2:$AC$1501,'Per Line'!$C$2:$C$1501,$C462,'Per Line'!$AK$2:$AK$1501,0))</f>
        <v/>
      </c>
      <c r="N462" s="7">
        <f>IF($V462="","",M462*L462)</f>
        <v/>
      </c>
      <c r="O462">
        <f>IF($V462="","",Settings!$C$6)</f>
        <v/>
      </c>
      <c r="P462" s="7">
        <f>IF($V462="","",SUMIFS('Per Line'!$AC$2:$AC$1501,'Per Line'!$C$2:$C$1501,$C462,'Per Line'!$AK$2:$AK$1501,1))</f>
        <v/>
      </c>
      <c r="Q462" s="7">
        <f>IF($V462="","",P462*O462)</f>
        <v/>
      </c>
      <c r="R462" s="7">
        <f>IF($V462="","",Q462+N462)</f>
        <v/>
      </c>
      <c r="S462" s="7">
        <f>IF($V462="","",T462-R462)</f>
        <v/>
      </c>
      <c r="T462" s="7">
        <f>IF($V462="","",M462+P462)</f>
        <v/>
      </c>
      <c r="U462" s="7">
        <f>IF($V462="","",T462-R462-K462)</f>
        <v/>
      </c>
      <c r="V462" s="13">
        <f>IF(ROWS($V$2:$V462)&lt;=MAX('Per Line'!$AJ$2:$AJ$1501),MATCH(ROWS($V$2:$V462),'Per Line'!$AJ$2:$AJ$1501,0),"")</f>
        <v/>
      </c>
    </row>
    <row r="463">
      <c r="A463" s="12" t="n"/>
      <c r="B463">
        <f>IF($V463="","",INDEX('Per Line'!$A$2:$A$1501,$V463)&amp;"")</f>
        <v/>
      </c>
      <c r="C463">
        <f>IF($V463="","",INDEX('Per Line'!$C$2:$C$1501,$V463)&amp;"")</f>
        <v/>
      </c>
      <c r="D463" s="11">
        <f>IF($V463="","",INDEX('Per Line'!$S$2:$S$1501,$V463))</f>
        <v/>
      </c>
      <c r="E463">
        <f>IF($V463="","",INDEX('Per Line'!$F$2:$F$1501,$V463)&amp;"")</f>
        <v/>
      </c>
      <c r="F463">
        <f>IF($V463="","",INDEX('Per Line'!$L$2:$L$1501,$V463)&amp;"")</f>
        <v/>
      </c>
      <c r="G463">
        <f>IF($V463="","",INDEX('Per Line'!$O$2:$O$1501,$V463)&amp;"")</f>
        <v/>
      </c>
      <c r="H463">
        <f>IF($V463="","",INDEX('Per Line'!$P$2:$P$1501,$V463)&amp;"")</f>
        <v/>
      </c>
      <c r="I463">
        <f>IF($V463="","",INDEX('Per Line'!$N$2:$N$1501,$V463)&amp;"")</f>
        <v/>
      </c>
      <c r="J463">
        <f>IF($V463="","",INDEX('Per Line'!$Q$2:$Q$1501,$V463))</f>
        <v/>
      </c>
      <c r="K463" s="7">
        <f>IF($V463="","",J463*T463/100)</f>
        <v/>
      </c>
      <c r="L463">
        <f>IF($V463="","",Settings!$C$7)</f>
        <v/>
      </c>
      <c r="M463" s="7">
        <f>IF($V463="","",SUMIFS('Per Line'!$AC$2:$AC$1501,'Per Line'!$C$2:$C$1501,$C463,'Per Line'!$AK$2:$AK$1501,0))</f>
        <v/>
      </c>
      <c r="N463" s="7">
        <f>IF($V463="","",M463*L463)</f>
        <v/>
      </c>
      <c r="O463">
        <f>IF($V463="","",Settings!$C$6)</f>
        <v/>
      </c>
      <c r="P463" s="7">
        <f>IF($V463="","",SUMIFS('Per Line'!$AC$2:$AC$1501,'Per Line'!$C$2:$C$1501,$C463,'Per Line'!$AK$2:$AK$1501,1))</f>
        <v/>
      </c>
      <c r="Q463" s="7">
        <f>IF($V463="","",P463*O463)</f>
        <v/>
      </c>
      <c r="R463" s="7">
        <f>IF($V463="","",Q463+N463)</f>
        <v/>
      </c>
      <c r="S463" s="7">
        <f>IF($V463="","",T463-R463)</f>
        <v/>
      </c>
      <c r="T463" s="7">
        <f>IF($V463="","",M463+P463)</f>
        <v/>
      </c>
      <c r="U463" s="7">
        <f>IF($V463="","",T463-R463-K463)</f>
        <v/>
      </c>
      <c r="V463" s="13">
        <f>IF(ROWS($V$2:$V463)&lt;=MAX('Per Line'!$AJ$2:$AJ$1501),MATCH(ROWS($V$2:$V463),'Per Line'!$AJ$2:$AJ$1501,0),"")</f>
        <v/>
      </c>
    </row>
    <row r="464">
      <c r="A464" s="12" t="n"/>
      <c r="B464">
        <f>IF($V464="","",INDEX('Per Line'!$A$2:$A$1501,$V464)&amp;"")</f>
        <v/>
      </c>
      <c r="C464">
        <f>IF($V464="","",INDEX('Per Line'!$C$2:$C$1501,$V464)&amp;"")</f>
        <v/>
      </c>
      <c r="D464" s="11">
        <f>IF($V464="","",INDEX('Per Line'!$S$2:$S$1501,$V464))</f>
        <v/>
      </c>
      <c r="E464">
        <f>IF($V464="","",INDEX('Per Line'!$F$2:$F$1501,$V464)&amp;"")</f>
        <v/>
      </c>
      <c r="F464">
        <f>IF($V464="","",INDEX('Per Line'!$L$2:$L$1501,$V464)&amp;"")</f>
        <v/>
      </c>
      <c r="G464">
        <f>IF($V464="","",INDEX('Per Line'!$O$2:$O$1501,$V464)&amp;"")</f>
        <v/>
      </c>
      <c r="H464">
        <f>IF($V464="","",INDEX('Per Line'!$P$2:$P$1501,$V464)&amp;"")</f>
        <v/>
      </c>
      <c r="I464">
        <f>IF($V464="","",INDEX('Per Line'!$N$2:$N$1501,$V464)&amp;"")</f>
        <v/>
      </c>
      <c r="J464">
        <f>IF($V464="","",INDEX('Per Line'!$Q$2:$Q$1501,$V464))</f>
        <v/>
      </c>
      <c r="K464" s="7">
        <f>IF($V464="","",J464*T464/100)</f>
        <v/>
      </c>
      <c r="L464">
        <f>IF($V464="","",Settings!$C$7)</f>
        <v/>
      </c>
      <c r="M464" s="7">
        <f>IF($V464="","",SUMIFS('Per Line'!$AC$2:$AC$1501,'Per Line'!$C$2:$C$1501,$C464,'Per Line'!$AK$2:$AK$1501,0))</f>
        <v/>
      </c>
      <c r="N464" s="7">
        <f>IF($V464="","",M464*L464)</f>
        <v/>
      </c>
      <c r="O464">
        <f>IF($V464="","",Settings!$C$6)</f>
        <v/>
      </c>
      <c r="P464" s="7">
        <f>IF($V464="","",SUMIFS('Per Line'!$AC$2:$AC$1501,'Per Line'!$C$2:$C$1501,$C464,'Per Line'!$AK$2:$AK$1501,1))</f>
        <v/>
      </c>
      <c r="Q464" s="7">
        <f>IF($V464="","",P464*O464)</f>
        <v/>
      </c>
      <c r="R464" s="7">
        <f>IF($V464="","",Q464+N464)</f>
        <v/>
      </c>
      <c r="S464" s="7">
        <f>IF($V464="","",T464-R464)</f>
        <v/>
      </c>
      <c r="T464" s="7">
        <f>IF($V464="","",M464+P464)</f>
        <v/>
      </c>
      <c r="U464" s="7">
        <f>IF($V464="","",T464-R464-K464)</f>
        <v/>
      </c>
      <c r="V464" s="13">
        <f>IF(ROWS($V$2:$V464)&lt;=MAX('Per Line'!$AJ$2:$AJ$1501),MATCH(ROWS($V$2:$V464),'Per Line'!$AJ$2:$AJ$1501,0),"")</f>
        <v/>
      </c>
    </row>
    <row r="465">
      <c r="A465" s="12" t="n"/>
      <c r="B465">
        <f>IF($V465="","",INDEX('Per Line'!$A$2:$A$1501,$V465)&amp;"")</f>
        <v/>
      </c>
      <c r="C465">
        <f>IF($V465="","",INDEX('Per Line'!$C$2:$C$1501,$V465)&amp;"")</f>
        <v/>
      </c>
      <c r="D465" s="11">
        <f>IF($V465="","",INDEX('Per Line'!$S$2:$S$1501,$V465))</f>
        <v/>
      </c>
      <c r="E465">
        <f>IF($V465="","",INDEX('Per Line'!$F$2:$F$1501,$V465)&amp;"")</f>
        <v/>
      </c>
      <c r="F465">
        <f>IF($V465="","",INDEX('Per Line'!$L$2:$L$1501,$V465)&amp;"")</f>
        <v/>
      </c>
      <c r="G465">
        <f>IF($V465="","",INDEX('Per Line'!$O$2:$O$1501,$V465)&amp;"")</f>
        <v/>
      </c>
      <c r="H465">
        <f>IF($V465="","",INDEX('Per Line'!$P$2:$P$1501,$V465)&amp;"")</f>
        <v/>
      </c>
      <c r="I465">
        <f>IF($V465="","",INDEX('Per Line'!$N$2:$N$1501,$V465)&amp;"")</f>
        <v/>
      </c>
      <c r="J465">
        <f>IF($V465="","",INDEX('Per Line'!$Q$2:$Q$1501,$V465))</f>
        <v/>
      </c>
      <c r="K465" s="7">
        <f>IF($V465="","",J465*T465/100)</f>
        <v/>
      </c>
      <c r="L465">
        <f>IF($V465="","",Settings!$C$7)</f>
        <v/>
      </c>
      <c r="M465" s="7">
        <f>IF($V465="","",SUMIFS('Per Line'!$AC$2:$AC$1501,'Per Line'!$C$2:$C$1501,$C465,'Per Line'!$AK$2:$AK$1501,0))</f>
        <v/>
      </c>
      <c r="N465" s="7">
        <f>IF($V465="","",M465*L465)</f>
        <v/>
      </c>
      <c r="O465">
        <f>IF($V465="","",Settings!$C$6)</f>
        <v/>
      </c>
      <c r="P465" s="7">
        <f>IF($V465="","",SUMIFS('Per Line'!$AC$2:$AC$1501,'Per Line'!$C$2:$C$1501,$C465,'Per Line'!$AK$2:$AK$1501,1))</f>
        <v/>
      </c>
      <c r="Q465" s="7">
        <f>IF($V465="","",P465*O465)</f>
        <v/>
      </c>
      <c r="R465" s="7">
        <f>IF($V465="","",Q465+N465)</f>
        <v/>
      </c>
      <c r="S465" s="7">
        <f>IF($V465="","",T465-R465)</f>
        <v/>
      </c>
      <c r="T465" s="7">
        <f>IF($V465="","",M465+P465)</f>
        <v/>
      </c>
      <c r="U465" s="7">
        <f>IF($V465="","",T465-R465-K465)</f>
        <v/>
      </c>
      <c r="V465" s="13">
        <f>IF(ROWS($V$2:$V465)&lt;=MAX('Per Line'!$AJ$2:$AJ$1501),MATCH(ROWS($V$2:$V465),'Per Line'!$AJ$2:$AJ$1501,0),"")</f>
        <v/>
      </c>
    </row>
    <row r="466">
      <c r="A466" s="12" t="n"/>
      <c r="B466">
        <f>IF($V466="","",INDEX('Per Line'!$A$2:$A$1501,$V466)&amp;"")</f>
        <v/>
      </c>
      <c r="C466">
        <f>IF($V466="","",INDEX('Per Line'!$C$2:$C$1501,$V466)&amp;"")</f>
        <v/>
      </c>
      <c r="D466" s="11">
        <f>IF($V466="","",INDEX('Per Line'!$S$2:$S$1501,$V466))</f>
        <v/>
      </c>
      <c r="E466">
        <f>IF($V466="","",INDEX('Per Line'!$F$2:$F$1501,$V466)&amp;"")</f>
        <v/>
      </c>
      <c r="F466">
        <f>IF($V466="","",INDEX('Per Line'!$L$2:$L$1501,$V466)&amp;"")</f>
        <v/>
      </c>
      <c r="G466">
        <f>IF($V466="","",INDEX('Per Line'!$O$2:$O$1501,$V466)&amp;"")</f>
        <v/>
      </c>
      <c r="H466">
        <f>IF($V466="","",INDEX('Per Line'!$P$2:$P$1501,$V466)&amp;"")</f>
        <v/>
      </c>
      <c r="I466">
        <f>IF($V466="","",INDEX('Per Line'!$N$2:$N$1501,$V466)&amp;"")</f>
        <v/>
      </c>
      <c r="J466">
        <f>IF($V466="","",INDEX('Per Line'!$Q$2:$Q$1501,$V466))</f>
        <v/>
      </c>
      <c r="K466" s="7">
        <f>IF($V466="","",J466*T466/100)</f>
        <v/>
      </c>
      <c r="L466">
        <f>IF($V466="","",Settings!$C$7)</f>
        <v/>
      </c>
      <c r="M466" s="7">
        <f>IF($V466="","",SUMIFS('Per Line'!$AC$2:$AC$1501,'Per Line'!$C$2:$C$1501,$C466,'Per Line'!$AK$2:$AK$1501,0))</f>
        <v/>
      </c>
      <c r="N466" s="7">
        <f>IF($V466="","",M466*L466)</f>
        <v/>
      </c>
      <c r="O466">
        <f>IF($V466="","",Settings!$C$6)</f>
        <v/>
      </c>
      <c r="P466" s="7">
        <f>IF($V466="","",SUMIFS('Per Line'!$AC$2:$AC$1501,'Per Line'!$C$2:$C$1501,$C466,'Per Line'!$AK$2:$AK$1501,1))</f>
        <v/>
      </c>
      <c r="Q466" s="7">
        <f>IF($V466="","",P466*O466)</f>
        <v/>
      </c>
      <c r="R466" s="7">
        <f>IF($V466="","",Q466+N466)</f>
        <v/>
      </c>
      <c r="S466" s="7">
        <f>IF($V466="","",T466-R466)</f>
        <v/>
      </c>
      <c r="T466" s="7">
        <f>IF($V466="","",M466+P466)</f>
        <v/>
      </c>
      <c r="U466" s="7">
        <f>IF($V466="","",T466-R466-K466)</f>
        <v/>
      </c>
      <c r="V466" s="13">
        <f>IF(ROWS($V$2:$V466)&lt;=MAX('Per Line'!$AJ$2:$AJ$1501),MATCH(ROWS($V$2:$V466),'Per Line'!$AJ$2:$AJ$1501,0),"")</f>
        <v/>
      </c>
    </row>
    <row r="467">
      <c r="A467" s="12" t="n"/>
      <c r="B467">
        <f>IF($V467="","",INDEX('Per Line'!$A$2:$A$1501,$V467)&amp;"")</f>
        <v/>
      </c>
      <c r="C467">
        <f>IF($V467="","",INDEX('Per Line'!$C$2:$C$1501,$V467)&amp;"")</f>
        <v/>
      </c>
      <c r="D467" s="11">
        <f>IF($V467="","",INDEX('Per Line'!$S$2:$S$1501,$V467))</f>
        <v/>
      </c>
      <c r="E467">
        <f>IF($V467="","",INDEX('Per Line'!$F$2:$F$1501,$V467)&amp;"")</f>
        <v/>
      </c>
      <c r="F467">
        <f>IF($V467="","",INDEX('Per Line'!$L$2:$L$1501,$V467)&amp;"")</f>
        <v/>
      </c>
      <c r="G467">
        <f>IF($V467="","",INDEX('Per Line'!$O$2:$O$1501,$V467)&amp;"")</f>
        <v/>
      </c>
      <c r="H467">
        <f>IF($V467="","",INDEX('Per Line'!$P$2:$P$1501,$V467)&amp;"")</f>
        <v/>
      </c>
      <c r="I467">
        <f>IF($V467="","",INDEX('Per Line'!$N$2:$N$1501,$V467)&amp;"")</f>
        <v/>
      </c>
      <c r="J467">
        <f>IF($V467="","",INDEX('Per Line'!$Q$2:$Q$1501,$V467))</f>
        <v/>
      </c>
      <c r="K467" s="7">
        <f>IF($V467="","",J467*T467/100)</f>
        <v/>
      </c>
      <c r="L467">
        <f>IF($V467="","",Settings!$C$7)</f>
        <v/>
      </c>
      <c r="M467" s="7">
        <f>IF($V467="","",SUMIFS('Per Line'!$AC$2:$AC$1501,'Per Line'!$C$2:$C$1501,$C467,'Per Line'!$AK$2:$AK$1501,0))</f>
        <v/>
      </c>
      <c r="N467" s="7">
        <f>IF($V467="","",M467*L467)</f>
        <v/>
      </c>
      <c r="O467">
        <f>IF($V467="","",Settings!$C$6)</f>
        <v/>
      </c>
      <c r="P467" s="7">
        <f>IF($V467="","",SUMIFS('Per Line'!$AC$2:$AC$1501,'Per Line'!$C$2:$C$1501,$C467,'Per Line'!$AK$2:$AK$1501,1))</f>
        <v/>
      </c>
      <c r="Q467" s="7">
        <f>IF($V467="","",P467*O467)</f>
        <v/>
      </c>
      <c r="R467" s="7">
        <f>IF($V467="","",Q467+N467)</f>
        <v/>
      </c>
      <c r="S467" s="7">
        <f>IF($V467="","",T467-R467)</f>
        <v/>
      </c>
      <c r="T467" s="7">
        <f>IF($V467="","",M467+P467)</f>
        <v/>
      </c>
      <c r="U467" s="7">
        <f>IF($V467="","",T467-R467-K467)</f>
        <v/>
      </c>
      <c r="V467" s="13">
        <f>IF(ROWS($V$2:$V467)&lt;=MAX('Per Line'!$AJ$2:$AJ$1501),MATCH(ROWS($V$2:$V467),'Per Line'!$AJ$2:$AJ$1501,0),"")</f>
        <v/>
      </c>
    </row>
    <row r="468">
      <c r="A468" s="12" t="n"/>
      <c r="B468">
        <f>IF($V468="","",INDEX('Per Line'!$A$2:$A$1501,$V468)&amp;"")</f>
        <v/>
      </c>
      <c r="C468">
        <f>IF($V468="","",INDEX('Per Line'!$C$2:$C$1501,$V468)&amp;"")</f>
        <v/>
      </c>
      <c r="D468" s="11">
        <f>IF($V468="","",INDEX('Per Line'!$S$2:$S$1501,$V468))</f>
        <v/>
      </c>
      <c r="E468">
        <f>IF($V468="","",INDEX('Per Line'!$F$2:$F$1501,$V468)&amp;"")</f>
        <v/>
      </c>
      <c r="F468">
        <f>IF($V468="","",INDEX('Per Line'!$L$2:$L$1501,$V468)&amp;"")</f>
        <v/>
      </c>
      <c r="G468">
        <f>IF($V468="","",INDEX('Per Line'!$O$2:$O$1501,$V468)&amp;"")</f>
        <v/>
      </c>
      <c r="H468">
        <f>IF($V468="","",INDEX('Per Line'!$P$2:$P$1501,$V468)&amp;"")</f>
        <v/>
      </c>
      <c r="I468">
        <f>IF($V468="","",INDEX('Per Line'!$N$2:$N$1501,$V468)&amp;"")</f>
        <v/>
      </c>
      <c r="J468">
        <f>IF($V468="","",INDEX('Per Line'!$Q$2:$Q$1501,$V468))</f>
        <v/>
      </c>
      <c r="K468" s="7">
        <f>IF($V468="","",J468*T468/100)</f>
        <v/>
      </c>
      <c r="L468">
        <f>IF($V468="","",Settings!$C$7)</f>
        <v/>
      </c>
      <c r="M468" s="7">
        <f>IF($V468="","",SUMIFS('Per Line'!$AC$2:$AC$1501,'Per Line'!$C$2:$C$1501,$C468,'Per Line'!$AK$2:$AK$1501,0))</f>
        <v/>
      </c>
      <c r="N468" s="7">
        <f>IF($V468="","",M468*L468)</f>
        <v/>
      </c>
      <c r="O468">
        <f>IF($V468="","",Settings!$C$6)</f>
        <v/>
      </c>
      <c r="P468" s="7">
        <f>IF($V468="","",SUMIFS('Per Line'!$AC$2:$AC$1501,'Per Line'!$C$2:$C$1501,$C468,'Per Line'!$AK$2:$AK$1501,1))</f>
        <v/>
      </c>
      <c r="Q468" s="7">
        <f>IF($V468="","",P468*O468)</f>
        <v/>
      </c>
      <c r="R468" s="7">
        <f>IF($V468="","",Q468+N468)</f>
        <v/>
      </c>
      <c r="S468" s="7">
        <f>IF($V468="","",T468-R468)</f>
        <v/>
      </c>
      <c r="T468" s="7">
        <f>IF($V468="","",M468+P468)</f>
        <v/>
      </c>
      <c r="U468" s="7">
        <f>IF($V468="","",T468-R468-K468)</f>
        <v/>
      </c>
      <c r="V468" s="13">
        <f>IF(ROWS($V$2:$V468)&lt;=MAX('Per Line'!$AJ$2:$AJ$1501),MATCH(ROWS($V$2:$V468),'Per Line'!$AJ$2:$AJ$1501,0),"")</f>
        <v/>
      </c>
    </row>
    <row r="469">
      <c r="A469" s="12" t="n"/>
      <c r="B469">
        <f>IF($V469="","",INDEX('Per Line'!$A$2:$A$1501,$V469)&amp;"")</f>
        <v/>
      </c>
      <c r="C469">
        <f>IF($V469="","",INDEX('Per Line'!$C$2:$C$1501,$V469)&amp;"")</f>
        <v/>
      </c>
      <c r="D469" s="11">
        <f>IF($V469="","",INDEX('Per Line'!$S$2:$S$1501,$V469))</f>
        <v/>
      </c>
      <c r="E469">
        <f>IF($V469="","",INDEX('Per Line'!$F$2:$F$1501,$V469)&amp;"")</f>
        <v/>
      </c>
      <c r="F469">
        <f>IF($V469="","",INDEX('Per Line'!$L$2:$L$1501,$V469)&amp;"")</f>
        <v/>
      </c>
      <c r="G469">
        <f>IF($V469="","",INDEX('Per Line'!$O$2:$O$1501,$V469)&amp;"")</f>
        <v/>
      </c>
      <c r="H469">
        <f>IF($V469="","",INDEX('Per Line'!$P$2:$P$1501,$V469)&amp;"")</f>
        <v/>
      </c>
      <c r="I469">
        <f>IF($V469="","",INDEX('Per Line'!$N$2:$N$1501,$V469)&amp;"")</f>
        <v/>
      </c>
      <c r="J469">
        <f>IF($V469="","",INDEX('Per Line'!$Q$2:$Q$1501,$V469))</f>
        <v/>
      </c>
      <c r="K469" s="7">
        <f>IF($V469="","",J469*T469/100)</f>
        <v/>
      </c>
      <c r="L469">
        <f>IF($V469="","",Settings!$C$7)</f>
        <v/>
      </c>
      <c r="M469" s="7">
        <f>IF($V469="","",SUMIFS('Per Line'!$AC$2:$AC$1501,'Per Line'!$C$2:$C$1501,$C469,'Per Line'!$AK$2:$AK$1501,0))</f>
        <v/>
      </c>
      <c r="N469" s="7">
        <f>IF($V469="","",M469*L469)</f>
        <v/>
      </c>
      <c r="O469">
        <f>IF($V469="","",Settings!$C$6)</f>
        <v/>
      </c>
      <c r="P469" s="7">
        <f>IF($V469="","",SUMIFS('Per Line'!$AC$2:$AC$1501,'Per Line'!$C$2:$C$1501,$C469,'Per Line'!$AK$2:$AK$1501,1))</f>
        <v/>
      </c>
      <c r="Q469" s="7">
        <f>IF($V469="","",P469*O469)</f>
        <v/>
      </c>
      <c r="R469" s="7">
        <f>IF($V469="","",Q469+N469)</f>
        <v/>
      </c>
      <c r="S469" s="7">
        <f>IF($V469="","",T469-R469)</f>
        <v/>
      </c>
      <c r="T469" s="7">
        <f>IF($V469="","",M469+P469)</f>
        <v/>
      </c>
      <c r="U469" s="7">
        <f>IF($V469="","",T469-R469-K469)</f>
        <v/>
      </c>
      <c r="V469" s="13">
        <f>IF(ROWS($V$2:$V469)&lt;=MAX('Per Line'!$AJ$2:$AJ$1501),MATCH(ROWS($V$2:$V469),'Per Line'!$AJ$2:$AJ$1501,0),"")</f>
        <v/>
      </c>
    </row>
    <row r="470">
      <c r="A470" s="12" t="n"/>
      <c r="B470">
        <f>IF($V470="","",INDEX('Per Line'!$A$2:$A$1501,$V470)&amp;"")</f>
        <v/>
      </c>
      <c r="C470">
        <f>IF($V470="","",INDEX('Per Line'!$C$2:$C$1501,$V470)&amp;"")</f>
        <v/>
      </c>
      <c r="D470" s="11">
        <f>IF($V470="","",INDEX('Per Line'!$S$2:$S$1501,$V470))</f>
        <v/>
      </c>
      <c r="E470">
        <f>IF($V470="","",INDEX('Per Line'!$F$2:$F$1501,$V470)&amp;"")</f>
        <v/>
      </c>
      <c r="F470">
        <f>IF($V470="","",INDEX('Per Line'!$L$2:$L$1501,$V470)&amp;"")</f>
        <v/>
      </c>
      <c r="G470">
        <f>IF($V470="","",INDEX('Per Line'!$O$2:$O$1501,$V470)&amp;"")</f>
        <v/>
      </c>
      <c r="H470">
        <f>IF($V470="","",INDEX('Per Line'!$P$2:$P$1501,$V470)&amp;"")</f>
        <v/>
      </c>
      <c r="I470">
        <f>IF($V470="","",INDEX('Per Line'!$N$2:$N$1501,$V470)&amp;"")</f>
        <v/>
      </c>
      <c r="J470">
        <f>IF($V470="","",INDEX('Per Line'!$Q$2:$Q$1501,$V470))</f>
        <v/>
      </c>
      <c r="K470" s="7">
        <f>IF($V470="","",J470*T470/100)</f>
        <v/>
      </c>
      <c r="L470">
        <f>IF($V470="","",Settings!$C$7)</f>
        <v/>
      </c>
      <c r="M470" s="7">
        <f>IF($V470="","",SUMIFS('Per Line'!$AC$2:$AC$1501,'Per Line'!$C$2:$C$1501,$C470,'Per Line'!$AK$2:$AK$1501,0))</f>
        <v/>
      </c>
      <c r="N470" s="7">
        <f>IF($V470="","",M470*L470)</f>
        <v/>
      </c>
      <c r="O470">
        <f>IF($V470="","",Settings!$C$6)</f>
        <v/>
      </c>
      <c r="P470" s="7">
        <f>IF($V470="","",SUMIFS('Per Line'!$AC$2:$AC$1501,'Per Line'!$C$2:$C$1501,$C470,'Per Line'!$AK$2:$AK$1501,1))</f>
        <v/>
      </c>
      <c r="Q470" s="7">
        <f>IF($V470="","",P470*O470)</f>
        <v/>
      </c>
      <c r="R470" s="7">
        <f>IF($V470="","",Q470+N470)</f>
        <v/>
      </c>
      <c r="S470" s="7">
        <f>IF($V470="","",T470-R470)</f>
        <v/>
      </c>
      <c r="T470" s="7">
        <f>IF($V470="","",M470+P470)</f>
        <v/>
      </c>
      <c r="U470" s="7">
        <f>IF($V470="","",T470-R470-K470)</f>
        <v/>
      </c>
      <c r="V470" s="13">
        <f>IF(ROWS($V$2:$V470)&lt;=MAX('Per Line'!$AJ$2:$AJ$1501),MATCH(ROWS($V$2:$V470),'Per Line'!$AJ$2:$AJ$1501,0),"")</f>
        <v/>
      </c>
    </row>
    <row r="471">
      <c r="A471" s="12" t="n"/>
      <c r="B471">
        <f>IF($V471="","",INDEX('Per Line'!$A$2:$A$1501,$V471)&amp;"")</f>
        <v/>
      </c>
      <c r="C471">
        <f>IF($V471="","",INDEX('Per Line'!$C$2:$C$1501,$V471)&amp;"")</f>
        <v/>
      </c>
      <c r="D471" s="11">
        <f>IF($V471="","",INDEX('Per Line'!$S$2:$S$1501,$V471))</f>
        <v/>
      </c>
      <c r="E471">
        <f>IF($V471="","",INDEX('Per Line'!$F$2:$F$1501,$V471)&amp;"")</f>
        <v/>
      </c>
      <c r="F471">
        <f>IF($V471="","",INDEX('Per Line'!$L$2:$L$1501,$V471)&amp;"")</f>
        <v/>
      </c>
      <c r="G471">
        <f>IF($V471="","",INDEX('Per Line'!$O$2:$O$1501,$V471)&amp;"")</f>
        <v/>
      </c>
      <c r="H471">
        <f>IF($V471="","",INDEX('Per Line'!$P$2:$P$1501,$V471)&amp;"")</f>
        <v/>
      </c>
      <c r="I471">
        <f>IF($V471="","",INDEX('Per Line'!$N$2:$N$1501,$V471)&amp;"")</f>
        <v/>
      </c>
      <c r="J471">
        <f>IF($V471="","",INDEX('Per Line'!$Q$2:$Q$1501,$V471))</f>
        <v/>
      </c>
      <c r="K471" s="7">
        <f>IF($V471="","",J471*T471/100)</f>
        <v/>
      </c>
      <c r="L471">
        <f>IF($V471="","",Settings!$C$7)</f>
        <v/>
      </c>
      <c r="M471" s="7">
        <f>IF($V471="","",SUMIFS('Per Line'!$AC$2:$AC$1501,'Per Line'!$C$2:$C$1501,$C471,'Per Line'!$AK$2:$AK$1501,0))</f>
        <v/>
      </c>
      <c r="N471" s="7">
        <f>IF($V471="","",M471*L471)</f>
        <v/>
      </c>
      <c r="O471">
        <f>IF($V471="","",Settings!$C$6)</f>
        <v/>
      </c>
      <c r="P471" s="7">
        <f>IF($V471="","",SUMIFS('Per Line'!$AC$2:$AC$1501,'Per Line'!$C$2:$C$1501,$C471,'Per Line'!$AK$2:$AK$1501,1))</f>
        <v/>
      </c>
      <c r="Q471" s="7">
        <f>IF($V471="","",P471*O471)</f>
        <v/>
      </c>
      <c r="R471" s="7">
        <f>IF($V471="","",Q471+N471)</f>
        <v/>
      </c>
      <c r="S471" s="7">
        <f>IF($V471="","",T471-R471)</f>
        <v/>
      </c>
      <c r="T471" s="7">
        <f>IF($V471="","",M471+P471)</f>
        <v/>
      </c>
      <c r="U471" s="7">
        <f>IF($V471="","",T471-R471-K471)</f>
        <v/>
      </c>
      <c r="V471" s="13">
        <f>IF(ROWS($V$2:$V471)&lt;=MAX('Per Line'!$AJ$2:$AJ$1501),MATCH(ROWS($V$2:$V471),'Per Line'!$AJ$2:$AJ$1501,0),"")</f>
        <v/>
      </c>
    </row>
    <row r="472">
      <c r="A472" s="12" t="n"/>
      <c r="B472">
        <f>IF($V472="","",INDEX('Per Line'!$A$2:$A$1501,$V472)&amp;"")</f>
        <v/>
      </c>
      <c r="C472">
        <f>IF($V472="","",INDEX('Per Line'!$C$2:$C$1501,$V472)&amp;"")</f>
        <v/>
      </c>
      <c r="D472" s="11">
        <f>IF($V472="","",INDEX('Per Line'!$S$2:$S$1501,$V472))</f>
        <v/>
      </c>
      <c r="E472">
        <f>IF($V472="","",INDEX('Per Line'!$F$2:$F$1501,$V472)&amp;"")</f>
        <v/>
      </c>
      <c r="F472">
        <f>IF($V472="","",INDEX('Per Line'!$L$2:$L$1501,$V472)&amp;"")</f>
        <v/>
      </c>
      <c r="G472">
        <f>IF($V472="","",INDEX('Per Line'!$O$2:$O$1501,$V472)&amp;"")</f>
        <v/>
      </c>
      <c r="H472">
        <f>IF($V472="","",INDEX('Per Line'!$P$2:$P$1501,$V472)&amp;"")</f>
        <v/>
      </c>
      <c r="I472">
        <f>IF($V472="","",INDEX('Per Line'!$N$2:$N$1501,$V472)&amp;"")</f>
        <v/>
      </c>
      <c r="J472">
        <f>IF($V472="","",INDEX('Per Line'!$Q$2:$Q$1501,$V472))</f>
        <v/>
      </c>
      <c r="K472" s="7">
        <f>IF($V472="","",J472*T472/100)</f>
        <v/>
      </c>
      <c r="L472">
        <f>IF($V472="","",Settings!$C$7)</f>
        <v/>
      </c>
      <c r="M472" s="7">
        <f>IF($V472="","",SUMIFS('Per Line'!$AC$2:$AC$1501,'Per Line'!$C$2:$C$1501,$C472,'Per Line'!$AK$2:$AK$1501,0))</f>
        <v/>
      </c>
      <c r="N472" s="7">
        <f>IF($V472="","",M472*L472)</f>
        <v/>
      </c>
      <c r="O472">
        <f>IF($V472="","",Settings!$C$6)</f>
        <v/>
      </c>
      <c r="P472" s="7">
        <f>IF($V472="","",SUMIFS('Per Line'!$AC$2:$AC$1501,'Per Line'!$C$2:$C$1501,$C472,'Per Line'!$AK$2:$AK$1501,1))</f>
        <v/>
      </c>
      <c r="Q472" s="7">
        <f>IF($V472="","",P472*O472)</f>
        <v/>
      </c>
      <c r="R472" s="7">
        <f>IF($V472="","",Q472+N472)</f>
        <v/>
      </c>
      <c r="S472" s="7">
        <f>IF($V472="","",T472-R472)</f>
        <v/>
      </c>
      <c r="T472" s="7">
        <f>IF($V472="","",M472+P472)</f>
        <v/>
      </c>
      <c r="U472" s="7">
        <f>IF($V472="","",T472-R472-K472)</f>
        <v/>
      </c>
      <c r="V472" s="13">
        <f>IF(ROWS($V$2:$V472)&lt;=MAX('Per Line'!$AJ$2:$AJ$1501),MATCH(ROWS($V$2:$V472),'Per Line'!$AJ$2:$AJ$1501,0),"")</f>
        <v/>
      </c>
    </row>
    <row r="473">
      <c r="A473" s="12" t="n"/>
      <c r="B473">
        <f>IF($V473="","",INDEX('Per Line'!$A$2:$A$1501,$V473)&amp;"")</f>
        <v/>
      </c>
      <c r="C473">
        <f>IF($V473="","",INDEX('Per Line'!$C$2:$C$1501,$V473)&amp;"")</f>
        <v/>
      </c>
      <c r="D473" s="11">
        <f>IF($V473="","",INDEX('Per Line'!$S$2:$S$1501,$V473))</f>
        <v/>
      </c>
      <c r="E473">
        <f>IF($V473="","",INDEX('Per Line'!$F$2:$F$1501,$V473)&amp;"")</f>
        <v/>
      </c>
      <c r="F473">
        <f>IF($V473="","",INDEX('Per Line'!$L$2:$L$1501,$V473)&amp;"")</f>
        <v/>
      </c>
      <c r="G473">
        <f>IF($V473="","",INDEX('Per Line'!$O$2:$O$1501,$V473)&amp;"")</f>
        <v/>
      </c>
      <c r="H473">
        <f>IF($V473="","",INDEX('Per Line'!$P$2:$P$1501,$V473)&amp;"")</f>
        <v/>
      </c>
      <c r="I473">
        <f>IF($V473="","",INDEX('Per Line'!$N$2:$N$1501,$V473)&amp;"")</f>
        <v/>
      </c>
      <c r="J473">
        <f>IF($V473="","",INDEX('Per Line'!$Q$2:$Q$1501,$V473))</f>
        <v/>
      </c>
      <c r="K473" s="7">
        <f>IF($V473="","",J473*T473/100)</f>
        <v/>
      </c>
      <c r="L473">
        <f>IF($V473="","",Settings!$C$7)</f>
        <v/>
      </c>
      <c r="M473" s="7">
        <f>IF($V473="","",SUMIFS('Per Line'!$AC$2:$AC$1501,'Per Line'!$C$2:$C$1501,$C473,'Per Line'!$AK$2:$AK$1501,0))</f>
        <v/>
      </c>
      <c r="N473" s="7">
        <f>IF($V473="","",M473*L473)</f>
        <v/>
      </c>
      <c r="O473">
        <f>IF($V473="","",Settings!$C$6)</f>
        <v/>
      </c>
      <c r="P473" s="7">
        <f>IF($V473="","",SUMIFS('Per Line'!$AC$2:$AC$1501,'Per Line'!$C$2:$C$1501,$C473,'Per Line'!$AK$2:$AK$1501,1))</f>
        <v/>
      </c>
      <c r="Q473" s="7">
        <f>IF($V473="","",P473*O473)</f>
        <v/>
      </c>
      <c r="R473" s="7">
        <f>IF($V473="","",Q473+N473)</f>
        <v/>
      </c>
      <c r="S473" s="7">
        <f>IF($V473="","",T473-R473)</f>
        <v/>
      </c>
      <c r="T473" s="7">
        <f>IF($V473="","",M473+P473)</f>
        <v/>
      </c>
      <c r="U473" s="7">
        <f>IF($V473="","",T473-R473-K473)</f>
        <v/>
      </c>
      <c r="V473" s="13">
        <f>IF(ROWS($V$2:$V473)&lt;=MAX('Per Line'!$AJ$2:$AJ$1501),MATCH(ROWS($V$2:$V473),'Per Line'!$AJ$2:$AJ$1501,0),"")</f>
        <v/>
      </c>
    </row>
    <row r="474">
      <c r="A474" s="12" t="n"/>
      <c r="B474">
        <f>IF($V474="","",INDEX('Per Line'!$A$2:$A$1501,$V474)&amp;"")</f>
        <v/>
      </c>
      <c r="C474">
        <f>IF($V474="","",INDEX('Per Line'!$C$2:$C$1501,$V474)&amp;"")</f>
        <v/>
      </c>
      <c r="D474" s="11">
        <f>IF($V474="","",INDEX('Per Line'!$S$2:$S$1501,$V474))</f>
        <v/>
      </c>
      <c r="E474">
        <f>IF($V474="","",INDEX('Per Line'!$F$2:$F$1501,$V474)&amp;"")</f>
        <v/>
      </c>
      <c r="F474">
        <f>IF($V474="","",INDEX('Per Line'!$L$2:$L$1501,$V474)&amp;"")</f>
        <v/>
      </c>
      <c r="G474">
        <f>IF($V474="","",INDEX('Per Line'!$O$2:$O$1501,$V474)&amp;"")</f>
        <v/>
      </c>
      <c r="H474">
        <f>IF($V474="","",INDEX('Per Line'!$P$2:$P$1501,$V474)&amp;"")</f>
        <v/>
      </c>
      <c r="I474">
        <f>IF($V474="","",INDEX('Per Line'!$N$2:$N$1501,$V474)&amp;"")</f>
        <v/>
      </c>
      <c r="J474">
        <f>IF($V474="","",INDEX('Per Line'!$Q$2:$Q$1501,$V474))</f>
        <v/>
      </c>
      <c r="K474" s="7">
        <f>IF($V474="","",J474*T474/100)</f>
        <v/>
      </c>
      <c r="L474">
        <f>IF($V474="","",Settings!$C$7)</f>
        <v/>
      </c>
      <c r="M474" s="7">
        <f>IF($V474="","",SUMIFS('Per Line'!$AC$2:$AC$1501,'Per Line'!$C$2:$C$1501,$C474,'Per Line'!$AK$2:$AK$1501,0))</f>
        <v/>
      </c>
      <c r="N474" s="7">
        <f>IF($V474="","",M474*L474)</f>
        <v/>
      </c>
      <c r="O474">
        <f>IF($V474="","",Settings!$C$6)</f>
        <v/>
      </c>
      <c r="P474" s="7">
        <f>IF($V474="","",SUMIFS('Per Line'!$AC$2:$AC$1501,'Per Line'!$C$2:$C$1501,$C474,'Per Line'!$AK$2:$AK$1501,1))</f>
        <v/>
      </c>
      <c r="Q474" s="7">
        <f>IF($V474="","",P474*O474)</f>
        <v/>
      </c>
      <c r="R474" s="7">
        <f>IF($V474="","",Q474+N474)</f>
        <v/>
      </c>
      <c r="S474" s="7">
        <f>IF($V474="","",T474-R474)</f>
        <v/>
      </c>
      <c r="T474" s="7">
        <f>IF($V474="","",M474+P474)</f>
        <v/>
      </c>
      <c r="U474" s="7">
        <f>IF($V474="","",T474-R474-K474)</f>
        <v/>
      </c>
      <c r="V474" s="13">
        <f>IF(ROWS($V$2:$V474)&lt;=MAX('Per Line'!$AJ$2:$AJ$1501),MATCH(ROWS($V$2:$V474),'Per Line'!$AJ$2:$AJ$1501,0),"")</f>
        <v/>
      </c>
    </row>
    <row r="475">
      <c r="A475" s="12" t="n"/>
      <c r="B475">
        <f>IF($V475="","",INDEX('Per Line'!$A$2:$A$1501,$V475)&amp;"")</f>
        <v/>
      </c>
      <c r="C475">
        <f>IF($V475="","",INDEX('Per Line'!$C$2:$C$1501,$V475)&amp;"")</f>
        <v/>
      </c>
      <c r="D475" s="11">
        <f>IF($V475="","",INDEX('Per Line'!$S$2:$S$1501,$V475))</f>
        <v/>
      </c>
      <c r="E475">
        <f>IF($V475="","",INDEX('Per Line'!$F$2:$F$1501,$V475)&amp;"")</f>
        <v/>
      </c>
      <c r="F475">
        <f>IF($V475="","",INDEX('Per Line'!$L$2:$L$1501,$V475)&amp;"")</f>
        <v/>
      </c>
      <c r="G475">
        <f>IF($V475="","",INDEX('Per Line'!$O$2:$O$1501,$V475)&amp;"")</f>
        <v/>
      </c>
      <c r="H475">
        <f>IF($V475="","",INDEX('Per Line'!$P$2:$P$1501,$V475)&amp;"")</f>
        <v/>
      </c>
      <c r="I475">
        <f>IF($V475="","",INDEX('Per Line'!$N$2:$N$1501,$V475)&amp;"")</f>
        <v/>
      </c>
      <c r="J475">
        <f>IF($V475="","",INDEX('Per Line'!$Q$2:$Q$1501,$V475))</f>
        <v/>
      </c>
      <c r="K475" s="7">
        <f>IF($V475="","",J475*T475/100)</f>
        <v/>
      </c>
      <c r="L475">
        <f>IF($V475="","",Settings!$C$7)</f>
        <v/>
      </c>
      <c r="M475" s="7">
        <f>IF($V475="","",SUMIFS('Per Line'!$AC$2:$AC$1501,'Per Line'!$C$2:$C$1501,$C475,'Per Line'!$AK$2:$AK$1501,0))</f>
        <v/>
      </c>
      <c r="N475" s="7">
        <f>IF($V475="","",M475*L475)</f>
        <v/>
      </c>
      <c r="O475">
        <f>IF($V475="","",Settings!$C$6)</f>
        <v/>
      </c>
      <c r="P475" s="7">
        <f>IF($V475="","",SUMIFS('Per Line'!$AC$2:$AC$1501,'Per Line'!$C$2:$C$1501,$C475,'Per Line'!$AK$2:$AK$1501,1))</f>
        <v/>
      </c>
      <c r="Q475" s="7">
        <f>IF($V475="","",P475*O475)</f>
        <v/>
      </c>
      <c r="R475" s="7">
        <f>IF($V475="","",Q475+N475)</f>
        <v/>
      </c>
      <c r="S475" s="7">
        <f>IF($V475="","",T475-R475)</f>
        <v/>
      </c>
      <c r="T475" s="7">
        <f>IF($V475="","",M475+P475)</f>
        <v/>
      </c>
      <c r="U475" s="7">
        <f>IF($V475="","",T475-R475-K475)</f>
        <v/>
      </c>
      <c r="V475" s="13">
        <f>IF(ROWS($V$2:$V475)&lt;=MAX('Per Line'!$AJ$2:$AJ$1501),MATCH(ROWS($V$2:$V475),'Per Line'!$AJ$2:$AJ$1501,0),"")</f>
        <v/>
      </c>
    </row>
    <row r="476">
      <c r="A476" s="12" t="n"/>
      <c r="B476">
        <f>IF($V476="","",INDEX('Per Line'!$A$2:$A$1501,$V476)&amp;"")</f>
        <v/>
      </c>
      <c r="C476">
        <f>IF($V476="","",INDEX('Per Line'!$C$2:$C$1501,$V476)&amp;"")</f>
        <v/>
      </c>
      <c r="D476" s="11">
        <f>IF($V476="","",INDEX('Per Line'!$S$2:$S$1501,$V476))</f>
        <v/>
      </c>
      <c r="E476">
        <f>IF($V476="","",INDEX('Per Line'!$F$2:$F$1501,$V476)&amp;"")</f>
        <v/>
      </c>
      <c r="F476">
        <f>IF($V476="","",INDEX('Per Line'!$L$2:$L$1501,$V476)&amp;"")</f>
        <v/>
      </c>
      <c r="G476">
        <f>IF($V476="","",INDEX('Per Line'!$O$2:$O$1501,$V476)&amp;"")</f>
        <v/>
      </c>
      <c r="H476">
        <f>IF($V476="","",INDEX('Per Line'!$P$2:$P$1501,$V476)&amp;"")</f>
        <v/>
      </c>
      <c r="I476">
        <f>IF($V476="","",INDEX('Per Line'!$N$2:$N$1501,$V476)&amp;"")</f>
        <v/>
      </c>
      <c r="J476">
        <f>IF($V476="","",INDEX('Per Line'!$Q$2:$Q$1501,$V476))</f>
        <v/>
      </c>
      <c r="K476" s="7">
        <f>IF($V476="","",J476*T476/100)</f>
        <v/>
      </c>
      <c r="L476">
        <f>IF($V476="","",Settings!$C$7)</f>
        <v/>
      </c>
      <c r="M476" s="7">
        <f>IF($V476="","",SUMIFS('Per Line'!$AC$2:$AC$1501,'Per Line'!$C$2:$C$1501,$C476,'Per Line'!$AK$2:$AK$1501,0))</f>
        <v/>
      </c>
      <c r="N476" s="7">
        <f>IF($V476="","",M476*L476)</f>
        <v/>
      </c>
      <c r="O476">
        <f>IF($V476="","",Settings!$C$6)</f>
        <v/>
      </c>
      <c r="P476" s="7">
        <f>IF($V476="","",SUMIFS('Per Line'!$AC$2:$AC$1501,'Per Line'!$C$2:$C$1501,$C476,'Per Line'!$AK$2:$AK$1501,1))</f>
        <v/>
      </c>
      <c r="Q476" s="7">
        <f>IF($V476="","",P476*O476)</f>
        <v/>
      </c>
      <c r="R476" s="7">
        <f>IF($V476="","",Q476+N476)</f>
        <v/>
      </c>
      <c r="S476" s="7">
        <f>IF($V476="","",T476-R476)</f>
        <v/>
      </c>
      <c r="T476" s="7">
        <f>IF($V476="","",M476+P476)</f>
        <v/>
      </c>
      <c r="U476" s="7">
        <f>IF($V476="","",T476-R476-K476)</f>
        <v/>
      </c>
      <c r="V476" s="13">
        <f>IF(ROWS($V$2:$V476)&lt;=MAX('Per Line'!$AJ$2:$AJ$1501),MATCH(ROWS($V$2:$V476),'Per Line'!$AJ$2:$AJ$1501,0),"")</f>
        <v/>
      </c>
    </row>
    <row r="477">
      <c r="A477" s="12" t="n"/>
      <c r="B477">
        <f>IF($V477="","",INDEX('Per Line'!$A$2:$A$1501,$V477)&amp;"")</f>
        <v/>
      </c>
      <c r="C477">
        <f>IF($V477="","",INDEX('Per Line'!$C$2:$C$1501,$V477)&amp;"")</f>
        <v/>
      </c>
      <c r="D477" s="11">
        <f>IF($V477="","",INDEX('Per Line'!$S$2:$S$1501,$V477))</f>
        <v/>
      </c>
      <c r="E477">
        <f>IF($V477="","",INDEX('Per Line'!$F$2:$F$1501,$V477)&amp;"")</f>
        <v/>
      </c>
      <c r="F477">
        <f>IF($V477="","",INDEX('Per Line'!$L$2:$L$1501,$V477)&amp;"")</f>
        <v/>
      </c>
      <c r="G477">
        <f>IF($V477="","",INDEX('Per Line'!$O$2:$O$1501,$V477)&amp;"")</f>
        <v/>
      </c>
      <c r="H477">
        <f>IF($V477="","",INDEX('Per Line'!$P$2:$P$1501,$V477)&amp;"")</f>
        <v/>
      </c>
      <c r="I477">
        <f>IF($V477="","",INDEX('Per Line'!$N$2:$N$1501,$V477)&amp;"")</f>
        <v/>
      </c>
      <c r="J477">
        <f>IF($V477="","",INDEX('Per Line'!$Q$2:$Q$1501,$V477))</f>
        <v/>
      </c>
      <c r="K477" s="7">
        <f>IF($V477="","",J477*T477/100)</f>
        <v/>
      </c>
      <c r="L477">
        <f>IF($V477="","",Settings!$C$7)</f>
        <v/>
      </c>
      <c r="M477" s="7">
        <f>IF($V477="","",SUMIFS('Per Line'!$AC$2:$AC$1501,'Per Line'!$C$2:$C$1501,$C477,'Per Line'!$AK$2:$AK$1501,0))</f>
        <v/>
      </c>
      <c r="N477" s="7">
        <f>IF($V477="","",M477*L477)</f>
        <v/>
      </c>
      <c r="O477">
        <f>IF($V477="","",Settings!$C$6)</f>
        <v/>
      </c>
      <c r="P477" s="7">
        <f>IF($V477="","",SUMIFS('Per Line'!$AC$2:$AC$1501,'Per Line'!$C$2:$C$1501,$C477,'Per Line'!$AK$2:$AK$1501,1))</f>
        <v/>
      </c>
      <c r="Q477" s="7">
        <f>IF($V477="","",P477*O477)</f>
        <v/>
      </c>
      <c r="R477" s="7">
        <f>IF($V477="","",Q477+N477)</f>
        <v/>
      </c>
      <c r="S477" s="7">
        <f>IF($V477="","",T477-R477)</f>
        <v/>
      </c>
      <c r="T477" s="7">
        <f>IF($V477="","",M477+P477)</f>
        <v/>
      </c>
      <c r="U477" s="7">
        <f>IF($V477="","",T477-R477-K477)</f>
        <v/>
      </c>
      <c r="V477" s="13">
        <f>IF(ROWS($V$2:$V477)&lt;=MAX('Per Line'!$AJ$2:$AJ$1501),MATCH(ROWS($V$2:$V477),'Per Line'!$AJ$2:$AJ$1501,0),"")</f>
        <v/>
      </c>
    </row>
    <row r="478">
      <c r="A478" s="12" t="n"/>
      <c r="B478">
        <f>IF($V478="","",INDEX('Per Line'!$A$2:$A$1501,$V478)&amp;"")</f>
        <v/>
      </c>
      <c r="C478">
        <f>IF($V478="","",INDEX('Per Line'!$C$2:$C$1501,$V478)&amp;"")</f>
        <v/>
      </c>
      <c r="D478" s="11">
        <f>IF($V478="","",INDEX('Per Line'!$S$2:$S$1501,$V478))</f>
        <v/>
      </c>
      <c r="E478">
        <f>IF($V478="","",INDEX('Per Line'!$F$2:$F$1501,$V478)&amp;"")</f>
        <v/>
      </c>
      <c r="F478">
        <f>IF($V478="","",INDEX('Per Line'!$L$2:$L$1501,$V478)&amp;"")</f>
        <v/>
      </c>
      <c r="G478">
        <f>IF($V478="","",INDEX('Per Line'!$O$2:$O$1501,$V478)&amp;"")</f>
        <v/>
      </c>
      <c r="H478">
        <f>IF($V478="","",INDEX('Per Line'!$P$2:$P$1501,$V478)&amp;"")</f>
        <v/>
      </c>
      <c r="I478">
        <f>IF($V478="","",INDEX('Per Line'!$N$2:$N$1501,$V478)&amp;"")</f>
        <v/>
      </c>
      <c r="J478">
        <f>IF($V478="","",INDEX('Per Line'!$Q$2:$Q$1501,$V478))</f>
        <v/>
      </c>
      <c r="K478" s="7">
        <f>IF($V478="","",J478*T478/100)</f>
        <v/>
      </c>
      <c r="L478">
        <f>IF($V478="","",Settings!$C$7)</f>
        <v/>
      </c>
      <c r="M478" s="7">
        <f>IF($V478="","",SUMIFS('Per Line'!$AC$2:$AC$1501,'Per Line'!$C$2:$C$1501,$C478,'Per Line'!$AK$2:$AK$1501,0))</f>
        <v/>
      </c>
      <c r="N478" s="7">
        <f>IF($V478="","",M478*L478)</f>
        <v/>
      </c>
      <c r="O478">
        <f>IF($V478="","",Settings!$C$6)</f>
        <v/>
      </c>
      <c r="P478" s="7">
        <f>IF($V478="","",SUMIFS('Per Line'!$AC$2:$AC$1501,'Per Line'!$C$2:$C$1501,$C478,'Per Line'!$AK$2:$AK$1501,1))</f>
        <v/>
      </c>
      <c r="Q478" s="7">
        <f>IF($V478="","",P478*O478)</f>
        <v/>
      </c>
      <c r="R478" s="7">
        <f>IF($V478="","",Q478+N478)</f>
        <v/>
      </c>
      <c r="S478" s="7">
        <f>IF($V478="","",T478-R478)</f>
        <v/>
      </c>
      <c r="T478" s="7">
        <f>IF($V478="","",M478+P478)</f>
        <v/>
      </c>
      <c r="U478" s="7">
        <f>IF($V478="","",T478-R478-K478)</f>
        <v/>
      </c>
      <c r="V478" s="13">
        <f>IF(ROWS($V$2:$V478)&lt;=MAX('Per Line'!$AJ$2:$AJ$1501),MATCH(ROWS($V$2:$V478),'Per Line'!$AJ$2:$AJ$1501,0),"")</f>
        <v/>
      </c>
    </row>
    <row r="479">
      <c r="A479" s="12" t="n"/>
      <c r="B479">
        <f>IF($V479="","",INDEX('Per Line'!$A$2:$A$1501,$V479)&amp;"")</f>
        <v/>
      </c>
      <c r="C479">
        <f>IF($V479="","",INDEX('Per Line'!$C$2:$C$1501,$V479)&amp;"")</f>
        <v/>
      </c>
      <c r="D479" s="11">
        <f>IF($V479="","",INDEX('Per Line'!$S$2:$S$1501,$V479))</f>
        <v/>
      </c>
      <c r="E479">
        <f>IF($V479="","",INDEX('Per Line'!$F$2:$F$1501,$V479)&amp;"")</f>
        <v/>
      </c>
      <c r="F479">
        <f>IF($V479="","",INDEX('Per Line'!$L$2:$L$1501,$V479)&amp;"")</f>
        <v/>
      </c>
      <c r="G479">
        <f>IF($V479="","",INDEX('Per Line'!$O$2:$O$1501,$V479)&amp;"")</f>
        <v/>
      </c>
      <c r="H479">
        <f>IF($V479="","",INDEX('Per Line'!$P$2:$P$1501,$V479)&amp;"")</f>
        <v/>
      </c>
      <c r="I479">
        <f>IF($V479="","",INDEX('Per Line'!$N$2:$N$1501,$V479)&amp;"")</f>
        <v/>
      </c>
      <c r="J479">
        <f>IF($V479="","",INDEX('Per Line'!$Q$2:$Q$1501,$V479))</f>
        <v/>
      </c>
      <c r="K479" s="7">
        <f>IF($V479="","",J479*T479/100)</f>
        <v/>
      </c>
      <c r="L479">
        <f>IF($V479="","",Settings!$C$7)</f>
        <v/>
      </c>
      <c r="M479" s="7">
        <f>IF($V479="","",SUMIFS('Per Line'!$AC$2:$AC$1501,'Per Line'!$C$2:$C$1501,$C479,'Per Line'!$AK$2:$AK$1501,0))</f>
        <v/>
      </c>
      <c r="N479" s="7">
        <f>IF($V479="","",M479*L479)</f>
        <v/>
      </c>
      <c r="O479">
        <f>IF($V479="","",Settings!$C$6)</f>
        <v/>
      </c>
      <c r="P479" s="7">
        <f>IF($V479="","",SUMIFS('Per Line'!$AC$2:$AC$1501,'Per Line'!$C$2:$C$1501,$C479,'Per Line'!$AK$2:$AK$1501,1))</f>
        <v/>
      </c>
      <c r="Q479" s="7">
        <f>IF($V479="","",P479*O479)</f>
        <v/>
      </c>
      <c r="R479" s="7">
        <f>IF($V479="","",Q479+N479)</f>
        <v/>
      </c>
      <c r="S479" s="7">
        <f>IF($V479="","",T479-R479)</f>
        <v/>
      </c>
      <c r="T479" s="7">
        <f>IF($V479="","",M479+P479)</f>
        <v/>
      </c>
      <c r="U479" s="7">
        <f>IF($V479="","",T479-R479-K479)</f>
        <v/>
      </c>
      <c r="V479" s="13">
        <f>IF(ROWS($V$2:$V479)&lt;=MAX('Per Line'!$AJ$2:$AJ$1501),MATCH(ROWS($V$2:$V479),'Per Line'!$AJ$2:$AJ$1501,0),"")</f>
        <v/>
      </c>
    </row>
    <row r="480">
      <c r="A480" s="12" t="n"/>
      <c r="B480">
        <f>IF($V480="","",INDEX('Per Line'!$A$2:$A$1501,$V480)&amp;"")</f>
        <v/>
      </c>
      <c r="C480">
        <f>IF($V480="","",INDEX('Per Line'!$C$2:$C$1501,$V480)&amp;"")</f>
        <v/>
      </c>
      <c r="D480" s="11">
        <f>IF($V480="","",INDEX('Per Line'!$S$2:$S$1501,$V480))</f>
        <v/>
      </c>
      <c r="E480">
        <f>IF($V480="","",INDEX('Per Line'!$F$2:$F$1501,$V480)&amp;"")</f>
        <v/>
      </c>
      <c r="F480">
        <f>IF($V480="","",INDEX('Per Line'!$L$2:$L$1501,$V480)&amp;"")</f>
        <v/>
      </c>
      <c r="G480">
        <f>IF($V480="","",INDEX('Per Line'!$O$2:$O$1501,$V480)&amp;"")</f>
        <v/>
      </c>
      <c r="H480">
        <f>IF($V480="","",INDEX('Per Line'!$P$2:$P$1501,$V480)&amp;"")</f>
        <v/>
      </c>
      <c r="I480">
        <f>IF($V480="","",INDEX('Per Line'!$N$2:$N$1501,$V480)&amp;"")</f>
        <v/>
      </c>
      <c r="J480">
        <f>IF($V480="","",INDEX('Per Line'!$Q$2:$Q$1501,$V480))</f>
        <v/>
      </c>
      <c r="K480" s="7">
        <f>IF($V480="","",J480*T480/100)</f>
        <v/>
      </c>
      <c r="L480">
        <f>IF($V480="","",Settings!$C$7)</f>
        <v/>
      </c>
      <c r="M480" s="7">
        <f>IF($V480="","",SUMIFS('Per Line'!$AC$2:$AC$1501,'Per Line'!$C$2:$C$1501,$C480,'Per Line'!$AK$2:$AK$1501,0))</f>
        <v/>
      </c>
      <c r="N480" s="7">
        <f>IF($V480="","",M480*L480)</f>
        <v/>
      </c>
      <c r="O480">
        <f>IF($V480="","",Settings!$C$6)</f>
        <v/>
      </c>
      <c r="P480" s="7">
        <f>IF($V480="","",SUMIFS('Per Line'!$AC$2:$AC$1501,'Per Line'!$C$2:$C$1501,$C480,'Per Line'!$AK$2:$AK$1501,1))</f>
        <v/>
      </c>
      <c r="Q480" s="7">
        <f>IF($V480="","",P480*O480)</f>
        <v/>
      </c>
      <c r="R480" s="7">
        <f>IF($V480="","",Q480+N480)</f>
        <v/>
      </c>
      <c r="S480" s="7">
        <f>IF($V480="","",T480-R480)</f>
        <v/>
      </c>
      <c r="T480" s="7">
        <f>IF($V480="","",M480+P480)</f>
        <v/>
      </c>
      <c r="U480" s="7">
        <f>IF($V480="","",T480-R480-K480)</f>
        <v/>
      </c>
      <c r="V480" s="13">
        <f>IF(ROWS($V$2:$V480)&lt;=MAX('Per Line'!$AJ$2:$AJ$1501),MATCH(ROWS($V$2:$V480),'Per Line'!$AJ$2:$AJ$1501,0),"")</f>
        <v/>
      </c>
    </row>
    <row r="481">
      <c r="A481" s="12" t="n"/>
      <c r="B481">
        <f>IF($V481="","",INDEX('Per Line'!$A$2:$A$1501,$V481)&amp;"")</f>
        <v/>
      </c>
      <c r="C481">
        <f>IF($V481="","",INDEX('Per Line'!$C$2:$C$1501,$V481)&amp;"")</f>
        <v/>
      </c>
      <c r="D481" s="11">
        <f>IF($V481="","",INDEX('Per Line'!$S$2:$S$1501,$V481))</f>
        <v/>
      </c>
      <c r="E481">
        <f>IF($V481="","",INDEX('Per Line'!$F$2:$F$1501,$V481)&amp;"")</f>
        <v/>
      </c>
      <c r="F481">
        <f>IF($V481="","",INDEX('Per Line'!$L$2:$L$1501,$V481)&amp;"")</f>
        <v/>
      </c>
      <c r="G481">
        <f>IF($V481="","",INDEX('Per Line'!$O$2:$O$1501,$V481)&amp;"")</f>
        <v/>
      </c>
      <c r="H481">
        <f>IF($V481="","",INDEX('Per Line'!$P$2:$P$1501,$V481)&amp;"")</f>
        <v/>
      </c>
      <c r="I481">
        <f>IF($V481="","",INDEX('Per Line'!$N$2:$N$1501,$V481)&amp;"")</f>
        <v/>
      </c>
      <c r="J481">
        <f>IF($V481="","",INDEX('Per Line'!$Q$2:$Q$1501,$V481))</f>
        <v/>
      </c>
      <c r="K481" s="7">
        <f>IF($V481="","",J481*T481/100)</f>
        <v/>
      </c>
      <c r="L481">
        <f>IF($V481="","",Settings!$C$7)</f>
        <v/>
      </c>
      <c r="M481" s="7">
        <f>IF($V481="","",SUMIFS('Per Line'!$AC$2:$AC$1501,'Per Line'!$C$2:$C$1501,$C481,'Per Line'!$AK$2:$AK$1501,0))</f>
        <v/>
      </c>
      <c r="N481" s="7">
        <f>IF($V481="","",M481*L481)</f>
        <v/>
      </c>
      <c r="O481">
        <f>IF($V481="","",Settings!$C$6)</f>
        <v/>
      </c>
      <c r="P481" s="7">
        <f>IF($V481="","",SUMIFS('Per Line'!$AC$2:$AC$1501,'Per Line'!$C$2:$C$1501,$C481,'Per Line'!$AK$2:$AK$1501,1))</f>
        <v/>
      </c>
      <c r="Q481" s="7">
        <f>IF($V481="","",P481*O481)</f>
        <v/>
      </c>
      <c r="R481" s="7">
        <f>IF($V481="","",Q481+N481)</f>
        <v/>
      </c>
      <c r="S481" s="7">
        <f>IF($V481="","",T481-R481)</f>
        <v/>
      </c>
      <c r="T481" s="7">
        <f>IF($V481="","",M481+P481)</f>
        <v/>
      </c>
      <c r="U481" s="7">
        <f>IF($V481="","",T481-R481-K481)</f>
        <v/>
      </c>
      <c r="V481" s="13">
        <f>IF(ROWS($V$2:$V481)&lt;=MAX('Per Line'!$AJ$2:$AJ$1501),MATCH(ROWS($V$2:$V481),'Per Line'!$AJ$2:$AJ$1501,0),"")</f>
        <v/>
      </c>
    </row>
    <row r="482">
      <c r="A482" s="12" t="n"/>
      <c r="B482">
        <f>IF($V482="","",INDEX('Per Line'!$A$2:$A$1501,$V482)&amp;"")</f>
        <v/>
      </c>
      <c r="C482">
        <f>IF($V482="","",INDEX('Per Line'!$C$2:$C$1501,$V482)&amp;"")</f>
        <v/>
      </c>
      <c r="D482" s="11">
        <f>IF($V482="","",INDEX('Per Line'!$S$2:$S$1501,$V482))</f>
        <v/>
      </c>
      <c r="E482">
        <f>IF($V482="","",INDEX('Per Line'!$F$2:$F$1501,$V482)&amp;"")</f>
        <v/>
      </c>
      <c r="F482">
        <f>IF($V482="","",INDEX('Per Line'!$L$2:$L$1501,$V482)&amp;"")</f>
        <v/>
      </c>
      <c r="G482">
        <f>IF($V482="","",INDEX('Per Line'!$O$2:$O$1501,$V482)&amp;"")</f>
        <v/>
      </c>
      <c r="H482">
        <f>IF($V482="","",INDEX('Per Line'!$P$2:$P$1501,$V482)&amp;"")</f>
        <v/>
      </c>
      <c r="I482">
        <f>IF($V482="","",INDEX('Per Line'!$N$2:$N$1501,$V482)&amp;"")</f>
        <v/>
      </c>
      <c r="J482">
        <f>IF($V482="","",INDEX('Per Line'!$Q$2:$Q$1501,$V482))</f>
        <v/>
      </c>
      <c r="K482" s="7">
        <f>IF($V482="","",J482*T482/100)</f>
        <v/>
      </c>
      <c r="L482">
        <f>IF($V482="","",Settings!$C$7)</f>
        <v/>
      </c>
      <c r="M482" s="7">
        <f>IF($V482="","",SUMIFS('Per Line'!$AC$2:$AC$1501,'Per Line'!$C$2:$C$1501,$C482,'Per Line'!$AK$2:$AK$1501,0))</f>
        <v/>
      </c>
      <c r="N482" s="7">
        <f>IF($V482="","",M482*L482)</f>
        <v/>
      </c>
      <c r="O482">
        <f>IF($V482="","",Settings!$C$6)</f>
        <v/>
      </c>
      <c r="P482" s="7">
        <f>IF($V482="","",SUMIFS('Per Line'!$AC$2:$AC$1501,'Per Line'!$C$2:$C$1501,$C482,'Per Line'!$AK$2:$AK$1501,1))</f>
        <v/>
      </c>
      <c r="Q482" s="7">
        <f>IF($V482="","",P482*O482)</f>
        <v/>
      </c>
      <c r="R482" s="7">
        <f>IF($V482="","",Q482+N482)</f>
        <v/>
      </c>
      <c r="S482" s="7">
        <f>IF($V482="","",T482-R482)</f>
        <v/>
      </c>
      <c r="T482" s="7">
        <f>IF($V482="","",M482+P482)</f>
        <v/>
      </c>
      <c r="U482" s="7">
        <f>IF($V482="","",T482-R482-K482)</f>
        <v/>
      </c>
      <c r="V482" s="13">
        <f>IF(ROWS($V$2:$V482)&lt;=MAX('Per Line'!$AJ$2:$AJ$1501),MATCH(ROWS($V$2:$V482),'Per Line'!$AJ$2:$AJ$1501,0),"")</f>
        <v/>
      </c>
    </row>
    <row r="483">
      <c r="A483" s="12" t="n"/>
      <c r="B483">
        <f>IF($V483="","",INDEX('Per Line'!$A$2:$A$1501,$V483)&amp;"")</f>
        <v/>
      </c>
      <c r="C483">
        <f>IF($V483="","",INDEX('Per Line'!$C$2:$C$1501,$V483)&amp;"")</f>
        <v/>
      </c>
      <c r="D483" s="11">
        <f>IF($V483="","",INDEX('Per Line'!$S$2:$S$1501,$V483))</f>
        <v/>
      </c>
      <c r="E483">
        <f>IF($V483="","",INDEX('Per Line'!$F$2:$F$1501,$V483)&amp;"")</f>
        <v/>
      </c>
      <c r="F483">
        <f>IF($V483="","",INDEX('Per Line'!$L$2:$L$1501,$V483)&amp;"")</f>
        <v/>
      </c>
      <c r="G483">
        <f>IF($V483="","",INDEX('Per Line'!$O$2:$O$1501,$V483)&amp;"")</f>
        <v/>
      </c>
      <c r="H483">
        <f>IF($V483="","",INDEX('Per Line'!$P$2:$P$1501,$V483)&amp;"")</f>
        <v/>
      </c>
      <c r="I483">
        <f>IF($V483="","",INDEX('Per Line'!$N$2:$N$1501,$V483)&amp;"")</f>
        <v/>
      </c>
      <c r="J483">
        <f>IF($V483="","",INDEX('Per Line'!$Q$2:$Q$1501,$V483))</f>
        <v/>
      </c>
      <c r="K483" s="7">
        <f>IF($V483="","",J483*T483/100)</f>
        <v/>
      </c>
      <c r="L483">
        <f>IF($V483="","",Settings!$C$7)</f>
        <v/>
      </c>
      <c r="M483" s="7">
        <f>IF($V483="","",SUMIFS('Per Line'!$AC$2:$AC$1501,'Per Line'!$C$2:$C$1501,$C483,'Per Line'!$AK$2:$AK$1501,0))</f>
        <v/>
      </c>
      <c r="N483" s="7">
        <f>IF($V483="","",M483*L483)</f>
        <v/>
      </c>
      <c r="O483">
        <f>IF($V483="","",Settings!$C$6)</f>
        <v/>
      </c>
      <c r="P483" s="7">
        <f>IF($V483="","",SUMIFS('Per Line'!$AC$2:$AC$1501,'Per Line'!$C$2:$C$1501,$C483,'Per Line'!$AK$2:$AK$1501,1))</f>
        <v/>
      </c>
      <c r="Q483" s="7">
        <f>IF($V483="","",P483*O483)</f>
        <v/>
      </c>
      <c r="R483" s="7">
        <f>IF($V483="","",Q483+N483)</f>
        <v/>
      </c>
      <c r="S483" s="7">
        <f>IF($V483="","",T483-R483)</f>
        <v/>
      </c>
      <c r="T483" s="7">
        <f>IF($V483="","",M483+P483)</f>
        <v/>
      </c>
      <c r="U483" s="7">
        <f>IF($V483="","",T483-R483-K483)</f>
        <v/>
      </c>
      <c r="V483" s="13">
        <f>IF(ROWS($V$2:$V483)&lt;=MAX('Per Line'!$AJ$2:$AJ$1501),MATCH(ROWS($V$2:$V483),'Per Line'!$AJ$2:$AJ$1501,0),"")</f>
        <v/>
      </c>
    </row>
    <row r="484">
      <c r="A484" s="12" t="n"/>
      <c r="B484">
        <f>IF($V484="","",INDEX('Per Line'!$A$2:$A$1501,$V484)&amp;"")</f>
        <v/>
      </c>
      <c r="C484">
        <f>IF($V484="","",INDEX('Per Line'!$C$2:$C$1501,$V484)&amp;"")</f>
        <v/>
      </c>
      <c r="D484" s="11">
        <f>IF($V484="","",INDEX('Per Line'!$S$2:$S$1501,$V484))</f>
        <v/>
      </c>
      <c r="E484">
        <f>IF($V484="","",INDEX('Per Line'!$F$2:$F$1501,$V484)&amp;"")</f>
        <v/>
      </c>
      <c r="F484">
        <f>IF($V484="","",INDEX('Per Line'!$L$2:$L$1501,$V484)&amp;"")</f>
        <v/>
      </c>
      <c r="G484">
        <f>IF($V484="","",INDEX('Per Line'!$O$2:$O$1501,$V484)&amp;"")</f>
        <v/>
      </c>
      <c r="H484">
        <f>IF($V484="","",INDEX('Per Line'!$P$2:$P$1501,$V484)&amp;"")</f>
        <v/>
      </c>
      <c r="I484">
        <f>IF($V484="","",INDEX('Per Line'!$N$2:$N$1501,$V484)&amp;"")</f>
        <v/>
      </c>
      <c r="J484">
        <f>IF($V484="","",INDEX('Per Line'!$Q$2:$Q$1501,$V484))</f>
        <v/>
      </c>
      <c r="K484" s="7">
        <f>IF($V484="","",J484*T484/100)</f>
        <v/>
      </c>
      <c r="L484">
        <f>IF($V484="","",Settings!$C$7)</f>
        <v/>
      </c>
      <c r="M484" s="7">
        <f>IF($V484="","",SUMIFS('Per Line'!$AC$2:$AC$1501,'Per Line'!$C$2:$C$1501,$C484,'Per Line'!$AK$2:$AK$1501,0))</f>
        <v/>
      </c>
      <c r="N484" s="7">
        <f>IF($V484="","",M484*L484)</f>
        <v/>
      </c>
      <c r="O484">
        <f>IF($V484="","",Settings!$C$6)</f>
        <v/>
      </c>
      <c r="P484" s="7">
        <f>IF($V484="","",SUMIFS('Per Line'!$AC$2:$AC$1501,'Per Line'!$C$2:$C$1501,$C484,'Per Line'!$AK$2:$AK$1501,1))</f>
        <v/>
      </c>
      <c r="Q484" s="7">
        <f>IF($V484="","",P484*O484)</f>
        <v/>
      </c>
      <c r="R484" s="7">
        <f>IF($V484="","",Q484+N484)</f>
        <v/>
      </c>
      <c r="S484" s="7">
        <f>IF($V484="","",T484-R484)</f>
        <v/>
      </c>
      <c r="T484" s="7">
        <f>IF($V484="","",M484+P484)</f>
        <v/>
      </c>
      <c r="U484" s="7">
        <f>IF($V484="","",T484-R484-K484)</f>
        <v/>
      </c>
      <c r="V484" s="13">
        <f>IF(ROWS($V$2:$V484)&lt;=MAX('Per Line'!$AJ$2:$AJ$1501),MATCH(ROWS($V$2:$V484),'Per Line'!$AJ$2:$AJ$1501,0),"")</f>
        <v/>
      </c>
    </row>
    <row r="485">
      <c r="A485" s="12" t="n"/>
      <c r="B485">
        <f>IF($V485="","",INDEX('Per Line'!$A$2:$A$1501,$V485)&amp;"")</f>
        <v/>
      </c>
      <c r="C485">
        <f>IF($V485="","",INDEX('Per Line'!$C$2:$C$1501,$V485)&amp;"")</f>
        <v/>
      </c>
      <c r="D485" s="11">
        <f>IF($V485="","",INDEX('Per Line'!$S$2:$S$1501,$V485))</f>
        <v/>
      </c>
      <c r="E485">
        <f>IF($V485="","",INDEX('Per Line'!$F$2:$F$1501,$V485)&amp;"")</f>
        <v/>
      </c>
      <c r="F485">
        <f>IF($V485="","",INDEX('Per Line'!$L$2:$L$1501,$V485)&amp;"")</f>
        <v/>
      </c>
      <c r="G485">
        <f>IF($V485="","",INDEX('Per Line'!$O$2:$O$1501,$V485)&amp;"")</f>
        <v/>
      </c>
      <c r="H485">
        <f>IF($V485="","",INDEX('Per Line'!$P$2:$P$1501,$V485)&amp;"")</f>
        <v/>
      </c>
      <c r="I485">
        <f>IF($V485="","",INDEX('Per Line'!$N$2:$N$1501,$V485)&amp;"")</f>
        <v/>
      </c>
      <c r="J485">
        <f>IF($V485="","",INDEX('Per Line'!$Q$2:$Q$1501,$V485))</f>
        <v/>
      </c>
      <c r="K485" s="7">
        <f>IF($V485="","",J485*T485/100)</f>
        <v/>
      </c>
      <c r="L485">
        <f>IF($V485="","",Settings!$C$7)</f>
        <v/>
      </c>
      <c r="M485" s="7">
        <f>IF($V485="","",SUMIFS('Per Line'!$AC$2:$AC$1501,'Per Line'!$C$2:$C$1501,$C485,'Per Line'!$AK$2:$AK$1501,0))</f>
        <v/>
      </c>
      <c r="N485" s="7">
        <f>IF($V485="","",M485*L485)</f>
        <v/>
      </c>
      <c r="O485">
        <f>IF($V485="","",Settings!$C$6)</f>
        <v/>
      </c>
      <c r="P485" s="7">
        <f>IF($V485="","",SUMIFS('Per Line'!$AC$2:$AC$1501,'Per Line'!$C$2:$C$1501,$C485,'Per Line'!$AK$2:$AK$1501,1))</f>
        <v/>
      </c>
      <c r="Q485" s="7">
        <f>IF($V485="","",P485*O485)</f>
        <v/>
      </c>
      <c r="R485" s="7">
        <f>IF($V485="","",Q485+N485)</f>
        <v/>
      </c>
      <c r="S485" s="7">
        <f>IF($V485="","",T485-R485)</f>
        <v/>
      </c>
      <c r="T485" s="7">
        <f>IF($V485="","",M485+P485)</f>
        <v/>
      </c>
      <c r="U485" s="7">
        <f>IF($V485="","",T485-R485-K485)</f>
        <v/>
      </c>
      <c r="V485" s="13">
        <f>IF(ROWS($V$2:$V485)&lt;=MAX('Per Line'!$AJ$2:$AJ$1501),MATCH(ROWS($V$2:$V485),'Per Line'!$AJ$2:$AJ$1501,0),"")</f>
        <v/>
      </c>
    </row>
    <row r="486">
      <c r="A486" s="12" t="n"/>
      <c r="B486">
        <f>IF($V486="","",INDEX('Per Line'!$A$2:$A$1501,$V486)&amp;"")</f>
        <v/>
      </c>
      <c r="C486">
        <f>IF($V486="","",INDEX('Per Line'!$C$2:$C$1501,$V486)&amp;"")</f>
        <v/>
      </c>
      <c r="D486" s="11">
        <f>IF($V486="","",INDEX('Per Line'!$S$2:$S$1501,$V486))</f>
        <v/>
      </c>
      <c r="E486">
        <f>IF($V486="","",INDEX('Per Line'!$F$2:$F$1501,$V486)&amp;"")</f>
        <v/>
      </c>
      <c r="F486">
        <f>IF($V486="","",INDEX('Per Line'!$L$2:$L$1501,$V486)&amp;"")</f>
        <v/>
      </c>
      <c r="G486">
        <f>IF($V486="","",INDEX('Per Line'!$O$2:$O$1501,$V486)&amp;"")</f>
        <v/>
      </c>
      <c r="H486">
        <f>IF($V486="","",INDEX('Per Line'!$P$2:$P$1501,$V486)&amp;"")</f>
        <v/>
      </c>
      <c r="I486">
        <f>IF($V486="","",INDEX('Per Line'!$N$2:$N$1501,$V486)&amp;"")</f>
        <v/>
      </c>
      <c r="J486">
        <f>IF($V486="","",INDEX('Per Line'!$Q$2:$Q$1501,$V486))</f>
        <v/>
      </c>
      <c r="K486" s="7">
        <f>IF($V486="","",J486*T486/100)</f>
        <v/>
      </c>
      <c r="L486">
        <f>IF($V486="","",Settings!$C$7)</f>
        <v/>
      </c>
      <c r="M486" s="7">
        <f>IF($V486="","",SUMIFS('Per Line'!$AC$2:$AC$1501,'Per Line'!$C$2:$C$1501,$C486,'Per Line'!$AK$2:$AK$1501,0))</f>
        <v/>
      </c>
      <c r="N486" s="7">
        <f>IF($V486="","",M486*L486)</f>
        <v/>
      </c>
      <c r="O486">
        <f>IF($V486="","",Settings!$C$6)</f>
        <v/>
      </c>
      <c r="P486" s="7">
        <f>IF($V486="","",SUMIFS('Per Line'!$AC$2:$AC$1501,'Per Line'!$C$2:$C$1501,$C486,'Per Line'!$AK$2:$AK$1501,1))</f>
        <v/>
      </c>
      <c r="Q486" s="7">
        <f>IF($V486="","",P486*O486)</f>
        <v/>
      </c>
      <c r="R486" s="7">
        <f>IF($V486="","",Q486+N486)</f>
        <v/>
      </c>
      <c r="S486" s="7">
        <f>IF($V486="","",T486-R486)</f>
        <v/>
      </c>
      <c r="T486" s="7">
        <f>IF($V486="","",M486+P486)</f>
        <v/>
      </c>
      <c r="U486" s="7">
        <f>IF($V486="","",T486-R486-K486)</f>
        <v/>
      </c>
      <c r="V486" s="13">
        <f>IF(ROWS($V$2:$V486)&lt;=MAX('Per Line'!$AJ$2:$AJ$1501),MATCH(ROWS($V$2:$V486),'Per Line'!$AJ$2:$AJ$1501,0),"")</f>
        <v/>
      </c>
    </row>
    <row r="487">
      <c r="A487" s="12" t="n"/>
      <c r="B487">
        <f>IF($V487="","",INDEX('Per Line'!$A$2:$A$1501,$V487)&amp;"")</f>
        <v/>
      </c>
      <c r="C487">
        <f>IF($V487="","",INDEX('Per Line'!$C$2:$C$1501,$V487)&amp;"")</f>
        <v/>
      </c>
      <c r="D487" s="11">
        <f>IF($V487="","",INDEX('Per Line'!$S$2:$S$1501,$V487))</f>
        <v/>
      </c>
      <c r="E487">
        <f>IF($V487="","",INDEX('Per Line'!$F$2:$F$1501,$V487)&amp;"")</f>
        <v/>
      </c>
      <c r="F487">
        <f>IF($V487="","",INDEX('Per Line'!$L$2:$L$1501,$V487)&amp;"")</f>
        <v/>
      </c>
      <c r="G487">
        <f>IF($V487="","",INDEX('Per Line'!$O$2:$O$1501,$V487)&amp;"")</f>
        <v/>
      </c>
      <c r="H487">
        <f>IF($V487="","",INDEX('Per Line'!$P$2:$P$1501,$V487)&amp;"")</f>
        <v/>
      </c>
      <c r="I487">
        <f>IF($V487="","",INDEX('Per Line'!$N$2:$N$1501,$V487)&amp;"")</f>
        <v/>
      </c>
      <c r="J487">
        <f>IF($V487="","",INDEX('Per Line'!$Q$2:$Q$1501,$V487))</f>
        <v/>
      </c>
      <c r="K487" s="7">
        <f>IF($V487="","",J487*T487/100)</f>
        <v/>
      </c>
      <c r="L487">
        <f>IF($V487="","",Settings!$C$7)</f>
        <v/>
      </c>
      <c r="M487" s="7">
        <f>IF($V487="","",SUMIFS('Per Line'!$AC$2:$AC$1501,'Per Line'!$C$2:$C$1501,$C487,'Per Line'!$AK$2:$AK$1501,0))</f>
        <v/>
      </c>
      <c r="N487" s="7">
        <f>IF($V487="","",M487*L487)</f>
        <v/>
      </c>
      <c r="O487">
        <f>IF($V487="","",Settings!$C$6)</f>
        <v/>
      </c>
      <c r="P487" s="7">
        <f>IF($V487="","",SUMIFS('Per Line'!$AC$2:$AC$1501,'Per Line'!$C$2:$C$1501,$C487,'Per Line'!$AK$2:$AK$1501,1))</f>
        <v/>
      </c>
      <c r="Q487" s="7">
        <f>IF($V487="","",P487*O487)</f>
        <v/>
      </c>
      <c r="R487" s="7">
        <f>IF($V487="","",Q487+N487)</f>
        <v/>
      </c>
      <c r="S487" s="7">
        <f>IF($V487="","",T487-R487)</f>
        <v/>
      </c>
      <c r="T487" s="7">
        <f>IF($V487="","",M487+P487)</f>
        <v/>
      </c>
      <c r="U487" s="7">
        <f>IF($V487="","",T487-R487-K487)</f>
        <v/>
      </c>
      <c r="V487" s="13">
        <f>IF(ROWS($V$2:$V487)&lt;=MAX('Per Line'!$AJ$2:$AJ$1501),MATCH(ROWS($V$2:$V487),'Per Line'!$AJ$2:$AJ$1501,0),"")</f>
        <v/>
      </c>
    </row>
    <row r="488">
      <c r="A488" s="12" t="n"/>
      <c r="B488">
        <f>IF($V488="","",INDEX('Per Line'!$A$2:$A$1501,$V488)&amp;"")</f>
        <v/>
      </c>
      <c r="C488">
        <f>IF($V488="","",INDEX('Per Line'!$C$2:$C$1501,$V488)&amp;"")</f>
        <v/>
      </c>
      <c r="D488" s="11">
        <f>IF($V488="","",INDEX('Per Line'!$S$2:$S$1501,$V488))</f>
        <v/>
      </c>
      <c r="E488">
        <f>IF($V488="","",INDEX('Per Line'!$F$2:$F$1501,$V488)&amp;"")</f>
        <v/>
      </c>
      <c r="F488">
        <f>IF($V488="","",INDEX('Per Line'!$L$2:$L$1501,$V488)&amp;"")</f>
        <v/>
      </c>
      <c r="G488">
        <f>IF($V488="","",INDEX('Per Line'!$O$2:$O$1501,$V488)&amp;"")</f>
        <v/>
      </c>
      <c r="H488">
        <f>IF($V488="","",INDEX('Per Line'!$P$2:$P$1501,$V488)&amp;"")</f>
        <v/>
      </c>
      <c r="I488">
        <f>IF($V488="","",INDEX('Per Line'!$N$2:$N$1501,$V488)&amp;"")</f>
        <v/>
      </c>
      <c r="J488">
        <f>IF($V488="","",INDEX('Per Line'!$Q$2:$Q$1501,$V488))</f>
        <v/>
      </c>
      <c r="K488" s="7">
        <f>IF($V488="","",J488*T488/100)</f>
        <v/>
      </c>
      <c r="L488">
        <f>IF($V488="","",Settings!$C$7)</f>
        <v/>
      </c>
      <c r="M488" s="7">
        <f>IF($V488="","",SUMIFS('Per Line'!$AC$2:$AC$1501,'Per Line'!$C$2:$C$1501,$C488,'Per Line'!$AK$2:$AK$1501,0))</f>
        <v/>
      </c>
      <c r="N488" s="7">
        <f>IF($V488="","",M488*L488)</f>
        <v/>
      </c>
      <c r="O488">
        <f>IF($V488="","",Settings!$C$6)</f>
        <v/>
      </c>
      <c r="P488" s="7">
        <f>IF($V488="","",SUMIFS('Per Line'!$AC$2:$AC$1501,'Per Line'!$C$2:$C$1501,$C488,'Per Line'!$AK$2:$AK$1501,1))</f>
        <v/>
      </c>
      <c r="Q488" s="7">
        <f>IF($V488="","",P488*O488)</f>
        <v/>
      </c>
      <c r="R488" s="7">
        <f>IF($V488="","",Q488+N488)</f>
        <v/>
      </c>
      <c r="S488" s="7">
        <f>IF($V488="","",T488-R488)</f>
        <v/>
      </c>
      <c r="T488" s="7">
        <f>IF($V488="","",M488+P488)</f>
        <v/>
      </c>
      <c r="U488" s="7">
        <f>IF($V488="","",T488-R488-K488)</f>
        <v/>
      </c>
      <c r="V488" s="13">
        <f>IF(ROWS($V$2:$V488)&lt;=MAX('Per Line'!$AJ$2:$AJ$1501),MATCH(ROWS($V$2:$V488),'Per Line'!$AJ$2:$AJ$1501,0),"")</f>
        <v/>
      </c>
    </row>
    <row r="489">
      <c r="A489" s="12" t="n"/>
      <c r="B489">
        <f>IF($V489="","",INDEX('Per Line'!$A$2:$A$1501,$V489)&amp;"")</f>
        <v/>
      </c>
      <c r="C489">
        <f>IF($V489="","",INDEX('Per Line'!$C$2:$C$1501,$V489)&amp;"")</f>
        <v/>
      </c>
      <c r="D489" s="11">
        <f>IF($V489="","",INDEX('Per Line'!$S$2:$S$1501,$V489))</f>
        <v/>
      </c>
      <c r="E489">
        <f>IF($V489="","",INDEX('Per Line'!$F$2:$F$1501,$V489)&amp;"")</f>
        <v/>
      </c>
      <c r="F489">
        <f>IF($V489="","",INDEX('Per Line'!$L$2:$L$1501,$V489)&amp;"")</f>
        <v/>
      </c>
      <c r="G489">
        <f>IF($V489="","",INDEX('Per Line'!$O$2:$O$1501,$V489)&amp;"")</f>
        <v/>
      </c>
      <c r="H489">
        <f>IF($V489="","",INDEX('Per Line'!$P$2:$P$1501,$V489)&amp;"")</f>
        <v/>
      </c>
      <c r="I489">
        <f>IF($V489="","",INDEX('Per Line'!$N$2:$N$1501,$V489)&amp;"")</f>
        <v/>
      </c>
      <c r="J489">
        <f>IF($V489="","",INDEX('Per Line'!$Q$2:$Q$1501,$V489))</f>
        <v/>
      </c>
      <c r="K489" s="7">
        <f>IF($V489="","",J489*T489/100)</f>
        <v/>
      </c>
      <c r="L489">
        <f>IF($V489="","",Settings!$C$7)</f>
        <v/>
      </c>
      <c r="M489" s="7">
        <f>IF($V489="","",SUMIFS('Per Line'!$AC$2:$AC$1501,'Per Line'!$C$2:$C$1501,$C489,'Per Line'!$AK$2:$AK$1501,0))</f>
        <v/>
      </c>
      <c r="N489" s="7">
        <f>IF($V489="","",M489*L489)</f>
        <v/>
      </c>
      <c r="O489">
        <f>IF($V489="","",Settings!$C$6)</f>
        <v/>
      </c>
      <c r="P489" s="7">
        <f>IF($V489="","",SUMIFS('Per Line'!$AC$2:$AC$1501,'Per Line'!$C$2:$C$1501,$C489,'Per Line'!$AK$2:$AK$1501,1))</f>
        <v/>
      </c>
      <c r="Q489" s="7">
        <f>IF($V489="","",P489*O489)</f>
        <v/>
      </c>
      <c r="R489" s="7">
        <f>IF($V489="","",Q489+N489)</f>
        <v/>
      </c>
      <c r="S489" s="7">
        <f>IF($V489="","",T489-R489)</f>
        <v/>
      </c>
      <c r="T489" s="7">
        <f>IF($V489="","",M489+P489)</f>
        <v/>
      </c>
      <c r="U489" s="7">
        <f>IF($V489="","",T489-R489-K489)</f>
        <v/>
      </c>
      <c r="V489" s="13">
        <f>IF(ROWS($V$2:$V489)&lt;=MAX('Per Line'!$AJ$2:$AJ$1501),MATCH(ROWS($V$2:$V489),'Per Line'!$AJ$2:$AJ$1501,0),"")</f>
        <v/>
      </c>
    </row>
    <row r="490">
      <c r="A490" s="12" t="n"/>
      <c r="B490">
        <f>IF($V490="","",INDEX('Per Line'!$A$2:$A$1501,$V490)&amp;"")</f>
        <v/>
      </c>
      <c r="C490">
        <f>IF($V490="","",INDEX('Per Line'!$C$2:$C$1501,$V490)&amp;"")</f>
        <v/>
      </c>
      <c r="D490" s="11">
        <f>IF($V490="","",INDEX('Per Line'!$S$2:$S$1501,$V490))</f>
        <v/>
      </c>
      <c r="E490">
        <f>IF($V490="","",INDEX('Per Line'!$F$2:$F$1501,$V490)&amp;"")</f>
        <v/>
      </c>
      <c r="F490">
        <f>IF($V490="","",INDEX('Per Line'!$L$2:$L$1501,$V490)&amp;"")</f>
        <v/>
      </c>
      <c r="G490">
        <f>IF($V490="","",INDEX('Per Line'!$O$2:$O$1501,$V490)&amp;"")</f>
        <v/>
      </c>
      <c r="H490">
        <f>IF($V490="","",INDEX('Per Line'!$P$2:$P$1501,$V490)&amp;"")</f>
        <v/>
      </c>
      <c r="I490">
        <f>IF($V490="","",INDEX('Per Line'!$N$2:$N$1501,$V490)&amp;"")</f>
        <v/>
      </c>
      <c r="J490">
        <f>IF($V490="","",INDEX('Per Line'!$Q$2:$Q$1501,$V490))</f>
        <v/>
      </c>
      <c r="K490" s="7">
        <f>IF($V490="","",J490*T490/100)</f>
        <v/>
      </c>
      <c r="L490">
        <f>IF($V490="","",Settings!$C$7)</f>
        <v/>
      </c>
      <c r="M490" s="7">
        <f>IF($V490="","",SUMIFS('Per Line'!$AC$2:$AC$1501,'Per Line'!$C$2:$C$1501,$C490,'Per Line'!$AK$2:$AK$1501,0))</f>
        <v/>
      </c>
      <c r="N490" s="7">
        <f>IF($V490="","",M490*L490)</f>
        <v/>
      </c>
      <c r="O490">
        <f>IF($V490="","",Settings!$C$6)</f>
        <v/>
      </c>
      <c r="P490" s="7">
        <f>IF($V490="","",SUMIFS('Per Line'!$AC$2:$AC$1501,'Per Line'!$C$2:$C$1501,$C490,'Per Line'!$AK$2:$AK$1501,1))</f>
        <v/>
      </c>
      <c r="Q490" s="7">
        <f>IF($V490="","",P490*O490)</f>
        <v/>
      </c>
      <c r="R490" s="7">
        <f>IF($V490="","",Q490+N490)</f>
        <v/>
      </c>
      <c r="S490" s="7">
        <f>IF($V490="","",T490-R490)</f>
        <v/>
      </c>
      <c r="T490" s="7">
        <f>IF($V490="","",M490+P490)</f>
        <v/>
      </c>
      <c r="U490" s="7">
        <f>IF($V490="","",T490-R490-K490)</f>
        <v/>
      </c>
      <c r="V490" s="13">
        <f>IF(ROWS($V$2:$V490)&lt;=MAX('Per Line'!$AJ$2:$AJ$1501),MATCH(ROWS($V$2:$V490),'Per Line'!$AJ$2:$AJ$1501,0),"")</f>
        <v/>
      </c>
    </row>
    <row r="491">
      <c r="A491" s="12" t="n"/>
      <c r="B491">
        <f>IF($V491="","",INDEX('Per Line'!$A$2:$A$1501,$V491)&amp;"")</f>
        <v/>
      </c>
      <c r="C491">
        <f>IF($V491="","",INDEX('Per Line'!$C$2:$C$1501,$V491)&amp;"")</f>
        <v/>
      </c>
      <c r="D491" s="11">
        <f>IF($V491="","",INDEX('Per Line'!$S$2:$S$1501,$V491))</f>
        <v/>
      </c>
      <c r="E491">
        <f>IF($V491="","",INDEX('Per Line'!$F$2:$F$1501,$V491)&amp;"")</f>
        <v/>
      </c>
      <c r="F491">
        <f>IF($V491="","",INDEX('Per Line'!$L$2:$L$1501,$V491)&amp;"")</f>
        <v/>
      </c>
      <c r="G491">
        <f>IF($V491="","",INDEX('Per Line'!$O$2:$O$1501,$V491)&amp;"")</f>
        <v/>
      </c>
      <c r="H491">
        <f>IF($V491="","",INDEX('Per Line'!$P$2:$P$1501,$V491)&amp;"")</f>
        <v/>
      </c>
      <c r="I491">
        <f>IF($V491="","",INDEX('Per Line'!$N$2:$N$1501,$V491)&amp;"")</f>
        <v/>
      </c>
      <c r="J491">
        <f>IF($V491="","",INDEX('Per Line'!$Q$2:$Q$1501,$V491))</f>
        <v/>
      </c>
      <c r="K491" s="7">
        <f>IF($V491="","",J491*T491/100)</f>
        <v/>
      </c>
      <c r="L491">
        <f>IF($V491="","",Settings!$C$7)</f>
        <v/>
      </c>
      <c r="M491" s="7">
        <f>IF($V491="","",SUMIFS('Per Line'!$AC$2:$AC$1501,'Per Line'!$C$2:$C$1501,$C491,'Per Line'!$AK$2:$AK$1501,0))</f>
        <v/>
      </c>
      <c r="N491" s="7">
        <f>IF($V491="","",M491*L491)</f>
        <v/>
      </c>
      <c r="O491">
        <f>IF($V491="","",Settings!$C$6)</f>
        <v/>
      </c>
      <c r="P491" s="7">
        <f>IF($V491="","",SUMIFS('Per Line'!$AC$2:$AC$1501,'Per Line'!$C$2:$C$1501,$C491,'Per Line'!$AK$2:$AK$1501,1))</f>
        <v/>
      </c>
      <c r="Q491" s="7">
        <f>IF($V491="","",P491*O491)</f>
        <v/>
      </c>
      <c r="R491" s="7">
        <f>IF($V491="","",Q491+N491)</f>
        <v/>
      </c>
      <c r="S491" s="7">
        <f>IF($V491="","",T491-R491)</f>
        <v/>
      </c>
      <c r="T491" s="7">
        <f>IF($V491="","",M491+P491)</f>
        <v/>
      </c>
      <c r="U491" s="7">
        <f>IF($V491="","",T491-R491-K491)</f>
        <v/>
      </c>
      <c r="V491" s="13">
        <f>IF(ROWS($V$2:$V491)&lt;=MAX('Per Line'!$AJ$2:$AJ$1501),MATCH(ROWS($V$2:$V491),'Per Line'!$AJ$2:$AJ$1501,0),"")</f>
        <v/>
      </c>
    </row>
    <row r="492">
      <c r="A492" s="12" t="n"/>
      <c r="B492">
        <f>IF($V492="","",INDEX('Per Line'!$A$2:$A$1501,$V492)&amp;"")</f>
        <v/>
      </c>
      <c r="C492">
        <f>IF($V492="","",INDEX('Per Line'!$C$2:$C$1501,$V492)&amp;"")</f>
        <v/>
      </c>
      <c r="D492" s="11">
        <f>IF($V492="","",INDEX('Per Line'!$S$2:$S$1501,$V492))</f>
        <v/>
      </c>
      <c r="E492">
        <f>IF($V492="","",INDEX('Per Line'!$F$2:$F$1501,$V492)&amp;"")</f>
        <v/>
      </c>
      <c r="F492">
        <f>IF($V492="","",INDEX('Per Line'!$L$2:$L$1501,$V492)&amp;"")</f>
        <v/>
      </c>
      <c r="G492">
        <f>IF($V492="","",INDEX('Per Line'!$O$2:$O$1501,$V492)&amp;"")</f>
        <v/>
      </c>
      <c r="H492">
        <f>IF($V492="","",INDEX('Per Line'!$P$2:$P$1501,$V492)&amp;"")</f>
        <v/>
      </c>
      <c r="I492">
        <f>IF($V492="","",INDEX('Per Line'!$N$2:$N$1501,$V492)&amp;"")</f>
        <v/>
      </c>
      <c r="J492">
        <f>IF($V492="","",INDEX('Per Line'!$Q$2:$Q$1501,$V492))</f>
        <v/>
      </c>
      <c r="K492" s="7">
        <f>IF($V492="","",J492*T492/100)</f>
        <v/>
      </c>
      <c r="L492">
        <f>IF($V492="","",Settings!$C$7)</f>
        <v/>
      </c>
      <c r="M492" s="7">
        <f>IF($V492="","",SUMIFS('Per Line'!$AC$2:$AC$1501,'Per Line'!$C$2:$C$1501,$C492,'Per Line'!$AK$2:$AK$1501,0))</f>
        <v/>
      </c>
      <c r="N492" s="7">
        <f>IF($V492="","",M492*L492)</f>
        <v/>
      </c>
      <c r="O492">
        <f>IF($V492="","",Settings!$C$6)</f>
        <v/>
      </c>
      <c r="P492" s="7">
        <f>IF($V492="","",SUMIFS('Per Line'!$AC$2:$AC$1501,'Per Line'!$C$2:$C$1501,$C492,'Per Line'!$AK$2:$AK$1501,1))</f>
        <v/>
      </c>
      <c r="Q492" s="7">
        <f>IF($V492="","",P492*O492)</f>
        <v/>
      </c>
      <c r="R492" s="7">
        <f>IF($V492="","",Q492+N492)</f>
        <v/>
      </c>
      <c r="S492" s="7">
        <f>IF($V492="","",T492-R492)</f>
        <v/>
      </c>
      <c r="T492" s="7">
        <f>IF($V492="","",M492+P492)</f>
        <v/>
      </c>
      <c r="U492" s="7">
        <f>IF($V492="","",T492-R492-K492)</f>
        <v/>
      </c>
      <c r="V492" s="13">
        <f>IF(ROWS($V$2:$V492)&lt;=MAX('Per Line'!$AJ$2:$AJ$1501),MATCH(ROWS($V$2:$V492),'Per Line'!$AJ$2:$AJ$1501,0),"")</f>
        <v/>
      </c>
    </row>
    <row r="493">
      <c r="A493" s="12" t="n"/>
      <c r="B493">
        <f>IF($V493="","",INDEX('Per Line'!$A$2:$A$1501,$V493)&amp;"")</f>
        <v/>
      </c>
      <c r="C493">
        <f>IF($V493="","",INDEX('Per Line'!$C$2:$C$1501,$V493)&amp;"")</f>
        <v/>
      </c>
      <c r="D493" s="11">
        <f>IF($V493="","",INDEX('Per Line'!$S$2:$S$1501,$V493))</f>
        <v/>
      </c>
      <c r="E493">
        <f>IF($V493="","",INDEX('Per Line'!$F$2:$F$1501,$V493)&amp;"")</f>
        <v/>
      </c>
      <c r="F493">
        <f>IF($V493="","",INDEX('Per Line'!$L$2:$L$1501,$V493)&amp;"")</f>
        <v/>
      </c>
      <c r="G493">
        <f>IF($V493="","",INDEX('Per Line'!$O$2:$O$1501,$V493)&amp;"")</f>
        <v/>
      </c>
      <c r="H493">
        <f>IF($V493="","",INDEX('Per Line'!$P$2:$P$1501,$V493)&amp;"")</f>
        <v/>
      </c>
      <c r="I493">
        <f>IF($V493="","",INDEX('Per Line'!$N$2:$N$1501,$V493)&amp;"")</f>
        <v/>
      </c>
      <c r="J493">
        <f>IF($V493="","",INDEX('Per Line'!$Q$2:$Q$1501,$V493))</f>
        <v/>
      </c>
      <c r="K493" s="7">
        <f>IF($V493="","",J493*T493/100)</f>
        <v/>
      </c>
      <c r="L493">
        <f>IF($V493="","",Settings!$C$7)</f>
        <v/>
      </c>
      <c r="M493" s="7">
        <f>IF($V493="","",SUMIFS('Per Line'!$AC$2:$AC$1501,'Per Line'!$C$2:$C$1501,$C493,'Per Line'!$AK$2:$AK$1501,0))</f>
        <v/>
      </c>
      <c r="N493" s="7">
        <f>IF($V493="","",M493*L493)</f>
        <v/>
      </c>
      <c r="O493">
        <f>IF($V493="","",Settings!$C$6)</f>
        <v/>
      </c>
      <c r="P493" s="7">
        <f>IF($V493="","",SUMIFS('Per Line'!$AC$2:$AC$1501,'Per Line'!$C$2:$C$1501,$C493,'Per Line'!$AK$2:$AK$1501,1))</f>
        <v/>
      </c>
      <c r="Q493" s="7">
        <f>IF($V493="","",P493*O493)</f>
        <v/>
      </c>
      <c r="R493" s="7">
        <f>IF($V493="","",Q493+N493)</f>
        <v/>
      </c>
      <c r="S493" s="7">
        <f>IF($V493="","",T493-R493)</f>
        <v/>
      </c>
      <c r="T493" s="7">
        <f>IF($V493="","",M493+P493)</f>
        <v/>
      </c>
      <c r="U493" s="7">
        <f>IF($V493="","",T493-R493-K493)</f>
        <v/>
      </c>
      <c r="V493" s="13">
        <f>IF(ROWS($V$2:$V493)&lt;=MAX('Per Line'!$AJ$2:$AJ$1501),MATCH(ROWS($V$2:$V493),'Per Line'!$AJ$2:$AJ$1501,0),"")</f>
        <v/>
      </c>
    </row>
    <row r="494">
      <c r="A494" s="12" t="n"/>
      <c r="B494">
        <f>IF($V494="","",INDEX('Per Line'!$A$2:$A$1501,$V494)&amp;"")</f>
        <v/>
      </c>
      <c r="C494">
        <f>IF($V494="","",INDEX('Per Line'!$C$2:$C$1501,$V494)&amp;"")</f>
        <v/>
      </c>
      <c r="D494" s="11">
        <f>IF($V494="","",INDEX('Per Line'!$S$2:$S$1501,$V494))</f>
        <v/>
      </c>
      <c r="E494">
        <f>IF($V494="","",INDEX('Per Line'!$F$2:$F$1501,$V494)&amp;"")</f>
        <v/>
      </c>
      <c r="F494">
        <f>IF($V494="","",INDEX('Per Line'!$L$2:$L$1501,$V494)&amp;"")</f>
        <v/>
      </c>
      <c r="G494">
        <f>IF($V494="","",INDEX('Per Line'!$O$2:$O$1501,$V494)&amp;"")</f>
        <v/>
      </c>
      <c r="H494">
        <f>IF($V494="","",INDEX('Per Line'!$P$2:$P$1501,$V494)&amp;"")</f>
        <v/>
      </c>
      <c r="I494">
        <f>IF($V494="","",INDEX('Per Line'!$N$2:$N$1501,$V494)&amp;"")</f>
        <v/>
      </c>
      <c r="J494">
        <f>IF($V494="","",INDEX('Per Line'!$Q$2:$Q$1501,$V494))</f>
        <v/>
      </c>
      <c r="K494" s="7">
        <f>IF($V494="","",J494*T494/100)</f>
        <v/>
      </c>
      <c r="L494">
        <f>IF($V494="","",Settings!$C$7)</f>
        <v/>
      </c>
      <c r="M494" s="7">
        <f>IF($V494="","",SUMIFS('Per Line'!$AC$2:$AC$1501,'Per Line'!$C$2:$C$1501,$C494,'Per Line'!$AK$2:$AK$1501,0))</f>
        <v/>
      </c>
      <c r="N494" s="7">
        <f>IF($V494="","",M494*L494)</f>
        <v/>
      </c>
      <c r="O494">
        <f>IF($V494="","",Settings!$C$6)</f>
        <v/>
      </c>
      <c r="P494" s="7">
        <f>IF($V494="","",SUMIFS('Per Line'!$AC$2:$AC$1501,'Per Line'!$C$2:$C$1501,$C494,'Per Line'!$AK$2:$AK$1501,1))</f>
        <v/>
      </c>
      <c r="Q494" s="7">
        <f>IF($V494="","",P494*O494)</f>
        <v/>
      </c>
      <c r="R494" s="7">
        <f>IF($V494="","",Q494+N494)</f>
        <v/>
      </c>
      <c r="S494" s="7">
        <f>IF($V494="","",T494-R494)</f>
        <v/>
      </c>
      <c r="T494" s="7">
        <f>IF($V494="","",M494+P494)</f>
        <v/>
      </c>
      <c r="U494" s="7">
        <f>IF($V494="","",T494-R494-K494)</f>
        <v/>
      </c>
      <c r="V494" s="13">
        <f>IF(ROWS($V$2:$V494)&lt;=MAX('Per Line'!$AJ$2:$AJ$1501),MATCH(ROWS($V$2:$V494),'Per Line'!$AJ$2:$AJ$1501,0),"")</f>
        <v/>
      </c>
    </row>
    <row r="495">
      <c r="A495" s="12" t="n"/>
      <c r="B495">
        <f>IF($V495="","",INDEX('Per Line'!$A$2:$A$1501,$V495)&amp;"")</f>
        <v/>
      </c>
      <c r="C495">
        <f>IF($V495="","",INDEX('Per Line'!$C$2:$C$1501,$V495)&amp;"")</f>
        <v/>
      </c>
      <c r="D495" s="11">
        <f>IF($V495="","",INDEX('Per Line'!$S$2:$S$1501,$V495))</f>
        <v/>
      </c>
      <c r="E495">
        <f>IF($V495="","",INDEX('Per Line'!$F$2:$F$1501,$V495)&amp;"")</f>
        <v/>
      </c>
      <c r="F495">
        <f>IF($V495="","",INDEX('Per Line'!$L$2:$L$1501,$V495)&amp;"")</f>
        <v/>
      </c>
      <c r="G495">
        <f>IF($V495="","",INDEX('Per Line'!$O$2:$O$1501,$V495)&amp;"")</f>
        <v/>
      </c>
      <c r="H495">
        <f>IF($V495="","",INDEX('Per Line'!$P$2:$P$1501,$V495)&amp;"")</f>
        <v/>
      </c>
      <c r="I495">
        <f>IF($V495="","",INDEX('Per Line'!$N$2:$N$1501,$V495)&amp;"")</f>
        <v/>
      </c>
      <c r="J495">
        <f>IF($V495="","",INDEX('Per Line'!$Q$2:$Q$1501,$V495))</f>
        <v/>
      </c>
      <c r="K495" s="7">
        <f>IF($V495="","",J495*T495/100)</f>
        <v/>
      </c>
      <c r="L495">
        <f>IF($V495="","",Settings!$C$7)</f>
        <v/>
      </c>
      <c r="M495" s="7">
        <f>IF($V495="","",SUMIFS('Per Line'!$AC$2:$AC$1501,'Per Line'!$C$2:$C$1501,$C495,'Per Line'!$AK$2:$AK$1501,0))</f>
        <v/>
      </c>
      <c r="N495" s="7">
        <f>IF($V495="","",M495*L495)</f>
        <v/>
      </c>
      <c r="O495">
        <f>IF($V495="","",Settings!$C$6)</f>
        <v/>
      </c>
      <c r="P495" s="7">
        <f>IF($V495="","",SUMIFS('Per Line'!$AC$2:$AC$1501,'Per Line'!$C$2:$C$1501,$C495,'Per Line'!$AK$2:$AK$1501,1))</f>
        <v/>
      </c>
      <c r="Q495" s="7">
        <f>IF($V495="","",P495*O495)</f>
        <v/>
      </c>
      <c r="R495" s="7">
        <f>IF($V495="","",Q495+N495)</f>
        <v/>
      </c>
      <c r="S495" s="7">
        <f>IF($V495="","",T495-R495)</f>
        <v/>
      </c>
      <c r="T495" s="7">
        <f>IF($V495="","",M495+P495)</f>
        <v/>
      </c>
      <c r="U495" s="7">
        <f>IF($V495="","",T495-R495-K495)</f>
        <v/>
      </c>
      <c r="V495" s="13">
        <f>IF(ROWS($V$2:$V495)&lt;=MAX('Per Line'!$AJ$2:$AJ$1501),MATCH(ROWS($V$2:$V495),'Per Line'!$AJ$2:$AJ$1501,0),"")</f>
        <v/>
      </c>
    </row>
    <row r="496">
      <c r="A496" s="12" t="n"/>
      <c r="B496">
        <f>IF($V496="","",INDEX('Per Line'!$A$2:$A$1501,$V496)&amp;"")</f>
        <v/>
      </c>
      <c r="C496">
        <f>IF($V496="","",INDEX('Per Line'!$C$2:$C$1501,$V496)&amp;"")</f>
        <v/>
      </c>
      <c r="D496" s="11">
        <f>IF($V496="","",INDEX('Per Line'!$S$2:$S$1501,$V496))</f>
        <v/>
      </c>
      <c r="E496">
        <f>IF($V496="","",INDEX('Per Line'!$F$2:$F$1501,$V496)&amp;"")</f>
        <v/>
      </c>
      <c r="F496">
        <f>IF($V496="","",INDEX('Per Line'!$L$2:$L$1501,$V496)&amp;"")</f>
        <v/>
      </c>
      <c r="G496">
        <f>IF($V496="","",INDEX('Per Line'!$O$2:$O$1501,$V496)&amp;"")</f>
        <v/>
      </c>
      <c r="H496">
        <f>IF($V496="","",INDEX('Per Line'!$P$2:$P$1501,$V496)&amp;"")</f>
        <v/>
      </c>
      <c r="I496">
        <f>IF($V496="","",INDEX('Per Line'!$N$2:$N$1501,$V496)&amp;"")</f>
        <v/>
      </c>
      <c r="J496">
        <f>IF($V496="","",INDEX('Per Line'!$Q$2:$Q$1501,$V496))</f>
        <v/>
      </c>
      <c r="K496" s="7">
        <f>IF($V496="","",J496*T496/100)</f>
        <v/>
      </c>
      <c r="L496">
        <f>IF($V496="","",Settings!$C$7)</f>
        <v/>
      </c>
      <c r="M496" s="7">
        <f>IF($V496="","",SUMIFS('Per Line'!$AC$2:$AC$1501,'Per Line'!$C$2:$C$1501,$C496,'Per Line'!$AK$2:$AK$1501,0))</f>
        <v/>
      </c>
      <c r="N496" s="7">
        <f>IF($V496="","",M496*L496)</f>
        <v/>
      </c>
      <c r="O496">
        <f>IF($V496="","",Settings!$C$6)</f>
        <v/>
      </c>
      <c r="P496" s="7">
        <f>IF($V496="","",SUMIFS('Per Line'!$AC$2:$AC$1501,'Per Line'!$C$2:$C$1501,$C496,'Per Line'!$AK$2:$AK$1501,1))</f>
        <v/>
      </c>
      <c r="Q496" s="7">
        <f>IF($V496="","",P496*O496)</f>
        <v/>
      </c>
      <c r="R496" s="7">
        <f>IF($V496="","",Q496+N496)</f>
        <v/>
      </c>
      <c r="S496" s="7">
        <f>IF($V496="","",T496-R496)</f>
        <v/>
      </c>
      <c r="T496" s="7">
        <f>IF($V496="","",M496+P496)</f>
        <v/>
      </c>
      <c r="U496" s="7">
        <f>IF($V496="","",T496-R496-K496)</f>
        <v/>
      </c>
      <c r="V496" s="13">
        <f>IF(ROWS($V$2:$V496)&lt;=MAX('Per Line'!$AJ$2:$AJ$1501),MATCH(ROWS($V$2:$V496),'Per Line'!$AJ$2:$AJ$1501,0),"")</f>
        <v/>
      </c>
    </row>
    <row r="497">
      <c r="A497" s="12" t="n"/>
      <c r="B497">
        <f>IF($V497="","",INDEX('Per Line'!$A$2:$A$1501,$V497)&amp;"")</f>
        <v/>
      </c>
      <c r="C497">
        <f>IF($V497="","",INDEX('Per Line'!$C$2:$C$1501,$V497)&amp;"")</f>
        <v/>
      </c>
      <c r="D497" s="11">
        <f>IF($V497="","",INDEX('Per Line'!$S$2:$S$1501,$V497))</f>
        <v/>
      </c>
      <c r="E497">
        <f>IF($V497="","",INDEX('Per Line'!$F$2:$F$1501,$V497)&amp;"")</f>
        <v/>
      </c>
      <c r="F497">
        <f>IF($V497="","",INDEX('Per Line'!$L$2:$L$1501,$V497)&amp;"")</f>
        <v/>
      </c>
      <c r="G497">
        <f>IF($V497="","",INDEX('Per Line'!$O$2:$O$1501,$V497)&amp;"")</f>
        <v/>
      </c>
      <c r="H497">
        <f>IF($V497="","",INDEX('Per Line'!$P$2:$P$1501,$V497)&amp;"")</f>
        <v/>
      </c>
      <c r="I497">
        <f>IF($V497="","",INDEX('Per Line'!$N$2:$N$1501,$V497)&amp;"")</f>
        <v/>
      </c>
      <c r="J497">
        <f>IF($V497="","",INDEX('Per Line'!$Q$2:$Q$1501,$V497))</f>
        <v/>
      </c>
      <c r="K497" s="7">
        <f>IF($V497="","",J497*T497/100)</f>
        <v/>
      </c>
      <c r="L497">
        <f>IF($V497="","",Settings!$C$7)</f>
        <v/>
      </c>
      <c r="M497" s="7">
        <f>IF($V497="","",SUMIFS('Per Line'!$AC$2:$AC$1501,'Per Line'!$C$2:$C$1501,$C497,'Per Line'!$AK$2:$AK$1501,0))</f>
        <v/>
      </c>
      <c r="N497" s="7">
        <f>IF($V497="","",M497*L497)</f>
        <v/>
      </c>
      <c r="O497">
        <f>IF($V497="","",Settings!$C$6)</f>
        <v/>
      </c>
      <c r="P497" s="7">
        <f>IF($V497="","",SUMIFS('Per Line'!$AC$2:$AC$1501,'Per Line'!$C$2:$C$1501,$C497,'Per Line'!$AK$2:$AK$1501,1))</f>
        <v/>
      </c>
      <c r="Q497" s="7">
        <f>IF($V497="","",P497*O497)</f>
        <v/>
      </c>
      <c r="R497" s="7">
        <f>IF($V497="","",Q497+N497)</f>
        <v/>
      </c>
      <c r="S497" s="7">
        <f>IF($V497="","",T497-R497)</f>
        <v/>
      </c>
      <c r="T497" s="7">
        <f>IF($V497="","",M497+P497)</f>
        <v/>
      </c>
      <c r="U497" s="7">
        <f>IF($V497="","",T497-R497-K497)</f>
        <v/>
      </c>
      <c r="V497" s="13">
        <f>IF(ROWS($V$2:$V497)&lt;=MAX('Per Line'!$AJ$2:$AJ$1501),MATCH(ROWS($V$2:$V497),'Per Line'!$AJ$2:$AJ$1501,0),"")</f>
        <v/>
      </c>
    </row>
    <row r="498">
      <c r="A498" s="12" t="n"/>
      <c r="B498">
        <f>IF($V498="","",INDEX('Per Line'!$A$2:$A$1501,$V498)&amp;"")</f>
        <v/>
      </c>
      <c r="C498">
        <f>IF($V498="","",INDEX('Per Line'!$C$2:$C$1501,$V498)&amp;"")</f>
        <v/>
      </c>
      <c r="D498" s="11">
        <f>IF($V498="","",INDEX('Per Line'!$S$2:$S$1501,$V498))</f>
        <v/>
      </c>
      <c r="E498">
        <f>IF($V498="","",INDEX('Per Line'!$F$2:$F$1501,$V498)&amp;"")</f>
        <v/>
      </c>
      <c r="F498">
        <f>IF($V498="","",INDEX('Per Line'!$L$2:$L$1501,$V498)&amp;"")</f>
        <v/>
      </c>
      <c r="G498">
        <f>IF($V498="","",INDEX('Per Line'!$O$2:$O$1501,$V498)&amp;"")</f>
        <v/>
      </c>
      <c r="H498">
        <f>IF($V498="","",INDEX('Per Line'!$P$2:$P$1501,$V498)&amp;"")</f>
        <v/>
      </c>
      <c r="I498">
        <f>IF($V498="","",INDEX('Per Line'!$N$2:$N$1501,$V498)&amp;"")</f>
        <v/>
      </c>
      <c r="J498">
        <f>IF($V498="","",INDEX('Per Line'!$Q$2:$Q$1501,$V498))</f>
        <v/>
      </c>
      <c r="K498" s="7">
        <f>IF($V498="","",J498*T498/100)</f>
        <v/>
      </c>
      <c r="L498">
        <f>IF($V498="","",Settings!$C$7)</f>
        <v/>
      </c>
      <c r="M498" s="7">
        <f>IF($V498="","",SUMIFS('Per Line'!$AC$2:$AC$1501,'Per Line'!$C$2:$C$1501,$C498,'Per Line'!$AK$2:$AK$1501,0))</f>
        <v/>
      </c>
      <c r="N498" s="7">
        <f>IF($V498="","",M498*L498)</f>
        <v/>
      </c>
      <c r="O498">
        <f>IF($V498="","",Settings!$C$6)</f>
        <v/>
      </c>
      <c r="P498" s="7">
        <f>IF($V498="","",SUMIFS('Per Line'!$AC$2:$AC$1501,'Per Line'!$C$2:$C$1501,$C498,'Per Line'!$AK$2:$AK$1501,1))</f>
        <v/>
      </c>
      <c r="Q498" s="7">
        <f>IF($V498="","",P498*O498)</f>
        <v/>
      </c>
      <c r="R498" s="7">
        <f>IF($V498="","",Q498+N498)</f>
        <v/>
      </c>
      <c r="S498" s="7">
        <f>IF($V498="","",T498-R498)</f>
        <v/>
      </c>
      <c r="T498" s="7">
        <f>IF($V498="","",M498+P498)</f>
        <v/>
      </c>
      <c r="U498" s="7">
        <f>IF($V498="","",T498-R498-K498)</f>
        <v/>
      </c>
      <c r="V498" s="13">
        <f>IF(ROWS($V$2:$V498)&lt;=MAX('Per Line'!$AJ$2:$AJ$1501),MATCH(ROWS($V$2:$V498),'Per Line'!$AJ$2:$AJ$1501,0),"")</f>
        <v/>
      </c>
    </row>
    <row r="499">
      <c r="A499" s="12" t="n"/>
      <c r="B499">
        <f>IF($V499="","",INDEX('Per Line'!$A$2:$A$1501,$V499)&amp;"")</f>
        <v/>
      </c>
      <c r="C499">
        <f>IF($V499="","",INDEX('Per Line'!$C$2:$C$1501,$V499)&amp;"")</f>
        <v/>
      </c>
      <c r="D499" s="11">
        <f>IF($V499="","",INDEX('Per Line'!$S$2:$S$1501,$V499))</f>
        <v/>
      </c>
      <c r="E499">
        <f>IF($V499="","",INDEX('Per Line'!$F$2:$F$1501,$V499)&amp;"")</f>
        <v/>
      </c>
      <c r="F499">
        <f>IF($V499="","",INDEX('Per Line'!$L$2:$L$1501,$V499)&amp;"")</f>
        <v/>
      </c>
      <c r="G499">
        <f>IF($V499="","",INDEX('Per Line'!$O$2:$O$1501,$V499)&amp;"")</f>
        <v/>
      </c>
      <c r="H499">
        <f>IF($V499="","",INDEX('Per Line'!$P$2:$P$1501,$V499)&amp;"")</f>
        <v/>
      </c>
      <c r="I499">
        <f>IF($V499="","",INDEX('Per Line'!$N$2:$N$1501,$V499)&amp;"")</f>
        <v/>
      </c>
      <c r="J499">
        <f>IF($V499="","",INDEX('Per Line'!$Q$2:$Q$1501,$V499))</f>
        <v/>
      </c>
      <c r="K499" s="7">
        <f>IF($V499="","",J499*T499/100)</f>
        <v/>
      </c>
      <c r="L499">
        <f>IF($V499="","",Settings!$C$7)</f>
        <v/>
      </c>
      <c r="M499" s="7">
        <f>IF($V499="","",SUMIFS('Per Line'!$AC$2:$AC$1501,'Per Line'!$C$2:$C$1501,$C499,'Per Line'!$AK$2:$AK$1501,0))</f>
        <v/>
      </c>
      <c r="N499" s="7">
        <f>IF($V499="","",M499*L499)</f>
        <v/>
      </c>
      <c r="O499">
        <f>IF($V499="","",Settings!$C$6)</f>
        <v/>
      </c>
      <c r="P499" s="7">
        <f>IF($V499="","",SUMIFS('Per Line'!$AC$2:$AC$1501,'Per Line'!$C$2:$C$1501,$C499,'Per Line'!$AK$2:$AK$1501,1))</f>
        <v/>
      </c>
      <c r="Q499" s="7">
        <f>IF($V499="","",P499*O499)</f>
        <v/>
      </c>
      <c r="R499" s="7">
        <f>IF($V499="","",Q499+N499)</f>
        <v/>
      </c>
      <c r="S499" s="7">
        <f>IF($V499="","",T499-R499)</f>
        <v/>
      </c>
      <c r="T499" s="7">
        <f>IF($V499="","",M499+P499)</f>
        <v/>
      </c>
      <c r="U499" s="7">
        <f>IF($V499="","",T499-R499-K499)</f>
        <v/>
      </c>
      <c r="V499" s="13">
        <f>IF(ROWS($V$2:$V499)&lt;=MAX('Per Line'!$AJ$2:$AJ$1501),MATCH(ROWS($V$2:$V499),'Per Line'!$AJ$2:$AJ$1501,0),"")</f>
        <v/>
      </c>
    </row>
    <row r="500">
      <c r="A500" s="12" t="n"/>
      <c r="B500">
        <f>IF($V500="","",INDEX('Per Line'!$A$2:$A$1501,$V500)&amp;"")</f>
        <v/>
      </c>
      <c r="C500">
        <f>IF($V500="","",INDEX('Per Line'!$C$2:$C$1501,$V500)&amp;"")</f>
        <v/>
      </c>
      <c r="D500" s="11">
        <f>IF($V500="","",INDEX('Per Line'!$S$2:$S$1501,$V500))</f>
        <v/>
      </c>
      <c r="E500">
        <f>IF($V500="","",INDEX('Per Line'!$F$2:$F$1501,$V500)&amp;"")</f>
        <v/>
      </c>
      <c r="F500">
        <f>IF($V500="","",INDEX('Per Line'!$L$2:$L$1501,$V500)&amp;"")</f>
        <v/>
      </c>
      <c r="G500">
        <f>IF($V500="","",INDEX('Per Line'!$O$2:$O$1501,$V500)&amp;"")</f>
        <v/>
      </c>
      <c r="H500">
        <f>IF($V500="","",INDEX('Per Line'!$P$2:$P$1501,$V500)&amp;"")</f>
        <v/>
      </c>
      <c r="I500">
        <f>IF($V500="","",INDEX('Per Line'!$N$2:$N$1501,$V500)&amp;"")</f>
        <v/>
      </c>
      <c r="J500">
        <f>IF($V500="","",INDEX('Per Line'!$Q$2:$Q$1501,$V500))</f>
        <v/>
      </c>
      <c r="K500" s="7">
        <f>IF($V500="","",J500*T500/100)</f>
        <v/>
      </c>
      <c r="L500">
        <f>IF($V500="","",Settings!$C$7)</f>
        <v/>
      </c>
      <c r="M500" s="7">
        <f>IF($V500="","",SUMIFS('Per Line'!$AC$2:$AC$1501,'Per Line'!$C$2:$C$1501,$C500,'Per Line'!$AK$2:$AK$1501,0))</f>
        <v/>
      </c>
      <c r="N500" s="7">
        <f>IF($V500="","",M500*L500)</f>
        <v/>
      </c>
      <c r="O500">
        <f>IF($V500="","",Settings!$C$6)</f>
        <v/>
      </c>
      <c r="P500" s="7">
        <f>IF($V500="","",SUMIFS('Per Line'!$AC$2:$AC$1501,'Per Line'!$C$2:$C$1501,$C500,'Per Line'!$AK$2:$AK$1501,1))</f>
        <v/>
      </c>
      <c r="Q500" s="7">
        <f>IF($V500="","",P500*O500)</f>
        <v/>
      </c>
      <c r="R500" s="7">
        <f>IF($V500="","",Q500+N500)</f>
        <v/>
      </c>
      <c r="S500" s="7">
        <f>IF($V500="","",T500-R500)</f>
        <v/>
      </c>
      <c r="T500" s="7">
        <f>IF($V500="","",M500+P500)</f>
        <v/>
      </c>
      <c r="U500" s="7">
        <f>IF($V500="","",T500-R500-K500)</f>
        <v/>
      </c>
      <c r="V500" s="13">
        <f>IF(ROWS($V$2:$V500)&lt;=MAX('Per Line'!$AJ$2:$AJ$1501),MATCH(ROWS($V$2:$V500),'Per Line'!$AJ$2:$AJ$1501,0),"")</f>
        <v/>
      </c>
    </row>
    <row r="501">
      <c r="A501" s="12" t="n"/>
      <c r="B501">
        <f>IF($V501="","",INDEX('Per Line'!$A$2:$A$1501,$V501)&amp;"")</f>
        <v/>
      </c>
      <c r="C501">
        <f>IF($V501="","",INDEX('Per Line'!$C$2:$C$1501,$V501)&amp;"")</f>
        <v/>
      </c>
      <c r="D501" s="11">
        <f>IF($V501="","",INDEX('Per Line'!$S$2:$S$1501,$V501))</f>
        <v/>
      </c>
      <c r="E501">
        <f>IF($V501="","",INDEX('Per Line'!$F$2:$F$1501,$V501)&amp;"")</f>
        <v/>
      </c>
      <c r="F501">
        <f>IF($V501="","",INDEX('Per Line'!$L$2:$L$1501,$V501)&amp;"")</f>
        <v/>
      </c>
      <c r="G501">
        <f>IF($V501="","",INDEX('Per Line'!$O$2:$O$1501,$V501)&amp;"")</f>
        <v/>
      </c>
      <c r="H501">
        <f>IF($V501="","",INDEX('Per Line'!$P$2:$P$1501,$V501)&amp;"")</f>
        <v/>
      </c>
      <c r="I501">
        <f>IF($V501="","",INDEX('Per Line'!$N$2:$N$1501,$V501)&amp;"")</f>
        <v/>
      </c>
      <c r="J501">
        <f>IF($V501="","",INDEX('Per Line'!$Q$2:$Q$1501,$V501))</f>
        <v/>
      </c>
      <c r="K501" s="7">
        <f>IF($V501="","",J501*T501/100)</f>
        <v/>
      </c>
      <c r="L501">
        <f>IF($V501="","",Settings!$C$7)</f>
        <v/>
      </c>
      <c r="M501" s="7">
        <f>IF($V501="","",SUMIFS('Per Line'!$AC$2:$AC$1501,'Per Line'!$C$2:$C$1501,$C501,'Per Line'!$AK$2:$AK$1501,0))</f>
        <v/>
      </c>
      <c r="N501" s="7">
        <f>IF($V501="","",M501*L501)</f>
        <v/>
      </c>
      <c r="O501">
        <f>IF($V501="","",Settings!$C$6)</f>
        <v/>
      </c>
      <c r="P501" s="7">
        <f>IF($V501="","",SUMIFS('Per Line'!$AC$2:$AC$1501,'Per Line'!$C$2:$C$1501,$C501,'Per Line'!$AK$2:$AK$1501,1))</f>
        <v/>
      </c>
      <c r="Q501" s="7">
        <f>IF($V501="","",P501*O501)</f>
        <v/>
      </c>
      <c r="R501" s="7">
        <f>IF($V501="","",Q501+N501)</f>
        <v/>
      </c>
      <c r="S501" s="7">
        <f>IF($V501="","",T501-R501)</f>
        <v/>
      </c>
      <c r="T501" s="7">
        <f>IF($V501="","",M501+P501)</f>
        <v/>
      </c>
      <c r="U501" s="7">
        <f>IF($V501="","",T501-R501-K501)</f>
        <v/>
      </c>
      <c r="V501" s="13">
        <f>IF(ROWS($V$2:$V501)&lt;=MAX('Per Line'!$AJ$2:$AJ$1501),MATCH(ROWS($V$2:$V501),'Per Line'!$AJ$2:$AJ$1501,0),"")</f>
        <v/>
      </c>
    </row>
  </sheetData>
  <autoFilter ref="A1:V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2026-10-12T10:25:41Z</dcterms:created>
  <dcterms:modified xmlns:dcterms="http://purl.org/dc/terms/" xmlns:xsi="http://www.w3.org/2001/XMLSchema-instance" xsi:type="dcterms:W3CDTF">2026-10-12T10:25:41Z</dcterms:modified>
</cp:coreProperties>
</file>